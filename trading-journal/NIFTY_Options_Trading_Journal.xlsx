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PRE-MARKET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DAILY SUMMARY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WEEKLY REVIEW" sheetId="6" state="visible" r:id="rId6"/>
    <sheet xmlns:r="http://schemas.openxmlformats.org/officeDocument/2006/relationships" name="LISTS" sheetId="7" state="visible" r:id="rId7"/>
  </sheets>
  <definedNames>
    <definedName name="List_Instrument">LISTS!$A$5:$A$8</definedName>
    <definedName name="List_OptType">LISTS!$B$5:$B$6</definedName>
    <definedName name="List_Side">LISTS!$C$5:$C$6</definedName>
    <definedName name="List_Strategy">LISTS!$D$5:$D$14</definedName>
    <definedName name="List_ExitReason">LISTS!$E$5:$E$11</definedName>
    <definedName name="List_RuleBroken">LISTS!$F$5:$F$15</definedName>
    <definedName name="List_Emotion">LISTS!$G$5:$G$16</definedName>
    <definedName name="List_Grade">LISTS!$H$5:$H$7</definedName>
    <definedName name="List_YN">LISTS!$I$5:$I$6</definedName>
    <definedName name="List_Bias">LISTS!$J$5:$J$10</definedName>
    <definedName name="List_Scale">LISTS!$K$5:$K$9</definedName>
    <definedName name="List_Weekday">LISTS!$L$5:$L$9</definedName>
    <definedName name="List_BucketStart">LISTS!$M$5:$M$10</definedName>
    <definedName name="List_BucketLabel">LISTS!$N$5:$N$10</definedName>
    <definedName name="Capital">RULES!$C$15</definedName>
    <definedName name="RiskPct">RULES!$C$16</definedName>
    <definedName name="DailyLossPct">RULES!$C$17</definedName>
    <definedName name="WeeklyDDPct">RULES!$C$18</definedName>
    <definedName name="ExpiryCutoff">RULES!$C$19</definedName>
    <definedName name="MaxLots">RULES!$C$20</definedName>
    <definedName name="MaxTradesDay">RULES!$C$21</definedName>
    <definedName name="MaxConsecLosses">RULES!$C$22</definedName>
    <definedName name="LotSize">RULES!$C$23</definedName>
    <definedName name="ExpiryDay">RULES!$C$24</definedName>
    <definedName name="BrokeragePerOrder">RULES!$C$27</definedName>
    <definedName name="STTRate">RULES!$C$28</definedName>
    <definedName name="ExchRate">RULES!$C$29</definedName>
    <definedName name="SEBIRate">RULES!$C$30</definedName>
    <definedName name="StampRate">RULES!$C$31</definedName>
    <definedName name="GSTRate">RULES!$C$32</definedName>
    <definedName name="RiskPerTrade">RULES!$C$35</definedName>
    <definedName name="DailyLossLimit">RULES!$C$36</definedName>
    <definedName name="WeeklyDDLimit">RULES!$C$37</definedName>
    <definedName name="MaxSLPts1Lot">RULES!$C$38</definedName>
    <definedName name="TL_No">'TRADE LOG'!$A$6:$A$305</definedName>
    <definedName name="TL_Date">'TRADE LOG'!$B$6:$B$305</definedName>
    <definedName name="TL_Day">'TRADE LOG'!$C$6:$C$305</definedName>
    <definedName name="TL_Expiry">'TRADE LOG'!$D$6:$D$305</definedName>
    <definedName name="TL_DTE">'TRADE LOG'!$E$6:$E$305</definedName>
    <definedName name="TL_Instr">'TRADE LOG'!$F$6:$F$305</definedName>
    <definedName name="TL_Strike">'TRADE LOG'!$G$6:$G$305</definedName>
    <definedName name="TL_Type">'TRADE LOG'!$H$6:$H$305</definedName>
    <definedName name="TL_Side">'TRADE LOG'!$I$6:$I$305</definedName>
    <definedName name="TL_Strat">'TRADE LOG'!$J$6:$J$305</definedName>
    <definedName name="TL_PosID">'TRADE LOG'!$K$6:$K$305</definedName>
    <definedName name="TL_Legs">'TRADE LOG'!$L$6:$L$305</definedName>
    <definedName name="TL_Lots">'TRADE LOG'!$M$6:$M$305</definedName>
    <definedName name="TL_Qty">'TRADE LOG'!$N$6:$N$305</definedName>
    <definedName name="TL_ETime">'TRADE LOG'!$O$6:$O$305</definedName>
    <definedName name="TL_EPx">'TRADE LOG'!$P$6:$P$305</definedName>
    <definedName name="TL_Spot">'TRADE LOG'!$Q$6:$Q$305</definedName>
    <definedName name="TL_Dist">'TRADE LOG'!$R$6:$R$305</definedName>
    <definedName name="TL_DistPct">'TRADE LOG'!$S$6:$S$305</definedName>
    <definedName name="TL_IV">'TRADE LOG'!$T$6:$T$305</definedName>
    <definedName name="TL_Delta">'TRADE LOG'!$U$6:$U$305</definedName>
    <definedName name="TL_Margin">'TRADE LOG'!$V$6:$V$305</definedName>
    <definedName name="TL_Defined">'TRADE LOG'!$W$6:$W$305</definedName>
    <definedName name="TL_SL">'TRADE LOG'!$X$6:$X$305</definedName>
    <definedName name="TL_Tgt">'TRADE LOG'!$Y$6:$Y$305</definedName>
    <definedName name="TL_Risk">'TRADE LOG'!$Z$6:$Z$305</definedName>
    <definedName name="TL_RR">'TRADE LOG'!$AA$6:$AA$305</definedName>
    <definedName name="TL_RiskPctC">'TRADE LOG'!$AB$6:$AB$305</definedName>
    <definedName name="TL_SizeChk">'TRADE LOG'!$AC$6:$AC$305</definedName>
    <definedName name="TL_XTime">'TRADE LOG'!$AD$6:$AD$305</definedName>
    <definedName name="TL_XPx">'TRADE LOG'!$AE$6:$AE$305</definedName>
    <definedName name="TL_XReason">'TRADE LOG'!$AF$6:$AF$305</definedName>
    <definedName name="TL_MAEPx">'TRADE LOG'!$AG$6:$AG$305</definedName>
    <definedName name="TL_MFEPx">'TRADE LOG'!$AH$6:$AH$305</definedName>
    <definedName name="TL_MAE">'TRADE LOG'!$AI$6:$AI$305</definedName>
    <definedName name="TL_MFE">'TRADE LOG'!$AJ$6:$AJ$305</definedName>
    <definedName name="TL_Gross">'TRADE LOG'!$AK$6:$AK$305</definedName>
    <definedName name="TL_GiveBack">'TRADE LOG'!$AL$6:$AL$305</definedName>
    <definedName name="TL_Turn">'TRADE LOG'!$AM$6:$AM$305</definedName>
    <definedName name="TL_Brok">'TRADE LOG'!$AN$6:$AN$305</definedName>
    <definedName name="TL_STT">'TRADE LOG'!$AO$6:$AO$305</definedName>
    <definedName name="TL_Exch">'TRADE LOG'!$AP$6:$AP$305</definedName>
    <definedName name="TL_SEBI">'TRADE LOG'!$AQ$6:$AQ$305</definedName>
    <definedName name="TL_Stamp">'TRADE LOG'!$AR$6:$AR$305</definedName>
    <definedName name="TL_GST">'TRADE LOG'!$AS$6:$AS$305</definedName>
    <definedName name="TL_Chg">'TRADE LOG'!$AT$6:$AT$305</definedName>
    <definedName name="TL_Net">'TRADE LOG'!$AU$6:$AU$305</definedName>
    <definedName name="TL_R">'TRADE LOG'!$AV$6:$AV$305</definedName>
    <definedName name="TL_PctCap">'TRADE LOG'!$AW$6:$AW$305</definedName>
    <definedName name="TL_Followed">'TRADE LOG'!$AX$6:$AX$305</definedName>
    <definedName name="TL_Broken">'TRADE LOG'!$AY$6:$AY$305</definedName>
    <definedName name="TL_EmoB">'TRADE LOG'!$AZ$6:$AZ$305</definedName>
    <definedName name="TL_EmoA">'TRADE LOG'!$BA$6:$BA$305</definedName>
    <definedName name="TL_Grade">'TRADE LOG'!$BB$6:$BB$305</definedName>
    <definedName name="TL_Shot">'TRADE LOG'!$BC$6:$BC$305</definedName>
    <definedName name="TL_Lesson">'TRADE LOG'!$BD$6:$BD$305</definedName>
    <definedName name="TL_WL">'TRADE LOG'!$BE$6:$BE$305</definedName>
    <definedName name="TL_Bucket">'TRADE LOG'!$BF$6:$BF$305</definedName>
    <definedName name="TL_Week">'TRADE LOG'!$BG$6:$BG$305</definedName>
    <definedName name="TL_NoDay">'TRADE LOG'!$BH$6:$BH$305</definedName>
    <definedName name="TL_DayBefore">'TRADE LOG'!$BI$6:$BI$305</definedName>
    <definedName name="TL_ExpBreach">'TRADE LOG'!$BJ$6:$BJ$305</definedName>
    <definedName name="TL_AutoFlag">'TRADE LOG'!$BK$6:$BK$305</definedName>
    <definedName name="TL_Cum">'TRADE LOG'!$BL$6:$BL$305</definedName>
    <definedName name="TL_Eq">'TRADE LOG'!$BM$6:$BM$305</definedName>
    <definedName name="TL_Peak">'TRADE LOG'!$BN$6:$BN$305</definedName>
    <definedName name="TL_DD">'TRADE LOG'!$BO$6:$BO$305</definedName>
    <definedName name="TL_DDPct">'TRADE LOG'!$BP$6:$BP$305</definedName>
    <definedName name="TL_Streak">'TRADE LOG'!$BQ$6:$BQ$305</definedName>
    <definedName name="DS_Date">'DAILY SUMMARY'!$A$6:$A$205</definedName>
    <definedName name="DS_Day">'DAILY SUMMARY'!$B$6:$B$205</definedName>
    <definedName name="DS_Trades">'DAILY SUMMARY'!$C$6:$C$205</definedName>
    <definedName name="DS_Wins">'DAILY SUMMARY'!$D$6:$D$205</definedName>
    <definedName name="DS_Losses">'DAILY SUMMARY'!$E$6:$E$205</definedName>
    <definedName name="DS_Gross">'DAILY SUMMARY'!$F$6:$F$205</definedName>
    <definedName name="DS_Chg">'DAILY SUMMARY'!$G$6:$G$205</definedName>
    <definedName name="DS_Net">'DAILY SUMMARY'!$H$6:$H$205</definedName>
    <definedName name="DS_Cum">'DAILY SUMMARY'!$I$6:$I$205</definedName>
    <definedName name="DS_Eq">'DAILY SUMMARY'!$J$6:$J$205</definedName>
    <definedName name="DS_Peak">'DAILY SUMMARY'!$K$6:$K$205</definedName>
    <definedName name="DS_DD">'DAILY SUMMARY'!$L$6:$L$205</definedName>
    <definedName name="DS_DDPct">'DAILY SUMMARY'!$M$6:$M$205</definedName>
    <definedName name="DS_Week">'DAILY SUMMARY'!$N$6:$N$205</definedName>
    <definedName name="DS_WTD">'DAILY SUMMARY'!$O$6:$O$205</definedName>
    <definedName name="DS_Adh">'DAILY SUMMARY'!$P$6:$P$205</definedName>
    <definedName name="DS_Breaks">'DAILY SUMMARY'!$Q$6:$Q$205</definedName>
    <definedName name="DS_MaxLotsUsed">'DAILY SUMMARY'!$R$6:$R$205</definedName>
    <definedName name="DS_GiveBack">'DAILY SUMMARY'!$S$6:$S$205</definedName>
    <definedName name="DS_ExpB">'DAILY SUMMARY'!$T$6:$T$205</definedName>
    <definedName name="DS_DayFlag">'DAILY SUMMARY'!$U$6:$U$205</definedName>
    <definedName name="DS_TrFlag">'DAILY SUMMARY'!$V$6:$V$205</definedName>
    <definedName name="DS_WkFlag">'DAILY SUMMARY'!$W$6:$W$205</definedName>
    <definedName name="DS_Status">'DAILY SUMMARY'!$X$6:$X$205</definedName>
    <definedName name="WR_Week">'WEEKLY REVIEW'!$C$4</definedName>
  </definedNames>
  <calcPr calcId="124519" fullCalcOnLoad="1"/>
</workbook>
</file>

<file path=xl/styles.xml><?xml version="1.0" encoding="utf-8"?>
<styleSheet xmlns="http://schemas.openxmlformats.org/spreadsheetml/2006/main">
  <numFmts count="14">
    <numFmt numFmtId="164" formatCode="hh:mm"/>
    <numFmt numFmtId="165" formatCode="&quot;₹&quot;#,##0;[Red]-&quot;₹&quot;#,##0;&quot;-&quot;"/>
    <numFmt numFmtId="166" formatCode="0.0%;[Red]-0.0%;&quot;-&quot;"/>
    <numFmt numFmtId="167" formatCode="0.000%"/>
    <numFmt numFmtId="168" formatCode="0.00000%"/>
    <numFmt numFmtId="169" formatCode="0.000000%"/>
    <numFmt numFmtId="170" formatCode="0.0"/>
    <numFmt numFmtId="171" formatCode="yyyy-mm-dd"/>
    <numFmt numFmtId="172" formatCode="dd-mmm-yy"/>
    <numFmt numFmtId="173" formatCode="#,##0;[Red]-#,##0"/>
    <numFmt numFmtId="174" formatCode="0.00%;[Red]-0.00%"/>
    <numFmt numFmtId="175" formatCode="&quot;₹&quot;#,##0.00;[Red]-&quot;₹&quot;#,##0.00;&quot;-&quot;"/>
    <numFmt numFmtId="176" formatCode="0.00&quot;R&quot;;[Red]-0.00&quot;R&quot;;&quot;0R&quot;"/>
    <numFmt numFmtId="177" formatCode="#,##0.0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color rgb="000000FF"/>
      <sz val="10"/>
    </font>
    <font>
      <name val="Arial"/>
      <b val="1"/>
      <color rgb="001F3864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sz val="16"/>
    </font>
  </fonts>
  <fills count="15">
    <fill>
      <patternFill/>
    </fill>
    <fill>
      <patternFill patternType="gray125"/>
    </fill>
    <fill>
      <patternFill patternType="solid">
        <fgColor rgb="00FFF9E5"/>
      </patternFill>
    </fill>
    <fill>
      <patternFill patternType="solid">
        <fgColor rgb="00D9E1F2"/>
      </patternFill>
    </fill>
    <fill>
      <patternFill patternType="solid">
        <fgColor rgb="002F5597"/>
      </patternFill>
    </fill>
    <fill>
      <patternFill patternType="solid">
        <fgColor rgb="00404040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8CBAD"/>
      </patternFill>
    </fill>
    <fill>
      <patternFill patternType="solid">
        <fgColor rgb="00E4DFEC"/>
      </patternFill>
    </fill>
    <fill>
      <patternFill patternType="solid">
        <fgColor rgb="00D0CE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6" fillId="3" borderId="1" pivotButton="0" quotePrefix="0" xfId="0"/>
    <xf numFmtId="0" fontId="5" fillId="0" borderId="1" pivotButton="0" quotePrefix="0" xfId="0"/>
    <xf numFmtId="165" fontId="3" fillId="2" borderId="1" pivotButton="0" quotePrefix="0" xfId="0"/>
    <xf numFmtId="166" fontId="3" fillId="2" borderId="1" pivotButton="0" quotePrefix="0" xfId="0"/>
    <xf numFmtId="164" fontId="3" fillId="2" borderId="1" pivotButton="0" quotePrefix="0" xfId="0"/>
    <xf numFmtId="3" fontId="3" fillId="2" borderId="1" pivotButton="0" quotePrefix="0" xfId="0"/>
    <xf numFmtId="0" fontId="3" fillId="2" borderId="1" pivotButton="0" quotePrefix="0" xfId="0"/>
    <xf numFmtId="167" fontId="3" fillId="2" borderId="1" pivotButton="0" quotePrefix="0" xfId="0"/>
    <xf numFmtId="168" fontId="3" fillId="2" borderId="1" pivotButton="0" quotePrefix="0" xfId="0"/>
    <xf numFmtId="169" fontId="3" fillId="2" borderId="1" pivotButton="0" quotePrefix="0" xfId="0"/>
    <xf numFmtId="165" fontId="5" fillId="0" borderId="1" pivotButton="0" quotePrefix="0" xfId="0"/>
    <xf numFmtId="2" fontId="5" fillId="0" borderId="1" pivotButton="0" quotePrefix="0" xfId="0"/>
    <xf numFmtId="170" fontId="5" fillId="0" borderId="1" pivotButton="0" quotePrefix="0" xfId="0"/>
    <xf numFmtId="2" fontId="3" fillId="2" borderId="1" pivotButton="0" quotePrefix="0" xfId="0"/>
    <xf numFmtId="0" fontId="6" fillId="0" borderId="1" pivotButton="0" quotePrefix="0" xfId="0"/>
    <xf numFmtId="3" fontId="5" fillId="0" borderId="1" pivotButton="0" quotePrefix="0" xfId="0"/>
    <xf numFmtId="0" fontId="7" fillId="4" borderId="1" pivotButton="0" quotePrefix="0" xfId="0"/>
    <xf numFmtId="0" fontId="7" fillId="5" borderId="1" pivotButton="0" quotePrefix="0" xfId="0"/>
    <xf numFmtId="0" fontId="5" fillId="6" borderId="1" pivotButton="0" quotePrefix="0" xfId="0"/>
    <xf numFmtId="0" fontId="7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172" fontId="3" fillId="0" borderId="0" pivotButton="0" quotePrefix="0" xfId="0"/>
    <xf numFmtId="1" fontId="5" fillId="0" borderId="0" pivotButton="0" quotePrefix="0" xfId="0"/>
    <xf numFmtId="4" fontId="3" fillId="0" borderId="0" pivotButton="0" quotePrefix="0" xfId="0"/>
    <xf numFmtId="173" fontId="5" fillId="0" borderId="0" pivotButton="0" quotePrefix="0" xfId="0"/>
    <xf numFmtId="174" fontId="5" fillId="0" borderId="0" pivotButton="0" quotePrefix="0" xfId="0"/>
    <xf numFmtId="2" fontId="3" fillId="0" borderId="0" pivotButton="0" quotePrefix="0" xfId="0"/>
    <xf numFmtId="3" fontId="5" fillId="0" borderId="0" pivotButton="0" quotePrefix="0" xfId="0"/>
    <xf numFmtId="177" fontId="5" fillId="0" borderId="0" pivotButton="0" quotePrefix="0" xfId="0"/>
    <xf numFmtId="167" fontId="5" fillId="0" borderId="0" pivotButton="0" quotePrefix="0" xfId="0"/>
    <xf numFmtId="1" fontId="3" fillId="0" borderId="0" pivotButton="0" quotePrefix="0" xfId="0"/>
    <xf numFmtId="0" fontId="3" fillId="0" borderId="0" pivotButton="0" quotePrefix="0" xfId="0"/>
    <xf numFmtId="170" fontId="3" fillId="0" borderId="0" pivotButton="0" quotePrefix="0" xfId="0"/>
    <xf numFmtId="165" fontId="5" fillId="0" borderId="0" pivotButton="0" quotePrefix="0" xfId="0"/>
    <xf numFmtId="0" fontId="8" fillId="7" borderId="0" applyAlignment="1" pivotButton="0" quotePrefix="0" xfId="0">
      <alignment horizontal="center"/>
    </xf>
    <xf numFmtId="0" fontId="8" fillId="8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8" fillId="10" borderId="0" applyAlignment="1" pivotButton="0" quotePrefix="0" xfId="0">
      <alignment horizontal="center"/>
    </xf>
    <xf numFmtId="0" fontId="8" fillId="11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8" fillId="12" borderId="0" applyAlignment="1" pivotButton="0" quotePrefix="0" xfId="0">
      <alignment horizontal="center"/>
    </xf>
    <xf numFmtId="0" fontId="8" fillId="13" borderId="0" applyAlignment="1" pivotButton="0" quotePrefix="0" xfId="0">
      <alignment horizontal="center"/>
    </xf>
    <xf numFmtId="0" fontId="8" fillId="14" borderId="0" applyAlignment="1" pivotButton="0" quotePrefix="0" xfId="0">
      <alignment horizontal="center"/>
    </xf>
    <xf numFmtId="0" fontId="7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4" fontId="3" fillId="0" borderId="0" pivotButton="0" quotePrefix="0" xfId="0"/>
    <xf numFmtId="165" fontId="3" fillId="0" borderId="0" pivotButton="0" quotePrefix="0" xfId="0"/>
    <xf numFmtId="2" fontId="5" fillId="0" borderId="0" pivotButton="0" quotePrefix="0" xfId="0"/>
    <xf numFmtId="10" fontId="5" fillId="0" borderId="0" pivotButton="0" quotePrefix="0" xfId="0"/>
    <xf numFmtId="175" fontId="5" fillId="0" borderId="0" pivotButton="0" quotePrefix="0" xfId="0"/>
    <xf numFmtId="176" fontId="5" fillId="0" borderId="0" pivotButton="0" quotePrefix="0" xfId="0"/>
    <xf numFmtId="172" fontId="5" fillId="0" borderId="0" pivotButton="0" quotePrefix="0" xfId="0"/>
    <xf numFmtId="166" fontId="5" fillId="0" borderId="0" pivotButton="0" quotePrefix="0" xfId="0"/>
    <xf numFmtId="0" fontId="9" fillId="0" borderId="1" applyAlignment="1" pivotButton="0" quotePrefix="0" xfId="0">
      <alignment horizontal="center" vertical="center"/>
    </xf>
    <xf numFmtId="172" fontId="5" fillId="0" borderId="1" pivotButton="0" quotePrefix="0" xfId="0"/>
    <xf numFmtId="1" fontId="5" fillId="0" borderId="1" pivotButton="0" quotePrefix="0" xfId="0"/>
    <xf numFmtId="166" fontId="5" fillId="0" borderId="1" pivotButton="0" quotePrefix="0" xfId="0"/>
    <xf numFmtId="176" fontId="5" fillId="0" borderId="1" pivotButton="0" quotePrefix="0" xfId="0"/>
    <xf numFmtId="0" fontId="0" fillId="0" borderId="4" pivotButton="0" quotePrefix="0" xfId="0"/>
    <xf numFmtId="172" fontId="3" fillId="2" borderId="1" pivotButton="0" quotePrefix="0" xfId="0"/>
    <xf numFmtId="0" fontId="0" fillId="0" borderId="5" pivotButton="0" quotePrefix="0" xfId="0"/>
  </cellXfs>
  <cellStyles count="1">
    <cellStyle name="Normal" xfId="0" builtinId="0" hidden="0"/>
  </cellStyles>
  <dxfs count="8">
    <dxf>
      <font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ont>
        <b val="1"/>
      </font>
      <fill>
        <patternFill patternType="solid">
          <fgColor rgb="00FFEB9C"/>
        </patternFill>
      </fill>
    </dxf>
    <dxf>
      <fill>
        <patternFill patternType="solid">
          <fgColor rgb="00FFEB9C"/>
        </patternFill>
      </fill>
    </dxf>
    <dxf>
      <font>
        <color rgb="009C0006"/>
      </font>
    </dxf>
    <dxf>
      <font>
        <b val="1"/>
        <color rgb="00FFFFFF"/>
      </font>
      <fill>
        <patternFill patternType="solid">
          <fgColor rgb="00C00000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 (end of day, last 40 sessions)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'DASHBOARD'!$O$9:$O$48</f>
            </numRef>
          </cat>
          <val>
            <numRef>
              <f>'DASHBOARD'!$P$9:$P$48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from peak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'DASHBOARD'!Q8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'DASHBOARD'!$O$9:$O$48</f>
            </numRef>
          </cat>
          <val>
            <numRef>
              <f>'DASHBOARD'!$Q$9:$Q$48</f>
            </numRef>
          </val>
        </ser>
        <gapWidth val="2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P&amp;L by exit reason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2F5597"/>
            </a:solidFill>
            <a:ln xmlns:a="http://schemas.openxmlformats.org/drawingml/2006/main">
              <a:prstDash val="solid"/>
            </a:ln>
          </spPr>
          <cat>
            <numRef>
              <f>'DASHBOARD'!$F$47:$F$53</f>
            </numRef>
          </cat>
          <val>
            <numRef>
              <f>'DASHBOARD'!$I$47:$I$53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P&amp;L by DTE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F5597"/>
            </a:solidFill>
            <a:ln xmlns:a="http://schemas.openxmlformats.org/drawingml/2006/main">
              <a:prstDash val="solid"/>
            </a:ln>
          </spPr>
          <cat>
            <numRef>
              <f>'DASHBOARD'!$F$29:$F$34</f>
            </numRef>
          </cat>
          <val>
            <numRef>
              <f>'DASHBOARD'!$I$29:$I$34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Rules followed (Y) vs broken (N)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F5597"/>
            </a:solidFill>
            <a:ln xmlns:a="http://schemas.openxmlformats.org/drawingml/2006/main">
              <a:prstDash val="solid"/>
            </a:ln>
          </spPr>
          <cat>
            <numRef>
              <f>'DASHBOARD'!$F$57:$F$58</f>
            </numRef>
          </cat>
          <val>
            <numRef>
              <f>'DASHBOARD'!$I$57:$I$58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Journal</author>
  </authors>
  <commentList>
    <comment ref="E5" authorId="0" shapeId="0">
      <text>
        <t>Trading days to expiry (Mon-Fri; exchange holidays not excluded). 0 = expiry day.</t>
      </text>
    </comment>
    <comment ref="AG5" authorId="0" shapeId="0">
      <text>
        <t>Short option: the HIGHEST premium while you held it. Long option: the LOWEST.</t>
      </text>
    </comment>
    <comment ref="AH5" authorId="0" shapeId="0">
      <text>
        <t>Short option: the LOWEST premium while you held it. Long option: the HIGHEST.</t>
      </text>
    </comment>
    <comment ref="AT5" authorId="0" shapeId="0">
      <text>
        <t>Zerodha F&amp;O options: ₹20/order ×2 per leg + STT 0.15% sell side + NSE 0.03503% + SEBI ₹10/cr + stamp 0.003% buy side + 18% GST. Rates on RULES. For net-credit spread rows, STT/exchange are approximate (computed on net premium).</t>
      </text>
    </comment>
    <comment ref="BD5" authorId="0" shapeId="0">
      <text>
        <t>One sentence: what will you do differently next time?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1</col>
      <colOff>0</colOff>
      <row>51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67</row>
      <rowOff>0</rowOff>
    </from>
    <ext cx="61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81</row>
      <rowOff>0</rowOff>
    </from>
    <ext cx="61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96</row>
      <rowOff>0</rowOff>
    </from>
    <ext cx="61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111</row>
      <rowOff>0</rowOff>
    </from>
    <ext cx="612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Premarket" displayName="tblPremarket" ref="A5:AE105" headerRowCount="1">
  <autoFilter ref="A5:AE105"/>
  <tableColumns count="31">
    <tableColumn id="1" name="Date"/>
    <tableColumn id="2" name="Day"/>
    <tableColumn id="3" name="Next Expiry"/>
    <tableColumn id="4" name="DTE"/>
    <tableColumn id="5" name="Prev High"/>
    <tableColumn id="6" name="Prev Low"/>
    <tableColumn id="7" name="NIFTY Prev Close"/>
    <tableColumn id="8" name="Open / Pre-open"/>
    <tableColumn id="9" name="Gap (pts)"/>
    <tableColumn id="10" name="Gap %"/>
    <tableColumn id="11" name="India VIX"/>
    <tableColumn id="12" name="VIX 1-SD Day Move (pts)"/>
    <tableColumn id="13" name="Expected Low (Open - 1SD)"/>
    <tableColumn id="14" name="Expected High (Open + 1SD)"/>
    <tableColumn id="15" name="Pivot (P)"/>
    <tableColumn id="16" name="CPR BC"/>
    <tableColumn id="17" name="CPR TC"/>
    <tableColumn id="18" name="CPR Width %"/>
    <tableColumn id="19" name="R1"/>
    <tableColumn id="20" name="S1"/>
    <tableColumn id="21" name="Max Pain"/>
    <tableColumn id="22" name="Highest Call OI Strike"/>
    <tableColumn id="23" name="Highest Put OI Strike"/>
    <tableColumn id="24" name="Market Bias"/>
    <tableColumn id="25" name="Planned Setups (strikes, entry trigger, SL)"/>
    <tableColumn id="26" name="Emotional State (1-5)"/>
    <tableColumn id="27" name="Sleep (hrs)"/>
    <tableColumn id="28" name="Stress (1-5)"/>
    <tableColumn id="29" name="Trading to Recover Losses? (Y/N)"/>
    <tableColumn id="30" name="Last Session Net P&amp;L ₹"/>
    <tableColumn id="31" name="GO / NO-GO"/>
  </tableColumns>
  <tableStyleInfo name="TableStyleLight15" showRowStripes="1"/>
</table>
</file>

<file path=xl/tables/table2.xml><?xml version="1.0" encoding="utf-8"?>
<table xmlns="http://schemas.openxmlformats.org/spreadsheetml/2006/main" id="2" name="tblTrades" displayName="tblTrades" ref="A5:BQ305" headerRowCount="1">
  <autoFilter ref="A5:BQ305"/>
  <tableColumns count="69">
    <tableColumn id="1" name="Trade #"/>
    <tableColumn id="2" name="Date"/>
    <tableColumn id="3" name="Day"/>
    <tableColumn id="4" name="Expiry Date"/>
    <tableColumn id="5" name="DTE"/>
    <tableColumn id="6" name="Instrument"/>
    <tableColumn id="7" name="Strike"/>
    <tableColumn id="8" name="CE/PE"/>
    <tableColumn id="9" name="Buy/Sell"/>
    <tableColumn id="10" name="Strategy"/>
    <tableColumn id="11" name="Position ID"/>
    <tableColumn id="12" name="Legs"/>
    <tableColumn id="13" name="Lots"/>
    <tableColumn id="14" name="Quantity"/>
    <tableColumn id="15" name="Entry Time"/>
    <tableColumn id="16" name="Entry Price"/>
    <tableColumn id="17" name="NIFTY Spot at Entry"/>
    <tableColumn id="18" name="Distance from Spot (pts)"/>
    <tableColumn id="19" name="Distance %"/>
    <tableColumn id="20" name="IV at Entry %"/>
    <tableColumn id="21" name="Delta at Entry"/>
    <tableColumn id="22" name="Margin Used ₹"/>
    <tableColumn id="23" name="Max Loss Defined? (Y/N)"/>
    <tableColumn id="24" name="Stop-Loss Price"/>
    <tableColumn id="25" name="Target Price"/>
    <tableColumn id="26" name="Planned Risk ₹ (1R)"/>
    <tableColumn id="27" name="Planned Reward:Risk"/>
    <tableColumn id="28" name="Risk % of Capital"/>
    <tableColumn id="29" name="Size Check"/>
    <tableColumn id="30" name="Exit Time"/>
    <tableColumn id="31" name="Exit Price"/>
    <tableColumn id="32" name="Exit Reason"/>
    <tableColumn id="33" name="MAE Price (worst seen)"/>
    <tableColumn id="34" name="MFE Price (best seen)"/>
    <tableColumn id="35" name="MAE ₹"/>
    <tableColumn id="36" name="MFE ₹"/>
    <tableColumn id="37" name="Gross P&amp;L ₹"/>
    <tableColumn id="38" name="Profit Given Back ₹ (MFE - Gross)"/>
    <tableColumn id="39" name="Premium Turnover ₹"/>
    <tableColumn id="40" name="Brokerage ₹"/>
    <tableColumn id="41" name="STT ₹"/>
    <tableColumn id="42" name="Exchange Txn ₹"/>
    <tableColumn id="43" name="SEBI Fee ₹"/>
    <tableColumn id="44" name="Stamp Duty ₹"/>
    <tableColumn id="45" name="GST ₹"/>
    <tableColumn id="46" name="Total Charges ₹"/>
    <tableColumn id="47" name="Net P&amp;L ₹"/>
    <tableColumn id="48" name="R-Multiple"/>
    <tableColumn id="49" name="% of Capital"/>
    <tableColumn id="50" name="Followed Rules? (Y/N)"/>
    <tableColumn id="51" name="Rule Broken"/>
    <tableColumn id="52" name="Emotion Before"/>
    <tableColumn id="53" name="Emotion After"/>
    <tableColumn id="54" name="Setup Grade (A/B/C)"/>
    <tableColumn id="55" name="Screenshot Link"/>
    <tableColumn id="56" name="Lesson"/>
    <tableColumn id="57" name="Win/Loss"/>
    <tableColumn id="58" name="Entry-Time Bucket"/>
    <tableColumn id="59" name="Week Start (Mon)"/>
    <tableColumn id="60" name="Trade # of Day"/>
    <tableColumn id="61" name="Day P&amp;L Before This Trade ₹"/>
    <tableColumn id="62" name="Expiry Cutoff Check"/>
    <tableColumn id="63" name="Auto Rule Check"/>
    <tableColumn id="64" name="Cumulative Net ₹"/>
    <tableColumn id="65" name="Equity ₹"/>
    <tableColumn id="66" name="Peak Equity ₹"/>
    <tableColumn id="67" name="Drawdown ₹"/>
    <tableColumn id="68" name="Drawdown %"/>
    <tableColumn id="69" name="Loss Streak"/>
  </tableColumns>
  <tableStyleInfo name="TableStyleLight15" showRowStripes="1"/>
</table>
</file>

<file path=xl/tables/table3.xml><?xml version="1.0" encoding="utf-8"?>
<table xmlns="http://schemas.openxmlformats.org/spreadsheetml/2006/main" id="3" name="tblDaily" displayName="tblDaily" ref="A5:X205" headerRowCount="1">
  <autoFilter ref="A5:X205"/>
  <tableColumns count="24">
    <tableColumn id="1" name="Date"/>
    <tableColumn id="2" name="Day"/>
    <tableColumn id="3" name="Trades"/>
    <tableColumn id="4" name="Wins"/>
    <tableColumn id="5" name="Losses"/>
    <tableColumn id="6" name="Gross P&amp;L ₹"/>
    <tableColumn id="7" name="Charges ₹"/>
    <tableColumn id="8" name="Net P&amp;L ₹"/>
    <tableColumn id="9" name="Cumulative Net ₹"/>
    <tableColumn id="10" name="Equity ₹"/>
    <tableColumn id="11" name="Peak Equity ₹"/>
    <tableColumn id="12" name="Drawdown from Peak ₹"/>
    <tableColumn id="13" name="Drawdown %"/>
    <tableColumn id="14" name="Week Start (Mon)"/>
    <tableColumn id="15" name="Week-to-Date Net ₹"/>
    <tableColumn id="16" name="Rule Adherence %"/>
    <tableColumn id="17" name="Rule Breaks"/>
    <tableColumn id="18" name="Max Lots Used"/>
    <tableColumn id="19" name="Profit Given Back ₹"/>
    <tableColumn id="20" name="Expiry Cutoff Breaches"/>
    <tableColumn id="21" name="Daily Loss Limit"/>
    <tableColumn id="22" name="Max Trades"/>
    <tableColumn id="23" name="Weekly Drawdown"/>
    <tableColumn id="24" name="Day Status"/>
  </tableColumns>
  <tableStyleInfo name="TableStyleLight15" showRowStripes="1"/>
</table>
</file>

<file path=xl/tables/table4.xml><?xml version="1.0" encoding="utf-8"?>
<table xmlns="http://schemas.openxmlformats.org/spreadsheetml/2006/main" id="4" name="tblLInstrument" displayName="tblLInstrument" ref="A4:A8" headerRowCount="1">
  <autoFilter ref="A4:A8"/>
  <tableColumns count="1">
    <tableColumn id="1" name="Instrument"/>
  </tableColumns>
  <tableStyleInfo name="TableStyleLight1" showRowStripes="1"/>
</table>
</file>

<file path=xl/tables/table5.xml><?xml version="1.0" encoding="utf-8"?>
<table xmlns="http://schemas.openxmlformats.org/spreadsheetml/2006/main" id="5" name="tblLOptType" displayName="tblLOptType" ref="B4:B6" headerRowCount="1">
  <autoFilter ref="B4:B6"/>
  <tableColumns count="1">
    <tableColumn id="2" name="CE/PE"/>
  </tableColumns>
  <tableStyleInfo name="TableStyleLight1" showRowStripes="1"/>
</table>
</file>

<file path=xl/tables/table6.xml><?xml version="1.0" encoding="utf-8"?>
<table xmlns="http://schemas.openxmlformats.org/spreadsheetml/2006/main" id="6" name="tblLSide" displayName="tblLSide" ref="C4:C6" headerRowCount="1">
  <autoFilter ref="C4:C6"/>
  <tableColumns count="1">
    <tableColumn id="3" name="Buy/Sell"/>
  </tableColumns>
  <tableStyleInfo name="TableStyleLight1" showRowStripes="1"/>
</table>
</file>

<file path=xl/tables/table7.xml><?xml version="1.0" encoding="utf-8"?>
<table xmlns="http://schemas.openxmlformats.org/spreadsheetml/2006/main" id="7" name="tblLStrategy" displayName="tblLStrategy" ref="D4:D14" headerRowCount="1">
  <autoFilter ref="D4:D14"/>
  <tableColumns count="1">
    <tableColumn id="4" name="Strategy"/>
  </tableColumns>
  <tableStyleInfo name="TableStyleLight1" showRowStripes="1"/>
</table>
</file>

<file path=xl/tables/table8.xml><?xml version="1.0" encoding="utf-8"?>
<table xmlns="http://schemas.openxmlformats.org/spreadsheetml/2006/main" id="8" name="tblLExitReason" displayName="tblLExitReason" ref="E4:E11" headerRowCount="1">
  <autoFilter ref="E4:E11"/>
  <tableColumns count="1">
    <tableColumn id="5" name="Exit Reason"/>
  </tableColumns>
  <tableStyleInfo name="TableStyleLight1" showRowStripes="1"/>
</table>
</file>

<file path=xl/tables/table9.xml><?xml version="1.0" encoding="utf-8"?>
<table xmlns="http://schemas.openxmlformats.org/spreadsheetml/2006/main" id="9" name="tblLRuleBroken" displayName="tblLRuleBroken" ref="F4:F15" headerRowCount="1">
  <autoFilter ref="F4:F15"/>
  <tableColumns count="1">
    <tableColumn id="6" name="Rule Broken"/>
  </tableColumns>
  <tableStyleInfo name="TableStyleLight1" showRowStripes="1"/>
</table>
</file>

<file path=xl/tables/table10.xml><?xml version="1.0" encoding="utf-8"?>
<table xmlns="http://schemas.openxmlformats.org/spreadsheetml/2006/main" id="10" name="tblLEmotion" displayName="tblLEmotion" ref="G4:G16" headerRowCount="1">
  <autoFilter ref="G4:G16"/>
  <tableColumns count="1">
    <tableColumn id="7" name="Emotion"/>
  </tableColumns>
  <tableStyleInfo name="TableStyleLight1" showRowStripes="1"/>
</table>
</file>

<file path=xl/tables/table11.xml><?xml version="1.0" encoding="utf-8"?>
<table xmlns="http://schemas.openxmlformats.org/spreadsheetml/2006/main" id="11" name="tblLGrade" displayName="tblLGrade" ref="H4:H7" headerRowCount="1">
  <autoFilter ref="H4:H7"/>
  <tableColumns count="1">
    <tableColumn id="8" name="Setup Grade"/>
  </tableColumns>
  <tableStyleInfo name="TableStyleLight1" showRowStripes="1"/>
</table>
</file>

<file path=xl/tables/table12.xml><?xml version="1.0" encoding="utf-8"?>
<table xmlns="http://schemas.openxmlformats.org/spreadsheetml/2006/main" id="12" name="tblLYN" displayName="tblLYN" ref="I4:I6" headerRowCount="1">
  <autoFilter ref="I4:I6"/>
  <tableColumns count="1">
    <tableColumn id="9" name="Y/N"/>
  </tableColumns>
  <tableStyleInfo name="TableStyleLight1" showRowStripes="1"/>
</table>
</file>

<file path=xl/tables/table13.xml><?xml version="1.0" encoding="utf-8"?>
<table xmlns="http://schemas.openxmlformats.org/spreadsheetml/2006/main" id="13" name="tblLBias" displayName="tblLBias" ref="J4:J10" headerRowCount="1">
  <autoFilter ref="J4:J10"/>
  <tableColumns count="1">
    <tableColumn id="10" name="Market Bias"/>
  </tableColumns>
  <tableStyleInfo name="TableStyleLight1" showRowStripes="1"/>
</table>
</file>

<file path=xl/tables/table14.xml><?xml version="1.0" encoding="utf-8"?>
<table xmlns="http://schemas.openxmlformats.org/spreadsheetml/2006/main" id="14" name="tblLScale" displayName="tblLScale" ref="K4:K9" headerRowCount="1">
  <autoFilter ref="K4:K9"/>
  <tableColumns count="1">
    <tableColumn id="11" name="Scale 1-5"/>
  </tableColumns>
  <tableStyleInfo name="TableStyleLight1" showRowStripes="1"/>
</table>
</file>

<file path=xl/tables/table15.xml><?xml version="1.0" encoding="utf-8"?>
<table xmlns="http://schemas.openxmlformats.org/spreadsheetml/2006/main" id="15" name="tblLWeekday" displayName="tblLWeekday" ref="L4:L9" headerRowCount="1">
  <autoFilter ref="L4:L9"/>
  <tableColumns count="1">
    <tableColumn id="12" name="Weekday"/>
  </tableColumns>
  <tableStyleInfo name="TableStyleLight1" showRowStripes="1"/>
</table>
</file>

<file path=xl/tables/table16.xml><?xml version="1.0" encoding="utf-8"?>
<table xmlns="http://schemas.openxmlformats.org/spreadsheetml/2006/main" id="16" name="tblLBuckets" displayName="tblLBuckets" ref="M4:N10" headerRowCount="1">
  <autoFilter ref="M4:N10"/>
  <tableColumns count="2">
    <tableColumn id="13" name="Bucket Start"/>
    <tableColumn id="14" name="Entry-Time Bucke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Relationship Type="http://schemas.openxmlformats.org/officeDocument/2006/relationships/table" Target="/xl/tables/table7.xml" Id="rId4"/><Relationship Type="http://schemas.openxmlformats.org/officeDocument/2006/relationships/table" Target="/xl/tables/table8.xml" Id="rId5"/><Relationship Type="http://schemas.openxmlformats.org/officeDocument/2006/relationships/table" Target="/xl/tables/table9.xml" Id="rId6"/><Relationship Type="http://schemas.openxmlformats.org/officeDocument/2006/relationships/table" Target="/xl/tables/table10.xml" Id="rId7"/><Relationship Type="http://schemas.openxmlformats.org/officeDocument/2006/relationships/table" Target="/xl/tables/table11.xml" Id="rId8"/><Relationship Type="http://schemas.openxmlformats.org/officeDocument/2006/relationships/table" Target="/xl/tables/table12.xml" Id="rId9"/><Relationship Type="http://schemas.openxmlformats.org/officeDocument/2006/relationships/table" Target="/xl/tables/table13.xml" Id="rId10"/><Relationship Type="http://schemas.openxmlformats.org/officeDocument/2006/relationships/table" Target="/xl/tables/table14.xml" Id="rId11"/><Relationship Type="http://schemas.openxmlformats.org/officeDocument/2006/relationships/table" Target="/xl/tables/table15.xml" Id="rId12"/><Relationship Type="http://schemas.openxmlformats.org/officeDocument/2006/relationships/table" Target="/xl/tables/table16.xml" Id="rId13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66"/>
  <sheetViews>
    <sheetView showGridLines="0" zoomScale="9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6" customWidth="1" min="3" max="3"/>
    <col width="62" customWidth="1" min="4" max="4"/>
    <col width="3" customWidth="1" min="5" max="5"/>
  </cols>
  <sheetData>
    <row r="1">
      <c r="A1" s="1" t="inlineStr">
        <is>
          <t>NIFTY Weekly Options – Trading Rules &amp; Journal</t>
        </is>
      </c>
    </row>
    <row r="2">
      <c r="A2" s="2" t="inlineStr">
        <is>
          <t>Blue text on yellow = inputs you edit. Black = formulas (do not overwrite).</t>
        </is>
      </c>
    </row>
    <row r="4">
      <c r="B4" s="3" t="inlineStr">
        <is>
          <t>HOW TO USE (target: &lt; 5 minutes per trade)</t>
        </is>
      </c>
      <c r="C4" s="4" t="n"/>
      <c r="D4" s="4" t="n"/>
    </row>
    <row r="5">
      <c r="B5" s="5" t="inlineStr">
        <is>
          <t>1. Once: set your inputs below (capital, risk %, limits, lot size, charges). Everything else recalculates.</t>
        </is>
      </c>
    </row>
    <row r="6">
      <c r="B6" s="5" t="inlineStr">
        <is>
          <t>2. Before 09:15: fill one row on PRE-MARKET. If it says NO TRADE / HALF SIZE, respect it.</t>
        </is>
      </c>
    </row>
    <row r="7">
      <c r="B7" s="5" t="inlineStr">
        <is>
          <t>3. Before each entry: use the Position-Size Calculator below. Lots must not exceed 'Lots allowed'.</t>
        </is>
      </c>
    </row>
    <row r="8">
      <c r="B8" s="5" t="inlineStr">
        <is>
          <t>4. After each exit: fill one row on TRADE LOG (blue columns only). Grey-header columns are automatic.</t>
        </is>
      </c>
    </row>
    <row r="9">
      <c r="B9" s="5" t="inlineStr">
        <is>
          <t>5. Check DASHBOARD after every trade. If it shows STOP TRADING TODAY – close the terminal.</t>
        </is>
      </c>
    </row>
    <row r="10">
      <c r="B10" s="5" t="inlineStr">
        <is>
          <t>6. Friday/weekend: complete WEEKLY REVIEW (20 min). Pick ONE change for next week.</t>
        </is>
      </c>
    </row>
    <row r="11">
      <c r="B11" s="5" t="inlineStr">
        <is>
          <t>7. Sample trades on TRADE LOG / PRE-MARKET are examples – delete their blue inputs when you start.</t>
        </is>
      </c>
    </row>
    <row r="12">
      <c r="B12" s="5" t="inlineStr">
        <is>
          <t>8. For spreads/condors you may log the net credit as one row and set Legs = 2 or 4 (charges approximate).</t>
        </is>
      </c>
    </row>
    <row r="14">
      <c r="B14" s="3" t="inlineStr">
        <is>
          <t>INPUTS – risk limits</t>
        </is>
      </c>
      <c r="C14" s="6" t="inlineStr">
        <is>
          <t>Value</t>
        </is>
      </c>
      <c r="D14" s="6" t="inlineStr">
        <is>
          <t>Notes / source</t>
        </is>
      </c>
    </row>
    <row r="15">
      <c r="B15" s="7" t="inlineStr">
        <is>
          <t>Trading capital (₹)</t>
        </is>
      </c>
      <c r="C15" s="8" t="n">
        <v>270000</v>
      </c>
      <c r="D15" s="7" t="inlineStr">
        <is>
          <t>Current account value. Update monthly (not daily).</t>
        </is>
      </c>
    </row>
    <row r="16">
      <c r="B16" s="7" t="inlineStr">
        <is>
          <t>Risk per trade (% of capital)</t>
        </is>
      </c>
      <c r="C16" s="9" t="n">
        <v>0.01</v>
      </c>
      <c r="D16" s="7" t="inlineStr">
        <is>
          <t>Default 1%. Max 2% for small accounts.</t>
        </is>
      </c>
    </row>
    <row r="17">
      <c r="B17" s="7" t="inlineStr">
        <is>
          <t>Daily loss limit (% of capital)</t>
        </is>
      </c>
      <c r="C17" s="9" t="n">
        <v>0.02</v>
      </c>
      <c r="D17" s="7" t="inlineStr">
        <is>
          <t>Hit it = stop for the day. No exceptions.</t>
        </is>
      </c>
    </row>
    <row r="18">
      <c r="B18" s="7" t="inlineStr">
        <is>
          <t>Weekly max drawdown (% of capital)</t>
        </is>
      </c>
      <c r="C18" s="9" t="n">
        <v>0.06</v>
      </c>
      <c r="D18" s="7" t="inlineStr">
        <is>
          <t>Week-to-date net loss. Hit it = no trading until next Monday.</t>
        </is>
      </c>
    </row>
    <row r="19">
      <c r="B19" s="7" t="inlineStr">
        <is>
          <t>Expiry-day exit cutoff (time)</t>
        </is>
      </c>
      <c r="C19" s="10" t="n">
        <v>0.6145833333333334</v>
      </c>
      <c r="D19" s="7" t="inlineStr">
        <is>
          <t>All short options flat by this time on expiry day (DTE 0).</t>
        </is>
      </c>
    </row>
    <row r="20">
      <c r="B20" s="7" t="inlineStr">
        <is>
          <t>Max lots per position</t>
        </is>
      </c>
      <c r="C20" s="11" t="n">
        <v>2</v>
      </c>
      <c r="D20" s="7" t="inlineStr">
        <is>
          <t>Hard cap even if the risk calc allows more.</t>
        </is>
      </c>
    </row>
    <row r="21">
      <c r="B21" s="7" t="inlineStr">
        <is>
          <t>Max trades per day</t>
        </is>
      </c>
      <c r="C21" s="11" t="n">
        <v>3</v>
      </c>
      <c r="D21" s="7" t="inlineStr">
        <is>
          <t>Counts every logged row (each leg if you log legs).</t>
        </is>
      </c>
    </row>
    <row r="22">
      <c r="B22" s="7" t="inlineStr">
        <is>
          <t>Max consecutive losses → stop for day</t>
        </is>
      </c>
      <c r="C22" s="11" t="n">
        <v>2</v>
      </c>
      <c r="D22" s="7" t="inlineStr">
        <is>
          <t>Anti-tilt circuit breaker.</t>
        </is>
      </c>
    </row>
    <row r="23">
      <c r="B23" s="7" t="inlineStr">
        <is>
          <t>NIFTY lot size (units)</t>
        </is>
      </c>
      <c r="C23" s="11" t="n">
        <v>65</v>
      </c>
      <c r="D23" s="7" t="inlineStr">
        <is>
          <t>NSE: 65 from Jan-2026 series (was 75). Re-check NSE circulars each Jun/Dec.</t>
        </is>
      </c>
    </row>
    <row r="24">
      <c r="B24" s="7" t="inlineStr">
        <is>
          <t>Weekly expiry day</t>
        </is>
      </c>
      <c r="C24" s="12" t="inlineStr">
        <is>
          <t>Tuesday</t>
        </is>
      </c>
      <c r="D24" s="7" t="inlineStr">
        <is>
          <t>NIFTY weekly expiry = Tuesday since Sep-2025 (SEBI expiry-day framework).</t>
        </is>
      </c>
    </row>
    <row r="26">
      <c r="B26" s="3" t="inlineStr">
        <is>
          <t>INPUTS – Zerodha F&amp;O option charges (verify on zerodha.com/charges)</t>
        </is>
      </c>
      <c r="C26" s="4" t="n"/>
      <c r="D26" s="4" t="n"/>
    </row>
    <row r="27">
      <c r="B27" s="7" t="inlineStr">
        <is>
          <t>Brokerage per executed order (₹)</t>
        </is>
      </c>
      <c r="C27" s="8" t="n">
        <v>20</v>
      </c>
      <c r="D27" s="7" t="inlineStr">
        <is>
          <t>Flat ₹20/order for F&amp;O options.</t>
        </is>
      </c>
    </row>
    <row r="28">
      <c r="B28" s="7" t="inlineStr">
        <is>
          <t>STT – sell side, on premium</t>
        </is>
      </c>
      <c r="C28" s="13" t="n">
        <v>0.0015</v>
      </c>
      <c r="D28" s="7" t="inlineStr">
        <is>
          <t>0.15% from 1-Apr-2026 (Union Budget 2026-27; was 0.10%).</t>
        </is>
      </c>
    </row>
    <row r="29">
      <c r="B29" s="7" t="inlineStr">
        <is>
          <t>NSE transaction charge, on premium turnover</t>
        </is>
      </c>
      <c r="C29" s="14" t="n">
        <v>0.0003503</v>
      </c>
      <c r="D29" s="7" t="inlineStr">
        <is>
          <t>0.03503% (NSE options).</t>
        </is>
      </c>
    </row>
    <row r="30">
      <c r="B30" s="7" t="inlineStr">
        <is>
          <t>SEBI turnover fee (₹10 per crore)</t>
        </is>
      </c>
      <c r="C30" s="15" t="n">
        <v>1e-06</v>
      </c>
      <c r="D30" s="7" t="inlineStr">
        <is>
          <t>₹10 / ₹1,00,00,000 = 0.0001%.</t>
        </is>
      </c>
    </row>
    <row r="31">
      <c r="B31" s="7" t="inlineStr">
        <is>
          <t>Stamp duty – buy side</t>
        </is>
      </c>
      <c r="C31" s="13" t="n">
        <v>3e-05</v>
      </c>
      <c r="D31" s="7" t="inlineStr">
        <is>
          <t>0.003% on buy value.</t>
        </is>
      </c>
    </row>
    <row r="32">
      <c r="B32" s="7" t="inlineStr">
        <is>
          <t>GST on brokerage + exchange + SEBI fees</t>
        </is>
      </c>
      <c r="C32" s="9" t="n">
        <v>0.18</v>
      </c>
      <c r="D32" s="7" t="inlineStr">
        <is>
          <t>18%.</t>
        </is>
      </c>
    </row>
    <row r="34">
      <c r="B34" s="3" t="inlineStr">
        <is>
          <t>AUTO-CALCULATED LIMITS (₹)</t>
        </is>
      </c>
      <c r="C34" s="4" t="n"/>
      <c r="D34" s="4" t="n"/>
    </row>
    <row r="35">
      <c r="B35" s="7" t="inlineStr">
        <is>
          <t>Max risk per trade (1R) ₹</t>
        </is>
      </c>
      <c r="C35" s="16">
        <f>Capital*RiskPct</f>
        <v/>
      </c>
      <c r="D35" s="7" t="inlineStr">
        <is>
          <t>Your 1R. Planned SL loss must be ≤ this.</t>
        </is>
      </c>
    </row>
    <row r="36">
      <c r="B36" s="7" t="inlineStr">
        <is>
          <t>Daily loss limit ₹</t>
        </is>
      </c>
      <c r="C36" s="16">
        <f>Capital*DailyLossPct</f>
        <v/>
      </c>
      <c r="D36" s="7" t="inlineStr">
        <is>
          <t>Your ₹1.2 lakh day would be ~22x this limit.</t>
        </is>
      </c>
    </row>
    <row r="37">
      <c r="B37" s="7" t="inlineStr">
        <is>
          <t>Weekly drawdown limit ₹</t>
        </is>
      </c>
      <c r="C37" s="16">
        <f>Capital*WeeklyDDPct</f>
        <v/>
      </c>
      <c r="D37" s="7" t="inlineStr"/>
    </row>
    <row r="38">
      <c r="B38" s="7" t="inlineStr">
        <is>
          <t>Max SL distance for 1 lot (premium pts)</t>
        </is>
      </c>
      <c r="C38" s="17">
        <f>RiskPerTrade/LotSize</f>
        <v/>
      </c>
      <c r="D38" s="7" t="inlineStr">
        <is>
          <t>If your SL is wider than this, the trade is too big even at 1 lot.</t>
        </is>
      </c>
    </row>
    <row r="39">
      <c r="B39" s="7" t="inlineStr">
        <is>
          <t>Losing days in a row to hit weekly limit</t>
        </is>
      </c>
      <c r="C39" s="18">
        <f>IFERROR(WeeklyDDLimit/DailyLossLimit,0)</f>
        <v/>
      </c>
      <c r="D39" s="7" t="inlineStr">
        <is>
          <t>Weekly limit = this many max-loss days.</t>
        </is>
      </c>
    </row>
    <row r="41">
      <c r="B41" s="3" t="inlineStr">
        <is>
          <t>POSITION-SIZE CALCULATOR (use before every entry)</t>
        </is>
      </c>
      <c r="C41" s="4" t="n"/>
      <c r="D41" s="4" t="n"/>
    </row>
    <row r="42">
      <c r="B42" s="7" t="inlineStr">
        <is>
          <t>Entry premium (₹)</t>
        </is>
      </c>
      <c r="C42" s="19" t="n">
        <v>51</v>
      </c>
      <c r="D42" s="7" t="inlineStr">
        <is>
          <t>Option price you will sell at.</t>
        </is>
      </c>
    </row>
    <row r="43">
      <c r="B43" s="7" t="inlineStr">
        <is>
          <t>Hard stop-loss premium (₹)</t>
        </is>
      </c>
      <c r="C43" s="19" t="n">
        <v>66</v>
      </c>
      <c r="D43" s="7" t="inlineStr">
        <is>
          <t>Place this as an SL-M / SL-L order immediately after entry.</t>
        </is>
      </c>
    </row>
    <row r="44">
      <c r="B44" s="7" t="inlineStr">
        <is>
          <t>SL distance (pts)</t>
        </is>
      </c>
      <c r="C44" s="17">
        <f>ABS(C43-C42)</f>
        <v/>
      </c>
    </row>
    <row r="45">
      <c r="B45" s="7" t="inlineStr">
        <is>
          <t>Risk per lot ₹</t>
        </is>
      </c>
      <c r="C45" s="16">
        <f>C44*LotSize</f>
        <v/>
      </c>
    </row>
    <row r="46">
      <c r="B46" s="20" t="inlineStr">
        <is>
          <t>Lots allowed (risk-based, capped at Max lots)</t>
        </is>
      </c>
      <c r="C46" s="21">
        <f>IF(C45&lt;=0,0,MIN(MaxLots,INT(RiskPerTrade/C45)))</f>
        <v/>
      </c>
      <c r="D46" s="7">
        <f>IF(C46=0,"SL too wide for your 1R – skip or tighten / use a spread.","Max lots for this trade.")</f>
        <v/>
      </c>
    </row>
    <row r="47">
      <c r="B47" s="7" t="inlineStr">
        <is>
          <t>Total risk at allowed lots ₹</t>
        </is>
      </c>
      <c r="C47" s="16">
        <f>C46*C45</f>
        <v/>
      </c>
    </row>
    <row r="49">
      <c r="B49" s="3" t="inlineStr">
        <is>
          <t>MY RULES (built from the inputs above)</t>
        </is>
      </c>
      <c r="C49" s="4" t="n"/>
      <c r="D49" s="4" t="n"/>
    </row>
    <row r="50">
      <c r="B50" s="5">
        <f>"R1  Size: risk ≤ "&amp;TEXT(RiskPerTrade,"₹#,##0")&amp;" per trade (1R) and never more than "&amp;MaxLots&amp;" lots."</f>
        <v/>
      </c>
    </row>
    <row r="51">
      <c r="B51" s="5">
        <f>"R2  Hard SL: a stop-loss ORDER goes in within 30 seconds of entry. Mental stops do not count."</f>
        <v/>
      </c>
    </row>
    <row r="52">
      <c r="B52" s="5">
        <f>"R3  Never move or cancel an SL further away. Only trail it toward profit."</f>
        <v/>
      </c>
    </row>
    <row r="53">
      <c r="B53" s="5">
        <f>"R4  Expiry day (DTE 0): all shorts flat by "&amp;TEXT(ExpiryCutoff,"hh:mm")&amp;". No new shorts after 14:00."</f>
        <v/>
      </c>
    </row>
    <row r="54">
      <c r="B54" s="5">
        <f>"R5  After any SL hit: 15-minute break before the next entry. No re-entry in the same strike."</f>
        <v/>
      </c>
    </row>
    <row r="55">
      <c r="B55" s="5">
        <f>"R6  Max "&amp;MaxTradesDay&amp;" trades per day."</f>
        <v/>
      </c>
    </row>
    <row r="56">
      <c r="B56" s="5">
        <f>"R7  Day net ≤ -"&amp;TEXT(DailyLossLimit,"₹#,##0")&amp;" or "&amp;MaxConsecLosses&amp;" losses in a row = done for the day. Week ≤ -"&amp;TEXT(WeeklyDDLimit,"₹#,##0")&amp;" = done for the week."</f>
        <v/>
      </c>
    </row>
    <row r="57">
      <c r="B57" s="5">
        <f>"R8  Profit protection: at 40% of premium captured, SL to cost; at 60%, trail SL to lock half the open profit."</f>
        <v/>
      </c>
    </row>
    <row r="58">
      <c r="B58" s="5">
        <f>"R9  Only A/B setups written on PRE-MARKET. No FOMO entries."</f>
        <v/>
      </c>
    </row>
    <row r="59">
      <c r="B59" s="5">
        <f>"R10 Emotional state ≤ 2, sleep &lt; 6h or 'trading to recover' = Y → no trading or half size."</f>
        <v/>
      </c>
    </row>
    <row r="61">
      <c r="B61" s="3" t="inlineStr">
        <is>
          <t>COLOUR LEGEND</t>
        </is>
      </c>
      <c r="C61" s="4" t="n"/>
      <c r="D61" s="4" t="n"/>
    </row>
    <row r="62">
      <c r="B62" s="12" t="inlineStr">
        <is>
          <t>Blue text, yellow fill</t>
        </is>
      </c>
      <c r="D62" s="7" t="inlineStr">
        <is>
          <t>Input – type here</t>
        </is>
      </c>
    </row>
    <row r="63">
      <c r="B63" s="7" t="inlineStr">
        <is>
          <t>Black text</t>
        </is>
      </c>
      <c r="D63" s="7" t="inlineStr">
        <is>
          <t>Formula – do not overwrite</t>
        </is>
      </c>
    </row>
    <row r="64">
      <c r="B64" s="22" t="inlineStr">
        <is>
          <t>Blue column header (logs)</t>
        </is>
      </c>
      <c r="D64" s="7" t="inlineStr">
        <is>
          <t>Input column on TRADE LOG / PRE-MARKET</t>
        </is>
      </c>
    </row>
    <row r="65">
      <c r="B65" s="23" t="inlineStr">
        <is>
          <t>Dark-grey column header (logs)</t>
        </is>
      </c>
      <c r="D65" s="7" t="inlineStr">
        <is>
          <t>Automatic column</t>
        </is>
      </c>
    </row>
    <row r="66">
      <c r="B66" s="24" t="inlineStr">
        <is>
          <t>Red fill</t>
        </is>
      </c>
      <c r="D66" s="7" t="inlineStr">
        <is>
          <t>Rule / limit breach</t>
        </is>
      </c>
    </row>
  </sheetData>
  <mergeCells count="18">
    <mergeCell ref="B10:D10"/>
    <mergeCell ref="B11:D11"/>
    <mergeCell ref="B59:D59"/>
    <mergeCell ref="B5:D5"/>
    <mergeCell ref="B54:D54"/>
    <mergeCell ref="B57:D57"/>
    <mergeCell ref="B8:D8"/>
    <mergeCell ref="B50:D50"/>
    <mergeCell ref="B9:D9"/>
    <mergeCell ref="B56:D56"/>
    <mergeCell ref="B58:D58"/>
    <mergeCell ref="B52:D52"/>
    <mergeCell ref="B53:D53"/>
    <mergeCell ref="B12:D12"/>
    <mergeCell ref="B7:D7"/>
    <mergeCell ref="B55:D55"/>
    <mergeCell ref="B6:D6"/>
    <mergeCell ref="B51:D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/>
  </sheetPr>
  <dimension ref="A1:AE105"/>
  <sheetViews>
    <sheetView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11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  <col width="8" customWidth="1" min="9" max="9"/>
    <col width="8" customWidth="1" min="10" max="10"/>
    <col width="8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8" customWidth="1" min="18" max="18"/>
    <col width="10" customWidth="1" min="19" max="19"/>
    <col width="10" customWidth="1" min="20" max="20"/>
    <col width="9" customWidth="1" min="21" max="21"/>
    <col width="9" customWidth="1" min="22" max="22"/>
    <col width="9" customWidth="1" min="23" max="23"/>
    <col width="13" customWidth="1" min="24" max="24"/>
    <col width="42" customWidth="1" min="25" max="25"/>
    <col width="8" customWidth="1" min="26" max="26"/>
    <col width="7" customWidth="1" min="27" max="27"/>
    <col width="7" customWidth="1" min="28" max="28"/>
    <col width="10" customWidth="1" min="29" max="29"/>
    <col width="11" customWidth="1" min="30" max="30"/>
    <col width="20" customWidth="1" min="31" max="31"/>
  </cols>
  <sheetData>
    <row r="1">
      <c r="A1" s="1" t="inlineStr">
        <is>
          <t>PRE-MARKET PLAN – fill before 09:15</t>
        </is>
      </c>
    </row>
    <row r="2">
      <c r="A2" s="2" t="inlineStr">
        <is>
          <t>Score: Emotional State 1 = very poor … 5 = excellent; Stress 1 = none … 5 = extreme. VIX 1-SD move = Prev Close × VIX/100/√252 (≈68% of days stay inside).</t>
        </is>
      </c>
    </row>
    <row r="3">
      <c r="A3" s="2" t="inlineStr">
        <is>
          <t>Levels: CPR (Pivot/BC/TC), R1/S1 from previous day H/L/C. Max pain and OI strikes from the option chain (Sensibull/Opstra/NSE).</t>
        </is>
      </c>
    </row>
    <row r="5" ht="54" customHeight="1">
      <c r="A5" s="25" t="inlineStr">
        <is>
          <t>Date</t>
        </is>
      </c>
      <c r="B5" s="26" t="inlineStr">
        <is>
          <t>Day</t>
        </is>
      </c>
      <c r="C5" s="25" t="inlineStr">
        <is>
          <t>Next Expiry</t>
        </is>
      </c>
      <c r="D5" s="26" t="inlineStr">
        <is>
          <t>DTE</t>
        </is>
      </c>
      <c r="E5" s="25" t="inlineStr">
        <is>
          <t>Prev High</t>
        </is>
      </c>
      <c r="F5" s="25" t="inlineStr">
        <is>
          <t>Prev Low</t>
        </is>
      </c>
      <c r="G5" s="25" t="inlineStr">
        <is>
          <t>NIFTY Prev Close</t>
        </is>
      </c>
      <c r="H5" s="25" t="inlineStr">
        <is>
          <t>Open / Pre-open</t>
        </is>
      </c>
      <c r="I5" s="26" t="inlineStr">
        <is>
          <t>Gap (pts)</t>
        </is>
      </c>
      <c r="J5" s="26" t="inlineStr">
        <is>
          <t>Gap %</t>
        </is>
      </c>
      <c r="K5" s="25" t="inlineStr">
        <is>
          <t>India VIX</t>
        </is>
      </c>
      <c r="L5" s="26" t="inlineStr">
        <is>
          <t>VIX 1-SD Day Move (pts)</t>
        </is>
      </c>
      <c r="M5" s="26" t="inlineStr">
        <is>
          <t>Expected Low (Open - 1SD)</t>
        </is>
      </c>
      <c r="N5" s="26" t="inlineStr">
        <is>
          <t>Expected High (Open + 1SD)</t>
        </is>
      </c>
      <c r="O5" s="26" t="inlineStr">
        <is>
          <t>Pivot (P)</t>
        </is>
      </c>
      <c r="P5" s="26" t="inlineStr">
        <is>
          <t>CPR BC</t>
        </is>
      </c>
      <c r="Q5" s="26" t="inlineStr">
        <is>
          <t>CPR TC</t>
        </is>
      </c>
      <c r="R5" s="26" t="inlineStr">
        <is>
          <t>CPR Width %</t>
        </is>
      </c>
      <c r="S5" s="26" t="inlineStr">
        <is>
          <t>R1</t>
        </is>
      </c>
      <c r="T5" s="26" t="inlineStr">
        <is>
          <t>S1</t>
        </is>
      </c>
      <c r="U5" s="25" t="inlineStr">
        <is>
          <t>Max Pain</t>
        </is>
      </c>
      <c r="V5" s="25" t="inlineStr">
        <is>
          <t>Highest Call OI Strike</t>
        </is>
      </c>
      <c r="W5" s="25" t="inlineStr">
        <is>
          <t>Highest Put OI Strike</t>
        </is>
      </c>
      <c r="X5" s="25" t="inlineStr">
        <is>
          <t>Market Bias</t>
        </is>
      </c>
      <c r="Y5" s="25" t="inlineStr">
        <is>
          <t>Planned Setups (strikes, entry trigger, SL)</t>
        </is>
      </c>
      <c r="Z5" s="25" t="inlineStr">
        <is>
          <t>Emotional State (1-5)</t>
        </is>
      </c>
      <c r="AA5" s="25" t="inlineStr">
        <is>
          <t>Sleep (hrs)</t>
        </is>
      </c>
      <c r="AB5" s="25" t="inlineStr">
        <is>
          <t>Stress (1-5)</t>
        </is>
      </c>
      <c r="AC5" s="25" t="inlineStr">
        <is>
          <t>Trading to Recover Losses? (Y/N)</t>
        </is>
      </c>
      <c r="AD5" s="26" t="inlineStr">
        <is>
          <t>Last Session Net P&amp;L ₹</t>
        </is>
      </c>
      <c r="AE5" s="26" t="inlineStr">
        <is>
          <t>GO / NO-GO</t>
        </is>
      </c>
    </row>
    <row r="6">
      <c r="A6" s="27" t="n">
        <v>46289</v>
      </c>
      <c r="B6" s="5">
        <f>IF(A6="","",TEXT(A6,"ddd"))</f>
        <v/>
      </c>
      <c r="C6" s="27" t="n">
        <v>46294</v>
      </c>
      <c r="D6" s="28">
        <f>IF(OR(A6="",C6=""),"",MAX(0,NETWORKDAYS(A6,C6)-1))</f>
        <v/>
      </c>
      <c r="E6" s="29" t="n">
        <v>25868</v>
      </c>
      <c r="F6" s="29" t="n">
        <v>25742</v>
      </c>
      <c r="G6" s="29" t="n">
        <v>25790</v>
      </c>
      <c r="H6" s="29" t="n">
        <v>25805</v>
      </c>
      <c r="I6" s="30">
        <f>IF(OR(H6="",G6=""),"",H6-G6)</f>
        <v/>
      </c>
      <c r="J6" s="31">
        <f>IF(I6="","",I6/G6)</f>
        <v/>
      </c>
      <c r="K6" s="32" t="n">
        <v>11.6</v>
      </c>
      <c r="L6" s="33">
        <f>IF(OR(K6="",G6=""),"",G6*K6/100/SQRT(252))</f>
        <v/>
      </c>
      <c r="M6" s="33">
        <f>IF(OR(L6="",H6=""),"",H6-L6)</f>
        <v/>
      </c>
      <c r="N6" s="33">
        <f>IF(OR(L6="",H6=""),"",H6+L6)</f>
        <v/>
      </c>
      <c r="O6" s="34">
        <f>IF(OR(E6="",F6="",G6=""),"",(E6+F6+G6)/3)</f>
        <v/>
      </c>
      <c r="P6" s="34">
        <f>IF(O6="","",(E6+F6)/2)</f>
        <v/>
      </c>
      <c r="Q6" s="34">
        <f>IF(O6="","",2*O6-P6)</f>
        <v/>
      </c>
      <c r="R6" s="35">
        <f>IF(O6="","",ABS(Q6-P6)/O6)</f>
        <v/>
      </c>
      <c r="S6" s="34">
        <f>IF(O6="","",2*O6-F6)</f>
        <v/>
      </c>
      <c r="T6" s="34">
        <f>IF(O6="","",2*O6-E6)</f>
        <v/>
      </c>
      <c r="U6" s="36" t="n">
        <v>25800</v>
      </c>
      <c r="V6" s="36" t="n">
        <v>26000</v>
      </c>
      <c r="W6" s="36" t="n">
        <v>25600</v>
      </c>
      <c r="X6" s="37" t="inlineStr">
        <is>
          <t>Range-bound</t>
        </is>
      </c>
      <c r="Y6" s="37" t="inlineStr">
        <is>
          <t>Sell 26000/26200 CE spread above 25,830 rejection. SL 36. 2 lots max.</t>
        </is>
      </c>
      <c r="Z6" s="36" t="n">
        <v>4</v>
      </c>
      <c r="AA6" s="38" t="n">
        <v>7</v>
      </c>
      <c r="AB6" s="36" t="n">
        <v>2</v>
      </c>
      <c r="AC6" s="37" t="inlineStr">
        <is>
          <t>N</t>
        </is>
      </c>
      <c r="AD6" s="39">
        <f>IF(A6="","",IFERROR(SUMIFS(TL_Net,TL_Date,_xlfn.MAXIFS(TL_Date,TL_Date,"&lt;"&amp;A6)),0))</f>
        <v/>
      </c>
      <c r="AE6" s="5">
        <f>IF(A6="","",IF(OR(AC6="Y",AND(Z6&lt;&gt;"",N(Z6)&lt;=2),AND(AA6&lt;&gt;"",N(AA6)&lt;6),N(AB6)&gt;=4),"NO TRADE / HALF SIZE","GO"))</f>
        <v/>
      </c>
    </row>
    <row r="7">
      <c r="A7" s="27" t="n">
        <v>46290</v>
      </c>
      <c r="B7" s="5">
        <f>IF(A7="","",TEXT(A7,"ddd"))</f>
        <v/>
      </c>
      <c r="C7" s="27" t="n">
        <v>46294</v>
      </c>
      <c r="D7" s="28">
        <f>IF(OR(A7="",C7=""),"",MAX(0,NETWORKDAYS(A7,C7)-1))</f>
        <v/>
      </c>
      <c r="E7" s="29" t="n">
        <v>25851</v>
      </c>
      <c r="F7" s="29" t="n">
        <v>25760</v>
      </c>
      <c r="G7" s="29" t="n">
        <v>25795</v>
      </c>
      <c r="H7" s="29" t="n">
        <v>25801</v>
      </c>
      <c r="I7" s="30">
        <f>IF(OR(H7="",G7=""),"",H7-G7)</f>
        <v/>
      </c>
      <c r="J7" s="31">
        <f>IF(I7="","",I7/G7)</f>
        <v/>
      </c>
      <c r="K7" s="32" t="n">
        <v>12.2</v>
      </c>
      <c r="L7" s="33">
        <f>IF(OR(K7="",G7=""),"",G7*K7/100/SQRT(252))</f>
        <v/>
      </c>
      <c r="M7" s="33">
        <f>IF(OR(L7="",H7=""),"",H7-L7)</f>
        <v/>
      </c>
      <c r="N7" s="33">
        <f>IF(OR(L7="",H7=""),"",H7+L7)</f>
        <v/>
      </c>
      <c r="O7" s="34">
        <f>IF(OR(E7="",F7="",G7=""),"",(E7+F7+G7)/3)</f>
        <v/>
      </c>
      <c r="P7" s="34">
        <f>IF(O7="","",(E7+F7)/2)</f>
        <v/>
      </c>
      <c r="Q7" s="34">
        <f>IF(O7="","",2*O7-P7)</f>
        <v/>
      </c>
      <c r="R7" s="35">
        <f>IF(O7="","",ABS(Q7-P7)/O7)</f>
        <v/>
      </c>
      <c r="S7" s="34">
        <f>IF(O7="","",2*O7-F7)</f>
        <v/>
      </c>
      <c r="T7" s="34">
        <f>IF(O7="","",2*O7-E7)</f>
        <v/>
      </c>
      <c r="U7" s="36" t="n">
        <v>25800</v>
      </c>
      <c r="V7" s="36" t="n">
        <v>26000</v>
      </c>
      <c r="W7" s="36" t="n">
        <v>25700</v>
      </c>
      <c r="X7" s="37" t="inlineStr">
        <is>
          <t>Mildly Bullish</t>
        </is>
      </c>
      <c r="Y7" s="37" t="inlineStr">
        <is>
          <t>Sell 25650 PE if 25,760 holds. SL 57. 1 lot naked only.</t>
        </is>
      </c>
      <c r="Z7" s="36" t="n">
        <v>3</v>
      </c>
      <c r="AA7" s="38" t="n">
        <v>6.5</v>
      </c>
      <c r="AB7" s="36" t="n">
        <v>3</v>
      </c>
      <c r="AC7" s="37" t="inlineStr">
        <is>
          <t>N</t>
        </is>
      </c>
      <c r="AD7" s="39">
        <f>IF(A7="","",IFERROR(SUMIFS(TL_Net,TL_Date,_xlfn.MAXIFS(TL_Date,TL_Date,"&lt;"&amp;A7)),0))</f>
        <v/>
      </c>
      <c r="AE7" s="5">
        <f>IF(A7="","",IF(OR(AC7="Y",AND(Z7&lt;&gt;"",N(Z7)&lt;=2),AND(AA7&lt;&gt;"",N(AA7)&lt;6),N(AB7)&gt;=4),"NO TRADE / HALF SIZE","GO"))</f>
        <v/>
      </c>
    </row>
    <row r="8">
      <c r="A8" s="27" t="n">
        <v>46293</v>
      </c>
      <c r="B8" s="5">
        <f>IF(A8="","",TEXT(A8,"ddd"))</f>
        <v/>
      </c>
      <c r="C8" s="27" t="n">
        <v>46294</v>
      </c>
      <c r="D8" s="28">
        <f>IF(OR(A8="",C8=""),"",MAX(0,NETWORKDAYS(A8,C8)-1))</f>
        <v/>
      </c>
      <c r="E8" s="29" t="n">
        <v>25812</v>
      </c>
      <c r="F8" s="29" t="n">
        <v>25640</v>
      </c>
      <c r="G8" s="29" t="n">
        <v>25672</v>
      </c>
      <c r="H8" s="29" t="n">
        <v>25690</v>
      </c>
      <c r="I8" s="30">
        <f>IF(OR(H8="",G8=""),"",H8-G8)</f>
        <v/>
      </c>
      <c r="J8" s="31">
        <f>IF(I8="","",I8/G8)</f>
        <v/>
      </c>
      <c r="K8" s="32" t="n">
        <v>12.8</v>
      </c>
      <c r="L8" s="33">
        <f>IF(OR(K8="",G8=""),"",G8*K8/100/SQRT(252))</f>
        <v/>
      </c>
      <c r="M8" s="33">
        <f>IF(OR(L8="",H8=""),"",H8-L8)</f>
        <v/>
      </c>
      <c r="N8" s="33">
        <f>IF(OR(L8="",H8=""),"",H8+L8)</f>
        <v/>
      </c>
      <c r="O8" s="34">
        <f>IF(OR(E8="",F8="",G8=""),"",(E8+F8+G8)/3)</f>
        <v/>
      </c>
      <c r="P8" s="34">
        <f>IF(O8="","",(E8+F8)/2)</f>
        <v/>
      </c>
      <c r="Q8" s="34">
        <f>IF(O8="","",2*O8-P8)</f>
        <v/>
      </c>
      <c r="R8" s="35">
        <f>IF(O8="","",ABS(Q8-P8)/O8)</f>
        <v/>
      </c>
      <c r="S8" s="34">
        <f>IF(O8="","",2*O8-F8)</f>
        <v/>
      </c>
      <c r="T8" s="34">
        <f>IF(O8="","",2*O8-E8)</f>
        <v/>
      </c>
      <c r="U8" s="36" t="n">
        <v>25700</v>
      </c>
      <c r="V8" s="36" t="n">
        <v>26000</v>
      </c>
      <c r="W8" s="36" t="n">
        <v>25500</v>
      </c>
      <c r="X8" s="37" t="inlineStr">
        <is>
          <t>Range-bound</t>
        </is>
      </c>
      <c r="Y8" s="37" t="inlineStr">
        <is>
          <t>Bull put spread 25500/25300 near S1. Time exit 14:30.</t>
        </is>
      </c>
      <c r="Z8" s="36" t="n">
        <v>3</v>
      </c>
      <c r="AA8" s="38" t="n">
        <v>6</v>
      </c>
      <c r="AB8" s="36" t="n">
        <v>3</v>
      </c>
      <c r="AC8" s="37" t="inlineStr">
        <is>
          <t>Y</t>
        </is>
      </c>
      <c r="AD8" s="39">
        <f>IF(A8="","",IFERROR(SUMIFS(TL_Net,TL_Date,_xlfn.MAXIFS(TL_Date,TL_Date,"&lt;"&amp;A8)),0))</f>
        <v/>
      </c>
      <c r="AE8" s="5">
        <f>IF(A8="","",IF(OR(AC8="Y",AND(Z8&lt;&gt;"",N(Z8)&lt;=2),AND(AA8&lt;&gt;"",N(AA8)&lt;6),N(AB8)&gt;=4),"NO TRADE / HALF SIZE","GO"))</f>
        <v/>
      </c>
    </row>
    <row r="9">
      <c r="A9" s="27" t="n">
        <v>46294</v>
      </c>
      <c r="B9" s="5">
        <f>IF(A9="","",TEXT(A9,"ddd"))</f>
        <v/>
      </c>
      <c r="C9" s="27" t="n">
        <v>46294</v>
      </c>
      <c r="D9" s="28">
        <f>IF(OR(A9="",C9=""),"",MAX(0,NETWORKDAYS(A9,C9)-1))</f>
        <v/>
      </c>
      <c r="E9" s="29" t="n">
        <v>25748</v>
      </c>
      <c r="F9" s="29" t="n">
        <v>25661</v>
      </c>
      <c r="G9" s="29" t="n">
        <v>25731</v>
      </c>
      <c r="H9" s="29" t="n">
        <v>25790</v>
      </c>
      <c r="I9" s="30">
        <f>IF(OR(H9="",G9=""),"",H9-G9)</f>
        <v/>
      </c>
      <c r="J9" s="31">
        <f>IF(I9="","",I9/G9)</f>
        <v/>
      </c>
      <c r="K9" s="32" t="n">
        <v>13.9</v>
      </c>
      <c r="L9" s="33">
        <f>IF(OR(K9="",G9=""),"",G9*K9/100/SQRT(252))</f>
        <v/>
      </c>
      <c r="M9" s="33">
        <f>IF(OR(L9="",H9=""),"",H9-L9)</f>
        <v/>
      </c>
      <c r="N9" s="33">
        <f>IF(OR(L9="",H9=""),"",H9+L9)</f>
        <v/>
      </c>
      <c r="O9" s="34">
        <f>IF(OR(E9="",F9="",G9=""),"",(E9+F9+G9)/3)</f>
        <v/>
      </c>
      <c r="P9" s="34">
        <f>IF(O9="","",(E9+F9)/2)</f>
        <v/>
      </c>
      <c r="Q9" s="34">
        <f>IF(O9="","",2*O9-P9)</f>
        <v/>
      </c>
      <c r="R9" s="35">
        <f>IF(O9="","",ABS(Q9-P9)/O9)</f>
        <v/>
      </c>
      <c r="S9" s="34">
        <f>IF(O9="","",2*O9-F9)</f>
        <v/>
      </c>
      <c r="T9" s="34">
        <f>IF(O9="","",2*O9-E9)</f>
        <v/>
      </c>
      <c r="U9" s="36" t="n">
        <v>25750</v>
      </c>
      <c r="V9" s="36" t="n">
        <v>25900</v>
      </c>
      <c r="W9" s="36" t="n">
        <v>25700</v>
      </c>
      <c r="X9" s="37" t="inlineStr">
        <is>
          <t>Mildly Bearish</t>
        </is>
      </c>
      <c r="Y9" s="37" t="inlineStr">
        <is>
          <t>EXPIRY DAY. Max 2 lots. Exit all shorts by 14:45. Sell 25850 CE spread only on rejection.</t>
        </is>
      </c>
      <c r="Z9" s="36" t="n">
        <v>2</v>
      </c>
      <c r="AA9" s="38" t="n">
        <v>5</v>
      </c>
      <c r="AB9" s="36" t="n">
        <v>4</v>
      </c>
      <c r="AC9" s="37" t="inlineStr">
        <is>
          <t>Y</t>
        </is>
      </c>
      <c r="AD9" s="39">
        <f>IF(A9="","",IFERROR(SUMIFS(TL_Net,TL_Date,_xlfn.MAXIFS(TL_Date,TL_Date,"&lt;"&amp;A9)),0))</f>
        <v/>
      </c>
      <c r="AE9" s="5">
        <f>IF(A9="","",IF(OR(AC9="Y",AND(Z9&lt;&gt;"",N(Z9)&lt;=2),AND(AA9&lt;&gt;"",N(AA9)&lt;6),N(AB9)&gt;=4),"NO TRADE / HALF SIZE","GO"))</f>
        <v/>
      </c>
    </row>
    <row r="10">
      <c r="A10" s="27" t="n"/>
      <c r="B10" s="5">
        <f>IF(A10="","",TEXT(A10,"ddd"))</f>
        <v/>
      </c>
      <c r="C10" s="27" t="n"/>
      <c r="D10" s="28">
        <f>IF(OR(A10="",C10=""),"",MAX(0,NETWORKDAYS(A10,C10)-1))</f>
        <v/>
      </c>
      <c r="E10" s="29" t="n"/>
      <c r="F10" s="29" t="n"/>
      <c r="G10" s="29" t="n"/>
      <c r="H10" s="29" t="n"/>
      <c r="I10" s="30">
        <f>IF(OR(H10="",G10=""),"",H10-G10)</f>
        <v/>
      </c>
      <c r="J10" s="31">
        <f>IF(I10="","",I10/G10)</f>
        <v/>
      </c>
      <c r="K10" s="32" t="n"/>
      <c r="L10" s="33">
        <f>IF(OR(K10="",G10=""),"",G10*K10/100/SQRT(252))</f>
        <v/>
      </c>
      <c r="M10" s="33">
        <f>IF(OR(L10="",H10=""),"",H10-L10)</f>
        <v/>
      </c>
      <c r="N10" s="33">
        <f>IF(OR(L10="",H10=""),"",H10+L10)</f>
        <v/>
      </c>
      <c r="O10" s="34">
        <f>IF(OR(E10="",F10="",G10=""),"",(E10+F10+G10)/3)</f>
        <v/>
      </c>
      <c r="P10" s="34">
        <f>IF(O10="","",(E10+F10)/2)</f>
        <v/>
      </c>
      <c r="Q10" s="34">
        <f>IF(O10="","",2*O10-P10)</f>
        <v/>
      </c>
      <c r="R10" s="35">
        <f>IF(O10="","",ABS(Q10-P10)/O10)</f>
        <v/>
      </c>
      <c r="S10" s="34">
        <f>IF(O10="","",2*O10-F10)</f>
        <v/>
      </c>
      <c r="T10" s="34">
        <f>IF(O10="","",2*O10-E10)</f>
        <v/>
      </c>
      <c r="U10" s="36" t="n"/>
      <c r="V10" s="36" t="n"/>
      <c r="W10" s="36" t="n"/>
      <c r="X10" s="37" t="n"/>
      <c r="Y10" s="37" t="n"/>
      <c r="Z10" s="36" t="n"/>
      <c r="AA10" s="38" t="n"/>
      <c r="AB10" s="36" t="n"/>
      <c r="AC10" s="37" t="n"/>
      <c r="AD10" s="39">
        <f>IF(A10="","",IFERROR(SUMIFS(TL_Net,TL_Date,_xlfn.MAXIFS(TL_Date,TL_Date,"&lt;"&amp;A10)),0))</f>
        <v/>
      </c>
      <c r="AE10" s="5">
        <f>IF(A10="","",IF(OR(AC10="Y",AND(Z10&lt;&gt;"",N(Z10)&lt;=2),AND(AA10&lt;&gt;"",N(AA10)&lt;6),N(AB10)&gt;=4),"NO TRADE / HALF SIZE","GO"))</f>
        <v/>
      </c>
    </row>
    <row r="11">
      <c r="A11" s="27" t="n"/>
      <c r="B11" s="5">
        <f>IF(A11="","",TEXT(A11,"ddd"))</f>
        <v/>
      </c>
      <c r="C11" s="27" t="n"/>
      <c r="D11" s="28">
        <f>IF(OR(A11="",C11=""),"",MAX(0,NETWORKDAYS(A11,C11)-1))</f>
        <v/>
      </c>
      <c r="E11" s="29" t="n"/>
      <c r="F11" s="29" t="n"/>
      <c r="G11" s="29" t="n"/>
      <c r="H11" s="29" t="n"/>
      <c r="I11" s="30">
        <f>IF(OR(H11="",G11=""),"",H11-G11)</f>
        <v/>
      </c>
      <c r="J11" s="31">
        <f>IF(I11="","",I11/G11)</f>
        <v/>
      </c>
      <c r="K11" s="32" t="n"/>
      <c r="L11" s="33">
        <f>IF(OR(K11="",G11=""),"",G11*K11/100/SQRT(252))</f>
        <v/>
      </c>
      <c r="M11" s="33">
        <f>IF(OR(L11="",H11=""),"",H11-L11)</f>
        <v/>
      </c>
      <c r="N11" s="33">
        <f>IF(OR(L11="",H11=""),"",H11+L11)</f>
        <v/>
      </c>
      <c r="O11" s="34">
        <f>IF(OR(E11="",F11="",G11=""),"",(E11+F11+G11)/3)</f>
        <v/>
      </c>
      <c r="P11" s="34">
        <f>IF(O11="","",(E11+F11)/2)</f>
        <v/>
      </c>
      <c r="Q11" s="34">
        <f>IF(O11="","",2*O11-P11)</f>
        <v/>
      </c>
      <c r="R11" s="35">
        <f>IF(O11="","",ABS(Q11-P11)/O11)</f>
        <v/>
      </c>
      <c r="S11" s="34">
        <f>IF(O11="","",2*O11-F11)</f>
        <v/>
      </c>
      <c r="T11" s="34">
        <f>IF(O11="","",2*O11-E11)</f>
        <v/>
      </c>
      <c r="U11" s="36" t="n"/>
      <c r="V11" s="36" t="n"/>
      <c r="W11" s="36" t="n"/>
      <c r="X11" s="37" t="n"/>
      <c r="Y11" s="37" t="n"/>
      <c r="Z11" s="36" t="n"/>
      <c r="AA11" s="38" t="n"/>
      <c r="AB11" s="36" t="n"/>
      <c r="AC11" s="37" t="n"/>
      <c r="AD11" s="39">
        <f>IF(A11="","",IFERROR(SUMIFS(TL_Net,TL_Date,_xlfn.MAXIFS(TL_Date,TL_Date,"&lt;"&amp;A11)),0))</f>
        <v/>
      </c>
      <c r="AE11" s="5">
        <f>IF(A11="","",IF(OR(AC11="Y",AND(Z11&lt;&gt;"",N(Z11)&lt;=2),AND(AA11&lt;&gt;"",N(AA11)&lt;6),N(AB11)&gt;=4),"NO TRADE / HALF SIZE","GO"))</f>
        <v/>
      </c>
    </row>
    <row r="12">
      <c r="A12" s="27" t="n"/>
      <c r="B12" s="5">
        <f>IF(A12="","",TEXT(A12,"ddd"))</f>
        <v/>
      </c>
      <c r="C12" s="27" t="n"/>
      <c r="D12" s="28">
        <f>IF(OR(A12="",C12=""),"",MAX(0,NETWORKDAYS(A12,C12)-1))</f>
        <v/>
      </c>
      <c r="E12" s="29" t="n"/>
      <c r="F12" s="29" t="n"/>
      <c r="G12" s="29" t="n"/>
      <c r="H12" s="29" t="n"/>
      <c r="I12" s="30">
        <f>IF(OR(H12="",G12=""),"",H12-G12)</f>
        <v/>
      </c>
      <c r="J12" s="31">
        <f>IF(I12="","",I12/G12)</f>
        <v/>
      </c>
      <c r="K12" s="32" t="n"/>
      <c r="L12" s="33">
        <f>IF(OR(K12="",G12=""),"",G12*K12/100/SQRT(252))</f>
        <v/>
      </c>
      <c r="M12" s="33">
        <f>IF(OR(L12="",H12=""),"",H12-L12)</f>
        <v/>
      </c>
      <c r="N12" s="33">
        <f>IF(OR(L12="",H12=""),"",H12+L12)</f>
        <v/>
      </c>
      <c r="O12" s="34">
        <f>IF(OR(E12="",F12="",G12=""),"",(E12+F12+G12)/3)</f>
        <v/>
      </c>
      <c r="P12" s="34">
        <f>IF(O12="","",(E12+F12)/2)</f>
        <v/>
      </c>
      <c r="Q12" s="34">
        <f>IF(O12="","",2*O12-P12)</f>
        <v/>
      </c>
      <c r="R12" s="35">
        <f>IF(O12="","",ABS(Q12-P12)/O12)</f>
        <v/>
      </c>
      <c r="S12" s="34">
        <f>IF(O12="","",2*O12-F12)</f>
        <v/>
      </c>
      <c r="T12" s="34">
        <f>IF(O12="","",2*O12-E12)</f>
        <v/>
      </c>
      <c r="U12" s="36" t="n"/>
      <c r="V12" s="36" t="n"/>
      <c r="W12" s="36" t="n"/>
      <c r="X12" s="37" t="n"/>
      <c r="Y12" s="37" t="n"/>
      <c r="Z12" s="36" t="n"/>
      <c r="AA12" s="38" t="n"/>
      <c r="AB12" s="36" t="n"/>
      <c r="AC12" s="37" t="n"/>
      <c r="AD12" s="39">
        <f>IF(A12="","",IFERROR(SUMIFS(TL_Net,TL_Date,_xlfn.MAXIFS(TL_Date,TL_Date,"&lt;"&amp;A12)),0))</f>
        <v/>
      </c>
      <c r="AE12" s="5">
        <f>IF(A12="","",IF(OR(AC12="Y",AND(Z12&lt;&gt;"",N(Z12)&lt;=2),AND(AA12&lt;&gt;"",N(AA12)&lt;6),N(AB12)&gt;=4),"NO TRADE / HALF SIZE","GO"))</f>
        <v/>
      </c>
    </row>
    <row r="13">
      <c r="A13" s="27" t="n"/>
      <c r="B13" s="5">
        <f>IF(A13="","",TEXT(A13,"ddd"))</f>
        <v/>
      </c>
      <c r="C13" s="27" t="n"/>
      <c r="D13" s="28">
        <f>IF(OR(A13="",C13=""),"",MAX(0,NETWORKDAYS(A13,C13)-1))</f>
        <v/>
      </c>
      <c r="E13" s="29" t="n"/>
      <c r="F13" s="29" t="n"/>
      <c r="G13" s="29" t="n"/>
      <c r="H13" s="29" t="n"/>
      <c r="I13" s="30">
        <f>IF(OR(H13="",G13=""),"",H13-G13)</f>
        <v/>
      </c>
      <c r="J13" s="31">
        <f>IF(I13="","",I13/G13)</f>
        <v/>
      </c>
      <c r="K13" s="32" t="n"/>
      <c r="L13" s="33">
        <f>IF(OR(K13="",G13=""),"",G13*K13/100/SQRT(252))</f>
        <v/>
      </c>
      <c r="M13" s="33">
        <f>IF(OR(L13="",H13=""),"",H13-L13)</f>
        <v/>
      </c>
      <c r="N13" s="33">
        <f>IF(OR(L13="",H13=""),"",H13+L13)</f>
        <v/>
      </c>
      <c r="O13" s="34">
        <f>IF(OR(E13="",F13="",G13=""),"",(E13+F13+G13)/3)</f>
        <v/>
      </c>
      <c r="P13" s="34">
        <f>IF(O13="","",(E13+F13)/2)</f>
        <v/>
      </c>
      <c r="Q13" s="34">
        <f>IF(O13="","",2*O13-P13)</f>
        <v/>
      </c>
      <c r="R13" s="35">
        <f>IF(O13="","",ABS(Q13-P13)/O13)</f>
        <v/>
      </c>
      <c r="S13" s="34">
        <f>IF(O13="","",2*O13-F13)</f>
        <v/>
      </c>
      <c r="T13" s="34">
        <f>IF(O13="","",2*O13-E13)</f>
        <v/>
      </c>
      <c r="U13" s="36" t="n"/>
      <c r="V13" s="36" t="n"/>
      <c r="W13" s="36" t="n"/>
      <c r="X13" s="37" t="n"/>
      <c r="Y13" s="37" t="n"/>
      <c r="Z13" s="36" t="n"/>
      <c r="AA13" s="38" t="n"/>
      <c r="AB13" s="36" t="n"/>
      <c r="AC13" s="37" t="n"/>
      <c r="AD13" s="39">
        <f>IF(A13="","",IFERROR(SUMIFS(TL_Net,TL_Date,_xlfn.MAXIFS(TL_Date,TL_Date,"&lt;"&amp;A13)),0))</f>
        <v/>
      </c>
      <c r="AE13" s="5">
        <f>IF(A13="","",IF(OR(AC13="Y",AND(Z13&lt;&gt;"",N(Z13)&lt;=2),AND(AA13&lt;&gt;"",N(AA13)&lt;6),N(AB13)&gt;=4),"NO TRADE / HALF SIZE","GO"))</f>
        <v/>
      </c>
    </row>
    <row r="14">
      <c r="A14" s="27" t="n"/>
      <c r="B14" s="5">
        <f>IF(A14="","",TEXT(A14,"ddd"))</f>
        <v/>
      </c>
      <c r="C14" s="27" t="n"/>
      <c r="D14" s="28">
        <f>IF(OR(A14="",C14=""),"",MAX(0,NETWORKDAYS(A14,C14)-1))</f>
        <v/>
      </c>
      <c r="E14" s="29" t="n"/>
      <c r="F14" s="29" t="n"/>
      <c r="G14" s="29" t="n"/>
      <c r="H14" s="29" t="n"/>
      <c r="I14" s="30">
        <f>IF(OR(H14="",G14=""),"",H14-G14)</f>
        <v/>
      </c>
      <c r="J14" s="31">
        <f>IF(I14="","",I14/G14)</f>
        <v/>
      </c>
      <c r="K14" s="32" t="n"/>
      <c r="L14" s="33">
        <f>IF(OR(K14="",G14=""),"",G14*K14/100/SQRT(252))</f>
        <v/>
      </c>
      <c r="M14" s="33">
        <f>IF(OR(L14="",H14=""),"",H14-L14)</f>
        <v/>
      </c>
      <c r="N14" s="33">
        <f>IF(OR(L14="",H14=""),"",H14+L14)</f>
        <v/>
      </c>
      <c r="O14" s="34">
        <f>IF(OR(E14="",F14="",G14=""),"",(E14+F14+G14)/3)</f>
        <v/>
      </c>
      <c r="P14" s="34">
        <f>IF(O14="","",(E14+F14)/2)</f>
        <v/>
      </c>
      <c r="Q14" s="34">
        <f>IF(O14="","",2*O14-P14)</f>
        <v/>
      </c>
      <c r="R14" s="35">
        <f>IF(O14="","",ABS(Q14-P14)/O14)</f>
        <v/>
      </c>
      <c r="S14" s="34">
        <f>IF(O14="","",2*O14-F14)</f>
        <v/>
      </c>
      <c r="T14" s="34">
        <f>IF(O14="","",2*O14-E14)</f>
        <v/>
      </c>
      <c r="U14" s="36" t="n"/>
      <c r="V14" s="36" t="n"/>
      <c r="W14" s="36" t="n"/>
      <c r="X14" s="37" t="n"/>
      <c r="Y14" s="37" t="n"/>
      <c r="Z14" s="36" t="n"/>
      <c r="AA14" s="38" t="n"/>
      <c r="AB14" s="36" t="n"/>
      <c r="AC14" s="37" t="n"/>
      <c r="AD14" s="39">
        <f>IF(A14="","",IFERROR(SUMIFS(TL_Net,TL_Date,_xlfn.MAXIFS(TL_Date,TL_Date,"&lt;"&amp;A14)),0))</f>
        <v/>
      </c>
      <c r="AE14" s="5">
        <f>IF(A14="","",IF(OR(AC14="Y",AND(Z14&lt;&gt;"",N(Z14)&lt;=2),AND(AA14&lt;&gt;"",N(AA14)&lt;6),N(AB14)&gt;=4),"NO TRADE / HALF SIZE","GO"))</f>
        <v/>
      </c>
    </row>
    <row r="15">
      <c r="A15" s="27" t="n"/>
      <c r="B15" s="5">
        <f>IF(A15="","",TEXT(A15,"ddd"))</f>
        <v/>
      </c>
      <c r="C15" s="27" t="n"/>
      <c r="D15" s="28">
        <f>IF(OR(A15="",C15=""),"",MAX(0,NETWORKDAYS(A15,C15)-1))</f>
        <v/>
      </c>
      <c r="E15" s="29" t="n"/>
      <c r="F15" s="29" t="n"/>
      <c r="G15" s="29" t="n"/>
      <c r="H15" s="29" t="n"/>
      <c r="I15" s="30">
        <f>IF(OR(H15="",G15=""),"",H15-G15)</f>
        <v/>
      </c>
      <c r="J15" s="31">
        <f>IF(I15="","",I15/G15)</f>
        <v/>
      </c>
      <c r="K15" s="32" t="n"/>
      <c r="L15" s="33">
        <f>IF(OR(K15="",G15=""),"",G15*K15/100/SQRT(252))</f>
        <v/>
      </c>
      <c r="M15" s="33">
        <f>IF(OR(L15="",H15=""),"",H15-L15)</f>
        <v/>
      </c>
      <c r="N15" s="33">
        <f>IF(OR(L15="",H15=""),"",H15+L15)</f>
        <v/>
      </c>
      <c r="O15" s="34">
        <f>IF(OR(E15="",F15="",G15=""),"",(E15+F15+G15)/3)</f>
        <v/>
      </c>
      <c r="P15" s="34">
        <f>IF(O15="","",(E15+F15)/2)</f>
        <v/>
      </c>
      <c r="Q15" s="34">
        <f>IF(O15="","",2*O15-P15)</f>
        <v/>
      </c>
      <c r="R15" s="35">
        <f>IF(O15="","",ABS(Q15-P15)/O15)</f>
        <v/>
      </c>
      <c r="S15" s="34">
        <f>IF(O15="","",2*O15-F15)</f>
        <v/>
      </c>
      <c r="T15" s="34">
        <f>IF(O15="","",2*O15-E15)</f>
        <v/>
      </c>
      <c r="U15" s="36" t="n"/>
      <c r="V15" s="36" t="n"/>
      <c r="W15" s="36" t="n"/>
      <c r="X15" s="37" t="n"/>
      <c r="Y15" s="37" t="n"/>
      <c r="Z15" s="36" t="n"/>
      <c r="AA15" s="38" t="n"/>
      <c r="AB15" s="36" t="n"/>
      <c r="AC15" s="37" t="n"/>
      <c r="AD15" s="39">
        <f>IF(A15="","",IFERROR(SUMIFS(TL_Net,TL_Date,_xlfn.MAXIFS(TL_Date,TL_Date,"&lt;"&amp;A15)),0))</f>
        <v/>
      </c>
      <c r="AE15" s="5">
        <f>IF(A15="","",IF(OR(AC15="Y",AND(Z15&lt;&gt;"",N(Z15)&lt;=2),AND(AA15&lt;&gt;"",N(AA15)&lt;6),N(AB15)&gt;=4),"NO TRADE / HALF SIZE","GO"))</f>
        <v/>
      </c>
    </row>
    <row r="16">
      <c r="A16" s="27" t="n"/>
      <c r="B16" s="5">
        <f>IF(A16="","",TEXT(A16,"ddd"))</f>
        <v/>
      </c>
      <c r="C16" s="27" t="n"/>
      <c r="D16" s="28">
        <f>IF(OR(A16="",C16=""),"",MAX(0,NETWORKDAYS(A16,C16)-1))</f>
        <v/>
      </c>
      <c r="E16" s="29" t="n"/>
      <c r="F16" s="29" t="n"/>
      <c r="G16" s="29" t="n"/>
      <c r="H16" s="29" t="n"/>
      <c r="I16" s="30">
        <f>IF(OR(H16="",G16=""),"",H16-G16)</f>
        <v/>
      </c>
      <c r="J16" s="31">
        <f>IF(I16="","",I16/G16)</f>
        <v/>
      </c>
      <c r="K16" s="32" t="n"/>
      <c r="L16" s="33">
        <f>IF(OR(K16="",G16=""),"",G16*K16/100/SQRT(252))</f>
        <v/>
      </c>
      <c r="M16" s="33">
        <f>IF(OR(L16="",H16=""),"",H16-L16)</f>
        <v/>
      </c>
      <c r="N16" s="33">
        <f>IF(OR(L16="",H16=""),"",H16+L16)</f>
        <v/>
      </c>
      <c r="O16" s="34">
        <f>IF(OR(E16="",F16="",G16=""),"",(E16+F16+G16)/3)</f>
        <v/>
      </c>
      <c r="P16" s="34">
        <f>IF(O16="","",(E16+F16)/2)</f>
        <v/>
      </c>
      <c r="Q16" s="34">
        <f>IF(O16="","",2*O16-P16)</f>
        <v/>
      </c>
      <c r="R16" s="35">
        <f>IF(O16="","",ABS(Q16-P16)/O16)</f>
        <v/>
      </c>
      <c r="S16" s="34">
        <f>IF(O16="","",2*O16-F16)</f>
        <v/>
      </c>
      <c r="T16" s="34">
        <f>IF(O16="","",2*O16-E16)</f>
        <v/>
      </c>
      <c r="U16" s="36" t="n"/>
      <c r="V16" s="36" t="n"/>
      <c r="W16" s="36" t="n"/>
      <c r="X16" s="37" t="n"/>
      <c r="Y16" s="37" t="n"/>
      <c r="Z16" s="36" t="n"/>
      <c r="AA16" s="38" t="n"/>
      <c r="AB16" s="36" t="n"/>
      <c r="AC16" s="37" t="n"/>
      <c r="AD16" s="39">
        <f>IF(A16="","",IFERROR(SUMIFS(TL_Net,TL_Date,_xlfn.MAXIFS(TL_Date,TL_Date,"&lt;"&amp;A16)),0))</f>
        <v/>
      </c>
      <c r="AE16" s="5">
        <f>IF(A16="","",IF(OR(AC16="Y",AND(Z16&lt;&gt;"",N(Z16)&lt;=2),AND(AA16&lt;&gt;"",N(AA16)&lt;6),N(AB16)&gt;=4),"NO TRADE / HALF SIZE","GO"))</f>
        <v/>
      </c>
    </row>
    <row r="17">
      <c r="A17" s="27" t="n"/>
      <c r="B17" s="5">
        <f>IF(A17="","",TEXT(A17,"ddd"))</f>
        <v/>
      </c>
      <c r="C17" s="27" t="n"/>
      <c r="D17" s="28">
        <f>IF(OR(A17="",C17=""),"",MAX(0,NETWORKDAYS(A17,C17)-1))</f>
        <v/>
      </c>
      <c r="E17" s="29" t="n"/>
      <c r="F17" s="29" t="n"/>
      <c r="G17" s="29" t="n"/>
      <c r="H17" s="29" t="n"/>
      <c r="I17" s="30">
        <f>IF(OR(H17="",G17=""),"",H17-G17)</f>
        <v/>
      </c>
      <c r="J17" s="31">
        <f>IF(I17="","",I17/G17)</f>
        <v/>
      </c>
      <c r="K17" s="32" t="n"/>
      <c r="L17" s="33">
        <f>IF(OR(K17="",G17=""),"",G17*K17/100/SQRT(252))</f>
        <v/>
      </c>
      <c r="M17" s="33">
        <f>IF(OR(L17="",H17=""),"",H17-L17)</f>
        <v/>
      </c>
      <c r="N17" s="33">
        <f>IF(OR(L17="",H17=""),"",H17+L17)</f>
        <v/>
      </c>
      <c r="O17" s="34">
        <f>IF(OR(E17="",F17="",G17=""),"",(E17+F17+G17)/3)</f>
        <v/>
      </c>
      <c r="P17" s="34">
        <f>IF(O17="","",(E17+F17)/2)</f>
        <v/>
      </c>
      <c r="Q17" s="34">
        <f>IF(O17="","",2*O17-P17)</f>
        <v/>
      </c>
      <c r="R17" s="35">
        <f>IF(O17="","",ABS(Q17-P17)/O17)</f>
        <v/>
      </c>
      <c r="S17" s="34">
        <f>IF(O17="","",2*O17-F17)</f>
        <v/>
      </c>
      <c r="T17" s="34">
        <f>IF(O17="","",2*O17-E17)</f>
        <v/>
      </c>
      <c r="U17" s="36" t="n"/>
      <c r="V17" s="36" t="n"/>
      <c r="W17" s="36" t="n"/>
      <c r="X17" s="37" t="n"/>
      <c r="Y17" s="37" t="n"/>
      <c r="Z17" s="36" t="n"/>
      <c r="AA17" s="38" t="n"/>
      <c r="AB17" s="36" t="n"/>
      <c r="AC17" s="37" t="n"/>
      <c r="AD17" s="39">
        <f>IF(A17="","",IFERROR(SUMIFS(TL_Net,TL_Date,_xlfn.MAXIFS(TL_Date,TL_Date,"&lt;"&amp;A17)),0))</f>
        <v/>
      </c>
      <c r="AE17" s="5">
        <f>IF(A17="","",IF(OR(AC17="Y",AND(Z17&lt;&gt;"",N(Z17)&lt;=2),AND(AA17&lt;&gt;"",N(AA17)&lt;6),N(AB17)&gt;=4),"NO TRADE / HALF SIZE","GO"))</f>
        <v/>
      </c>
    </row>
    <row r="18">
      <c r="A18" s="27" t="n"/>
      <c r="B18" s="5">
        <f>IF(A18="","",TEXT(A18,"ddd"))</f>
        <v/>
      </c>
      <c r="C18" s="27" t="n"/>
      <c r="D18" s="28">
        <f>IF(OR(A18="",C18=""),"",MAX(0,NETWORKDAYS(A18,C18)-1))</f>
        <v/>
      </c>
      <c r="E18" s="29" t="n"/>
      <c r="F18" s="29" t="n"/>
      <c r="G18" s="29" t="n"/>
      <c r="H18" s="29" t="n"/>
      <c r="I18" s="30">
        <f>IF(OR(H18="",G18=""),"",H18-G18)</f>
        <v/>
      </c>
      <c r="J18" s="31">
        <f>IF(I18="","",I18/G18)</f>
        <v/>
      </c>
      <c r="K18" s="32" t="n"/>
      <c r="L18" s="33">
        <f>IF(OR(K18="",G18=""),"",G18*K18/100/SQRT(252))</f>
        <v/>
      </c>
      <c r="M18" s="33">
        <f>IF(OR(L18="",H18=""),"",H18-L18)</f>
        <v/>
      </c>
      <c r="N18" s="33">
        <f>IF(OR(L18="",H18=""),"",H18+L18)</f>
        <v/>
      </c>
      <c r="O18" s="34">
        <f>IF(OR(E18="",F18="",G18=""),"",(E18+F18+G18)/3)</f>
        <v/>
      </c>
      <c r="P18" s="34">
        <f>IF(O18="","",(E18+F18)/2)</f>
        <v/>
      </c>
      <c r="Q18" s="34">
        <f>IF(O18="","",2*O18-P18)</f>
        <v/>
      </c>
      <c r="R18" s="35">
        <f>IF(O18="","",ABS(Q18-P18)/O18)</f>
        <v/>
      </c>
      <c r="S18" s="34">
        <f>IF(O18="","",2*O18-F18)</f>
        <v/>
      </c>
      <c r="T18" s="34">
        <f>IF(O18="","",2*O18-E18)</f>
        <v/>
      </c>
      <c r="U18" s="36" t="n"/>
      <c r="V18" s="36" t="n"/>
      <c r="W18" s="36" t="n"/>
      <c r="X18" s="37" t="n"/>
      <c r="Y18" s="37" t="n"/>
      <c r="Z18" s="36" t="n"/>
      <c r="AA18" s="38" t="n"/>
      <c r="AB18" s="36" t="n"/>
      <c r="AC18" s="37" t="n"/>
      <c r="AD18" s="39">
        <f>IF(A18="","",IFERROR(SUMIFS(TL_Net,TL_Date,_xlfn.MAXIFS(TL_Date,TL_Date,"&lt;"&amp;A18)),0))</f>
        <v/>
      </c>
      <c r="AE18" s="5">
        <f>IF(A18="","",IF(OR(AC18="Y",AND(Z18&lt;&gt;"",N(Z18)&lt;=2),AND(AA18&lt;&gt;"",N(AA18)&lt;6),N(AB18)&gt;=4),"NO TRADE / HALF SIZE","GO"))</f>
        <v/>
      </c>
    </row>
    <row r="19">
      <c r="A19" s="27" t="n"/>
      <c r="B19" s="5">
        <f>IF(A19="","",TEXT(A19,"ddd"))</f>
        <v/>
      </c>
      <c r="C19" s="27" t="n"/>
      <c r="D19" s="28">
        <f>IF(OR(A19="",C19=""),"",MAX(0,NETWORKDAYS(A19,C19)-1))</f>
        <v/>
      </c>
      <c r="E19" s="29" t="n"/>
      <c r="F19" s="29" t="n"/>
      <c r="G19" s="29" t="n"/>
      <c r="H19" s="29" t="n"/>
      <c r="I19" s="30">
        <f>IF(OR(H19="",G19=""),"",H19-G19)</f>
        <v/>
      </c>
      <c r="J19" s="31">
        <f>IF(I19="","",I19/G19)</f>
        <v/>
      </c>
      <c r="K19" s="32" t="n"/>
      <c r="L19" s="33">
        <f>IF(OR(K19="",G19=""),"",G19*K19/100/SQRT(252))</f>
        <v/>
      </c>
      <c r="M19" s="33">
        <f>IF(OR(L19="",H19=""),"",H19-L19)</f>
        <v/>
      </c>
      <c r="N19" s="33">
        <f>IF(OR(L19="",H19=""),"",H19+L19)</f>
        <v/>
      </c>
      <c r="O19" s="34">
        <f>IF(OR(E19="",F19="",G19=""),"",(E19+F19+G19)/3)</f>
        <v/>
      </c>
      <c r="P19" s="34">
        <f>IF(O19="","",(E19+F19)/2)</f>
        <v/>
      </c>
      <c r="Q19" s="34">
        <f>IF(O19="","",2*O19-P19)</f>
        <v/>
      </c>
      <c r="R19" s="35">
        <f>IF(O19="","",ABS(Q19-P19)/O19)</f>
        <v/>
      </c>
      <c r="S19" s="34">
        <f>IF(O19="","",2*O19-F19)</f>
        <v/>
      </c>
      <c r="T19" s="34">
        <f>IF(O19="","",2*O19-E19)</f>
        <v/>
      </c>
      <c r="U19" s="36" t="n"/>
      <c r="V19" s="36" t="n"/>
      <c r="W19" s="36" t="n"/>
      <c r="X19" s="37" t="n"/>
      <c r="Y19" s="37" t="n"/>
      <c r="Z19" s="36" t="n"/>
      <c r="AA19" s="38" t="n"/>
      <c r="AB19" s="36" t="n"/>
      <c r="AC19" s="37" t="n"/>
      <c r="AD19" s="39">
        <f>IF(A19="","",IFERROR(SUMIFS(TL_Net,TL_Date,_xlfn.MAXIFS(TL_Date,TL_Date,"&lt;"&amp;A19)),0))</f>
        <v/>
      </c>
      <c r="AE19" s="5">
        <f>IF(A19="","",IF(OR(AC19="Y",AND(Z19&lt;&gt;"",N(Z19)&lt;=2),AND(AA19&lt;&gt;"",N(AA19)&lt;6),N(AB19)&gt;=4),"NO TRADE / HALF SIZE","GO"))</f>
        <v/>
      </c>
    </row>
    <row r="20">
      <c r="A20" s="27" t="n"/>
      <c r="B20" s="5">
        <f>IF(A20="","",TEXT(A20,"ddd"))</f>
        <v/>
      </c>
      <c r="C20" s="27" t="n"/>
      <c r="D20" s="28">
        <f>IF(OR(A20="",C20=""),"",MAX(0,NETWORKDAYS(A20,C20)-1))</f>
        <v/>
      </c>
      <c r="E20" s="29" t="n"/>
      <c r="F20" s="29" t="n"/>
      <c r="G20" s="29" t="n"/>
      <c r="H20" s="29" t="n"/>
      <c r="I20" s="30">
        <f>IF(OR(H20="",G20=""),"",H20-G20)</f>
        <v/>
      </c>
      <c r="J20" s="31">
        <f>IF(I20="","",I20/G20)</f>
        <v/>
      </c>
      <c r="K20" s="32" t="n"/>
      <c r="L20" s="33">
        <f>IF(OR(K20="",G20=""),"",G20*K20/100/SQRT(252))</f>
        <v/>
      </c>
      <c r="M20" s="33">
        <f>IF(OR(L20="",H20=""),"",H20-L20)</f>
        <v/>
      </c>
      <c r="N20" s="33">
        <f>IF(OR(L20="",H20=""),"",H20+L20)</f>
        <v/>
      </c>
      <c r="O20" s="34">
        <f>IF(OR(E20="",F20="",G20=""),"",(E20+F20+G20)/3)</f>
        <v/>
      </c>
      <c r="P20" s="34">
        <f>IF(O20="","",(E20+F20)/2)</f>
        <v/>
      </c>
      <c r="Q20" s="34">
        <f>IF(O20="","",2*O20-P20)</f>
        <v/>
      </c>
      <c r="R20" s="35">
        <f>IF(O20="","",ABS(Q20-P20)/O20)</f>
        <v/>
      </c>
      <c r="S20" s="34">
        <f>IF(O20="","",2*O20-F20)</f>
        <v/>
      </c>
      <c r="T20" s="34">
        <f>IF(O20="","",2*O20-E20)</f>
        <v/>
      </c>
      <c r="U20" s="36" t="n"/>
      <c r="V20" s="36" t="n"/>
      <c r="W20" s="36" t="n"/>
      <c r="X20" s="37" t="n"/>
      <c r="Y20" s="37" t="n"/>
      <c r="Z20" s="36" t="n"/>
      <c r="AA20" s="38" t="n"/>
      <c r="AB20" s="36" t="n"/>
      <c r="AC20" s="37" t="n"/>
      <c r="AD20" s="39">
        <f>IF(A20="","",IFERROR(SUMIFS(TL_Net,TL_Date,_xlfn.MAXIFS(TL_Date,TL_Date,"&lt;"&amp;A20)),0))</f>
        <v/>
      </c>
      <c r="AE20" s="5">
        <f>IF(A20="","",IF(OR(AC20="Y",AND(Z20&lt;&gt;"",N(Z20)&lt;=2),AND(AA20&lt;&gt;"",N(AA20)&lt;6),N(AB20)&gt;=4),"NO TRADE / HALF SIZE","GO"))</f>
        <v/>
      </c>
    </row>
    <row r="21">
      <c r="A21" s="27" t="n"/>
      <c r="B21" s="5">
        <f>IF(A21="","",TEXT(A21,"ddd"))</f>
        <v/>
      </c>
      <c r="C21" s="27" t="n"/>
      <c r="D21" s="28">
        <f>IF(OR(A21="",C21=""),"",MAX(0,NETWORKDAYS(A21,C21)-1))</f>
        <v/>
      </c>
      <c r="E21" s="29" t="n"/>
      <c r="F21" s="29" t="n"/>
      <c r="G21" s="29" t="n"/>
      <c r="H21" s="29" t="n"/>
      <c r="I21" s="30">
        <f>IF(OR(H21="",G21=""),"",H21-G21)</f>
        <v/>
      </c>
      <c r="J21" s="31">
        <f>IF(I21="","",I21/G21)</f>
        <v/>
      </c>
      <c r="K21" s="32" t="n"/>
      <c r="L21" s="33">
        <f>IF(OR(K21="",G21=""),"",G21*K21/100/SQRT(252))</f>
        <v/>
      </c>
      <c r="M21" s="33">
        <f>IF(OR(L21="",H21=""),"",H21-L21)</f>
        <v/>
      </c>
      <c r="N21" s="33">
        <f>IF(OR(L21="",H21=""),"",H21+L21)</f>
        <v/>
      </c>
      <c r="O21" s="34">
        <f>IF(OR(E21="",F21="",G21=""),"",(E21+F21+G21)/3)</f>
        <v/>
      </c>
      <c r="P21" s="34">
        <f>IF(O21="","",(E21+F21)/2)</f>
        <v/>
      </c>
      <c r="Q21" s="34">
        <f>IF(O21="","",2*O21-P21)</f>
        <v/>
      </c>
      <c r="R21" s="35">
        <f>IF(O21="","",ABS(Q21-P21)/O21)</f>
        <v/>
      </c>
      <c r="S21" s="34">
        <f>IF(O21="","",2*O21-F21)</f>
        <v/>
      </c>
      <c r="T21" s="34">
        <f>IF(O21="","",2*O21-E21)</f>
        <v/>
      </c>
      <c r="U21" s="36" t="n"/>
      <c r="V21" s="36" t="n"/>
      <c r="W21" s="36" t="n"/>
      <c r="X21" s="37" t="n"/>
      <c r="Y21" s="37" t="n"/>
      <c r="Z21" s="36" t="n"/>
      <c r="AA21" s="38" t="n"/>
      <c r="AB21" s="36" t="n"/>
      <c r="AC21" s="37" t="n"/>
      <c r="AD21" s="39">
        <f>IF(A21="","",IFERROR(SUMIFS(TL_Net,TL_Date,_xlfn.MAXIFS(TL_Date,TL_Date,"&lt;"&amp;A21)),0))</f>
        <v/>
      </c>
      <c r="AE21" s="5">
        <f>IF(A21="","",IF(OR(AC21="Y",AND(Z21&lt;&gt;"",N(Z21)&lt;=2),AND(AA21&lt;&gt;"",N(AA21)&lt;6),N(AB21)&gt;=4),"NO TRADE / HALF SIZE","GO"))</f>
        <v/>
      </c>
    </row>
    <row r="22">
      <c r="A22" s="27" t="n"/>
      <c r="B22" s="5">
        <f>IF(A22="","",TEXT(A22,"ddd"))</f>
        <v/>
      </c>
      <c r="C22" s="27" t="n"/>
      <c r="D22" s="28">
        <f>IF(OR(A22="",C22=""),"",MAX(0,NETWORKDAYS(A22,C22)-1))</f>
        <v/>
      </c>
      <c r="E22" s="29" t="n"/>
      <c r="F22" s="29" t="n"/>
      <c r="G22" s="29" t="n"/>
      <c r="H22" s="29" t="n"/>
      <c r="I22" s="30">
        <f>IF(OR(H22="",G22=""),"",H22-G22)</f>
        <v/>
      </c>
      <c r="J22" s="31">
        <f>IF(I22="","",I22/G22)</f>
        <v/>
      </c>
      <c r="K22" s="32" t="n"/>
      <c r="L22" s="33">
        <f>IF(OR(K22="",G22=""),"",G22*K22/100/SQRT(252))</f>
        <v/>
      </c>
      <c r="M22" s="33">
        <f>IF(OR(L22="",H22=""),"",H22-L22)</f>
        <v/>
      </c>
      <c r="N22" s="33">
        <f>IF(OR(L22="",H22=""),"",H22+L22)</f>
        <v/>
      </c>
      <c r="O22" s="34">
        <f>IF(OR(E22="",F22="",G22=""),"",(E22+F22+G22)/3)</f>
        <v/>
      </c>
      <c r="P22" s="34">
        <f>IF(O22="","",(E22+F22)/2)</f>
        <v/>
      </c>
      <c r="Q22" s="34">
        <f>IF(O22="","",2*O22-P22)</f>
        <v/>
      </c>
      <c r="R22" s="35">
        <f>IF(O22="","",ABS(Q22-P22)/O22)</f>
        <v/>
      </c>
      <c r="S22" s="34">
        <f>IF(O22="","",2*O22-F22)</f>
        <v/>
      </c>
      <c r="T22" s="34">
        <f>IF(O22="","",2*O22-E22)</f>
        <v/>
      </c>
      <c r="U22" s="36" t="n"/>
      <c r="V22" s="36" t="n"/>
      <c r="W22" s="36" t="n"/>
      <c r="X22" s="37" t="n"/>
      <c r="Y22" s="37" t="n"/>
      <c r="Z22" s="36" t="n"/>
      <c r="AA22" s="38" t="n"/>
      <c r="AB22" s="36" t="n"/>
      <c r="AC22" s="37" t="n"/>
      <c r="AD22" s="39">
        <f>IF(A22="","",IFERROR(SUMIFS(TL_Net,TL_Date,_xlfn.MAXIFS(TL_Date,TL_Date,"&lt;"&amp;A22)),0))</f>
        <v/>
      </c>
      <c r="AE22" s="5">
        <f>IF(A22="","",IF(OR(AC22="Y",AND(Z22&lt;&gt;"",N(Z22)&lt;=2),AND(AA22&lt;&gt;"",N(AA22)&lt;6),N(AB22)&gt;=4),"NO TRADE / HALF SIZE","GO"))</f>
        <v/>
      </c>
    </row>
    <row r="23">
      <c r="A23" s="27" t="n"/>
      <c r="B23" s="5">
        <f>IF(A23="","",TEXT(A23,"ddd"))</f>
        <v/>
      </c>
      <c r="C23" s="27" t="n"/>
      <c r="D23" s="28">
        <f>IF(OR(A23="",C23=""),"",MAX(0,NETWORKDAYS(A23,C23)-1))</f>
        <v/>
      </c>
      <c r="E23" s="29" t="n"/>
      <c r="F23" s="29" t="n"/>
      <c r="G23" s="29" t="n"/>
      <c r="H23" s="29" t="n"/>
      <c r="I23" s="30">
        <f>IF(OR(H23="",G23=""),"",H23-G23)</f>
        <v/>
      </c>
      <c r="J23" s="31">
        <f>IF(I23="","",I23/G23)</f>
        <v/>
      </c>
      <c r="K23" s="32" t="n"/>
      <c r="L23" s="33">
        <f>IF(OR(K23="",G23=""),"",G23*K23/100/SQRT(252))</f>
        <v/>
      </c>
      <c r="M23" s="33">
        <f>IF(OR(L23="",H23=""),"",H23-L23)</f>
        <v/>
      </c>
      <c r="N23" s="33">
        <f>IF(OR(L23="",H23=""),"",H23+L23)</f>
        <v/>
      </c>
      <c r="O23" s="34">
        <f>IF(OR(E23="",F23="",G23=""),"",(E23+F23+G23)/3)</f>
        <v/>
      </c>
      <c r="P23" s="34">
        <f>IF(O23="","",(E23+F23)/2)</f>
        <v/>
      </c>
      <c r="Q23" s="34">
        <f>IF(O23="","",2*O23-P23)</f>
        <v/>
      </c>
      <c r="R23" s="35">
        <f>IF(O23="","",ABS(Q23-P23)/O23)</f>
        <v/>
      </c>
      <c r="S23" s="34">
        <f>IF(O23="","",2*O23-F23)</f>
        <v/>
      </c>
      <c r="T23" s="34">
        <f>IF(O23="","",2*O23-E23)</f>
        <v/>
      </c>
      <c r="U23" s="36" t="n"/>
      <c r="V23" s="36" t="n"/>
      <c r="W23" s="36" t="n"/>
      <c r="X23" s="37" t="n"/>
      <c r="Y23" s="37" t="n"/>
      <c r="Z23" s="36" t="n"/>
      <c r="AA23" s="38" t="n"/>
      <c r="AB23" s="36" t="n"/>
      <c r="AC23" s="37" t="n"/>
      <c r="AD23" s="39">
        <f>IF(A23="","",IFERROR(SUMIFS(TL_Net,TL_Date,_xlfn.MAXIFS(TL_Date,TL_Date,"&lt;"&amp;A23)),0))</f>
        <v/>
      </c>
      <c r="AE23" s="5">
        <f>IF(A23="","",IF(OR(AC23="Y",AND(Z23&lt;&gt;"",N(Z23)&lt;=2),AND(AA23&lt;&gt;"",N(AA23)&lt;6),N(AB23)&gt;=4),"NO TRADE / HALF SIZE","GO"))</f>
        <v/>
      </c>
    </row>
    <row r="24">
      <c r="A24" s="27" t="n"/>
      <c r="B24" s="5">
        <f>IF(A24="","",TEXT(A24,"ddd"))</f>
        <v/>
      </c>
      <c r="C24" s="27" t="n"/>
      <c r="D24" s="28">
        <f>IF(OR(A24="",C24=""),"",MAX(0,NETWORKDAYS(A24,C24)-1))</f>
        <v/>
      </c>
      <c r="E24" s="29" t="n"/>
      <c r="F24" s="29" t="n"/>
      <c r="G24" s="29" t="n"/>
      <c r="H24" s="29" t="n"/>
      <c r="I24" s="30">
        <f>IF(OR(H24="",G24=""),"",H24-G24)</f>
        <v/>
      </c>
      <c r="J24" s="31">
        <f>IF(I24="","",I24/G24)</f>
        <v/>
      </c>
      <c r="K24" s="32" t="n"/>
      <c r="L24" s="33">
        <f>IF(OR(K24="",G24=""),"",G24*K24/100/SQRT(252))</f>
        <v/>
      </c>
      <c r="M24" s="33">
        <f>IF(OR(L24="",H24=""),"",H24-L24)</f>
        <v/>
      </c>
      <c r="N24" s="33">
        <f>IF(OR(L24="",H24=""),"",H24+L24)</f>
        <v/>
      </c>
      <c r="O24" s="34">
        <f>IF(OR(E24="",F24="",G24=""),"",(E24+F24+G24)/3)</f>
        <v/>
      </c>
      <c r="P24" s="34">
        <f>IF(O24="","",(E24+F24)/2)</f>
        <v/>
      </c>
      <c r="Q24" s="34">
        <f>IF(O24="","",2*O24-P24)</f>
        <v/>
      </c>
      <c r="R24" s="35">
        <f>IF(O24="","",ABS(Q24-P24)/O24)</f>
        <v/>
      </c>
      <c r="S24" s="34">
        <f>IF(O24="","",2*O24-F24)</f>
        <v/>
      </c>
      <c r="T24" s="34">
        <f>IF(O24="","",2*O24-E24)</f>
        <v/>
      </c>
      <c r="U24" s="36" t="n"/>
      <c r="V24" s="36" t="n"/>
      <c r="W24" s="36" t="n"/>
      <c r="X24" s="37" t="n"/>
      <c r="Y24" s="37" t="n"/>
      <c r="Z24" s="36" t="n"/>
      <c r="AA24" s="38" t="n"/>
      <c r="AB24" s="36" t="n"/>
      <c r="AC24" s="37" t="n"/>
      <c r="AD24" s="39">
        <f>IF(A24="","",IFERROR(SUMIFS(TL_Net,TL_Date,_xlfn.MAXIFS(TL_Date,TL_Date,"&lt;"&amp;A24)),0))</f>
        <v/>
      </c>
      <c r="AE24" s="5">
        <f>IF(A24="","",IF(OR(AC24="Y",AND(Z24&lt;&gt;"",N(Z24)&lt;=2),AND(AA24&lt;&gt;"",N(AA24)&lt;6),N(AB24)&gt;=4),"NO TRADE / HALF SIZE","GO"))</f>
        <v/>
      </c>
    </row>
    <row r="25">
      <c r="A25" s="27" t="n"/>
      <c r="B25" s="5">
        <f>IF(A25="","",TEXT(A25,"ddd"))</f>
        <v/>
      </c>
      <c r="C25" s="27" t="n"/>
      <c r="D25" s="28">
        <f>IF(OR(A25="",C25=""),"",MAX(0,NETWORKDAYS(A25,C25)-1))</f>
        <v/>
      </c>
      <c r="E25" s="29" t="n"/>
      <c r="F25" s="29" t="n"/>
      <c r="G25" s="29" t="n"/>
      <c r="H25" s="29" t="n"/>
      <c r="I25" s="30">
        <f>IF(OR(H25="",G25=""),"",H25-G25)</f>
        <v/>
      </c>
      <c r="J25" s="31">
        <f>IF(I25="","",I25/G25)</f>
        <v/>
      </c>
      <c r="K25" s="32" t="n"/>
      <c r="L25" s="33">
        <f>IF(OR(K25="",G25=""),"",G25*K25/100/SQRT(252))</f>
        <v/>
      </c>
      <c r="M25" s="33">
        <f>IF(OR(L25="",H25=""),"",H25-L25)</f>
        <v/>
      </c>
      <c r="N25" s="33">
        <f>IF(OR(L25="",H25=""),"",H25+L25)</f>
        <v/>
      </c>
      <c r="O25" s="34">
        <f>IF(OR(E25="",F25="",G25=""),"",(E25+F25+G25)/3)</f>
        <v/>
      </c>
      <c r="P25" s="34">
        <f>IF(O25="","",(E25+F25)/2)</f>
        <v/>
      </c>
      <c r="Q25" s="34">
        <f>IF(O25="","",2*O25-P25)</f>
        <v/>
      </c>
      <c r="R25" s="35">
        <f>IF(O25="","",ABS(Q25-P25)/O25)</f>
        <v/>
      </c>
      <c r="S25" s="34">
        <f>IF(O25="","",2*O25-F25)</f>
        <v/>
      </c>
      <c r="T25" s="34">
        <f>IF(O25="","",2*O25-E25)</f>
        <v/>
      </c>
      <c r="U25" s="36" t="n"/>
      <c r="V25" s="36" t="n"/>
      <c r="W25" s="36" t="n"/>
      <c r="X25" s="37" t="n"/>
      <c r="Y25" s="37" t="n"/>
      <c r="Z25" s="36" t="n"/>
      <c r="AA25" s="38" t="n"/>
      <c r="AB25" s="36" t="n"/>
      <c r="AC25" s="37" t="n"/>
      <c r="AD25" s="39">
        <f>IF(A25="","",IFERROR(SUMIFS(TL_Net,TL_Date,_xlfn.MAXIFS(TL_Date,TL_Date,"&lt;"&amp;A25)),0))</f>
        <v/>
      </c>
      <c r="AE25" s="5">
        <f>IF(A25="","",IF(OR(AC25="Y",AND(Z25&lt;&gt;"",N(Z25)&lt;=2),AND(AA25&lt;&gt;"",N(AA25)&lt;6),N(AB25)&gt;=4),"NO TRADE / HALF SIZE","GO"))</f>
        <v/>
      </c>
    </row>
    <row r="26">
      <c r="A26" s="27" t="n"/>
      <c r="B26" s="5">
        <f>IF(A26="","",TEXT(A26,"ddd"))</f>
        <v/>
      </c>
      <c r="C26" s="27" t="n"/>
      <c r="D26" s="28">
        <f>IF(OR(A26="",C26=""),"",MAX(0,NETWORKDAYS(A26,C26)-1))</f>
        <v/>
      </c>
      <c r="E26" s="29" t="n"/>
      <c r="F26" s="29" t="n"/>
      <c r="G26" s="29" t="n"/>
      <c r="H26" s="29" t="n"/>
      <c r="I26" s="30">
        <f>IF(OR(H26="",G26=""),"",H26-G26)</f>
        <v/>
      </c>
      <c r="J26" s="31">
        <f>IF(I26="","",I26/G26)</f>
        <v/>
      </c>
      <c r="K26" s="32" t="n"/>
      <c r="L26" s="33">
        <f>IF(OR(K26="",G26=""),"",G26*K26/100/SQRT(252))</f>
        <v/>
      </c>
      <c r="M26" s="33">
        <f>IF(OR(L26="",H26=""),"",H26-L26)</f>
        <v/>
      </c>
      <c r="N26" s="33">
        <f>IF(OR(L26="",H26=""),"",H26+L26)</f>
        <v/>
      </c>
      <c r="O26" s="34">
        <f>IF(OR(E26="",F26="",G26=""),"",(E26+F26+G26)/3)</f>
        <v/>
      </c>
      <c r="P26" s="34">
        <f>IF(O26="","",(E26+F26)/2)</f>
        <v/>
      </c>
      <c r="Q26" s="34">
        <f>IF(O26="","",2*O26-P26)</f>
        <v/>
      </c>
      <c r="R26" s="35">
        <f>IF(O26="","",ABS(Q26-P26)/O26)</f>
        <v/>
      </c>
      <c r="S26" s="34">
        <f>IF(O26="","",2*O26-F26)</f>
        <v/>
      </c>
      <c r="T26" s="34">
        <f>IF(O26="","",2*O26-E26)</f>
        <v/>
      </c>
      <c r="U26" s="36" t="n"/>
      <c r="V26" s="36" t="n"/>
      <c r="W26" s="36" t="n"/>
      <c r="X26" s="37" t="n"/>
      <c r="Y26" s="37" t="n"/>
      <c r="Z26" s="36" t="n"/>
      <c r="AA26" s="38" t="n"/>
      <c r="AB26" s="36" t="n"/>
      <c r="AC26" s="37" t="n"/>
      <c r="AD26" s="39">
        <f>IF(A26="","",IFERROR(SUMIFS(TL_Net,TL_Date,_xlfn.MAXIFS(TL_Date,TL_Date,"&lt;"&amp;A26)),0))</f>
        <v/>
      </c>
      <c r="AE26" s="5">
        <f>IF(A26="","",IF(OR(AC26="Y",AND(Z26&lt;&gt;"",N(Z26)&lt;=2),AND(AA26&lt;&gt;"",N(AA26)&lt;6),N(AB26)&gt;=4),"NO TRADE / HALF SIZE","GO"))</f>
        <v/>
      </c>
    </row>
    <row r="27">
      <c r="A27" s="27" t="n"/>
      <c r="B27" s="5">
        <f>IF(A27="","",TEXT(A27,"ddd"))</f>
        <v/>
      </c>
      <c r="C27" s="27" t="n"/>
      <c r="D27" s="28">
        <f>IF(OR(A27="",C27=""),"",MAX(0,NETWORKDAYS(A27,C27)-1))</f>
        <v/>
      </c>
      <c r="E27" s="29" t="n"/>
      <c r="F27" s="29" t="n"/>
      <c r="G27" s="29" t="n"/>
      <c r="H27" s="29" t="n"/>
      <c r="I27" s="30">
        <f>IF(OR(H27="",G27=""),"",H27-G27)</f>
        <v/>
      </c>
      <c r="J27" s="31">
        <f>IF(I27="","",I27/G27)</f>
        <v/>
      </c>
      <c r="K27" s="32" t="n"/>
      <c r="L27" s="33">
        <f>IF(OR(K27="",G27=""),"",G27*K27/100/SQRT(252))</f>
        <v/>
      </c>
      <c r="M27" s="33">
        <f>IF(OR(L27="",H27=""),"",H27-L27)</f>
        <v/>
      </c>
      <c r="N27" s="33">
        <f>IF(OR(L27="",H27=""),"",H27+L27)</f>
        <v/>
      </c>
      <c r="O27" s="34">
        <f>IF(OR(E27="",F27="",G27=""),"",(E27+F27+G27)/3)</f>
        <v/>
      </c>
      <c r="P27" s="34">
        <f>IF(O27="","",(E27+F27)/2)</f>
        <v/>
      </c>
      <c r="Q27" s="34">
        <f>IF(O27="","",2*O27-P27)</f>
        <v/>
      </c>
      <c r="R27" s="35">
        <f>IF(O27="","",ABS(Q27-P27)/O27)</f>
        <v/>
      </c>
      <c r="S27" s="34">
        <f>IF(O27="","",2*O27-F27)</f>
        <v/>
      </c>
      <c r="T27" s="34">
        <f>IF(O27="","",2*O27-E27)</f>
        <v/>
      </c>
      <c r="U27" s="36" t="n"/>
      <c r="V27" s="36" t="n"/>
      <c r="W27" s="36" t="n"/>
      <c r="X27" s="37" t="n"/>
      <c r="Y27" s="37" t="n"/>
      <c r="Z27" s="36" t="n"/>
      <c r="AA27" s="38" t="n"/>
      <c r="AB27" s="36" t="n"/>
      <c r="AC27" s="37" t="n"/>
      <c r="AD27" s="39">
        <f>IF(A27="","",IFERROR(SUMIFS(TL_Net,TL_Date,_xlfn.MAXIFS(TL_Date,TL_Date,"&lt;"&amp;A27)),0))</f>
        <v/>
      </c>
      <c r="AE27" s="5">
        <f>IF(A27="","",IF(OR(AC27="Y",AND(Z27&lt;&gt;"",N(Z27)&lt;=2),AND(AA27&lt;&gt;"",N(AA27)&lt;6),N(AB27)&gt;=4),"NO TRADE / HALF SIZE","GO"))</f>
        <v/>
      </c>
    </row>
    <row r="28">
      <c r="A28" s="27" t="n"/>
      <c r="B28" s="5">
        <f>IF(A28="","",TEXT(A28,"ddd"))</f>
        <v/>
      </c>
      <c r="C28" s="27" t="n"/>
      <c r="D28" s="28">
        <f>IF(OR(A28="",C28=""),"",MAX(0,NETWORKDAYS(A28,C28)-1))</f>
        <v/>
      </c>
      <c r="E28" s="29" t="n"/>
      <c r="F28" s="29" t="n"/>
      <c r="G28" s="29" t="n"/>
      <c r="H28" s="29" t="n"/>
      <c r="I28" s="30">
        <f>IF(OR(H28="",G28=""),"",H28-G28)</f>
        <v/>
      </c>
      <c r="J28" s="31">
        <f>IF(I28="","",I28/G28)</f>
        <v/>
      </c>
      <c r="K28" s="32" t="n"/>
      <c r="L28" s="33">
        <f>IF(OR(K28="",G28=""),"",G28*K28/100/SQRT(252))</f>
        <v/>
      </c>
      <c r="M28" s="33">
        <f>IF(OR(L28="",H28=""),"",H28-L28)</f>
        <v/>
      </c>
      <c r="N28" s="33">
        <f>IF(OR(L28="",H28=""),"",H28+L28)</f>
        <v/>
      </c>
      <c r="O28" s="34">
        <f>IF(OR(E28="",F28="",G28=""),"",(E28+F28+G28)/3)</f>
        <v/>
      </c>
      <c r="P28" s="34">
        <f>IF(O28="","",(E28+F28)/2)</f>
        <v/>
      </c>
      <c r="Q28" s="34">
        <f>IF(O28="","",2*O28-P28)</f>
        <v/>
      </c>
      <c r="R28" s="35">
        <f>IF(O28="","",ABS(Q28-P28)/O28)</f>
        <v/>
      </c>
      <c r="S28" s="34">
        <f>IF(O28="","",2*O28-F28)</f>
        <v/>
      </c>
      <c r="T28" s="34">
        <f>IF(O28="","",2*O28-E28)</f>
        <v/>
      </c>
      <c r="U28" s="36" t="n"/>
      <c r="V28" s="36" t="n"/>
      <c r="W28" s="36" t="n"/>
      <c r="X28" s="37" t="n"/>
      <c r="Y28" s="37" t="n"/>
      <c r="Z28" s="36" t="n"/>
      <c r="AA28" s="38" t="n"/>
      <c r="AB28" s="36" t="n"/>
      <c r="AC28" s="37" t="n"/>
      <c r="AD28" s="39">
        <f>IF(A28="","",IFERROR(SUMIFS(TL_Net,TL_Date,_xlfn.MAXIFS(TL_Date,TL_Date,"&lt;"&amp;A28)),0))</f>
        <v/>
      </c>
      <c r="AE28" s="5">
        <f>IF(A28="","",IF(OR(AC28="Y",AND(Z28&lt;&gt;"",N(Z28)&lt;=2),AND(AA28&lt;&gt;"",N(AA28)&lt;6),N(AB28)&gt;=4),"NO TRADE / HALF SIZE","GO"))</f>
        <v/>
      </c>
    </row>
    <row r="29">
      <c r="A29" s="27" t="n"/>
      <c r="B29" s="5">
        <f>IF(A29="","",TEXT(A29,"ddd"))</f>
        <v/>
      </c>
      <c r="C29" s="27" t="n"/>
      <c r="D29" s="28">
        <f>IF(OR(A29="",C29=""),"",MAX(0,NETWORKDAYS(A29,C29)-1))</f>
        <v/>
      </c>
      <c r="E29" s="29" t="n"/>
      <c r="F29" s="29" t="n"/>
      <c r="G29" s="29" t="n"/>
      <c r="H29" s="29" t="n"/>
      <c r="I29" s="30">
        <f>IF(OR(H29="",G29=""),"",H29-G29)</f>
        <v/>
      </c>
      <c r="J29" s="31">
        <f>IF(I29="","",I29/G29)</f>
        <v/>
      </c>
      <c r="K29" s="32" t="n"/>
      <c r="L29" s="33">
        <f>IF(OR(K29="",G29=""),"",G29*K29/100/SQRT(252))</f>
        <v/>
      </c>
      <c r="M29" s="33">
        <f>IF(OR(L29="",H29=""),"",H29-L29)</f>
        <v/>
      </c>
      <c r="N29" s="33">
        <f>IF(OR(L29="",H29=""),"",H29+L29)</f>
        <v/>
      </c>
      <c r="O29" s="34">
        <f>IF(OR(E29="",F29="",G29=""),"",(E29+F29+G29)/3)</f>
        <v/>
      </c>
      <c r="P29" s="34">
        <f>IF(O29="","",(E29+F29)/2)</f>
        <v/>
      </c>
      <c r="Q29" s="34">
        <f>IF(O29="","",2*O29-P29)</f>
        <v/>
      </c>
      <c r="R29" s="35">
        <f>IF(O29="","",ABS(Q29-P29)/O29)</f>
        <v/>
      </c>
      <c r="S29" s="34">
        <f>IF(O29="","",2*O29-F29)</f>
        <v/>
      </c>
      <c r="T29" s="34">
        <f>IF(O29="","",2*O29-E29)</f>
        <v/>
      </c>
      <c r="U29" s="36" t="n"/>
      <c r="V29" s="36" t="n"/>
      <c r="W29" s="36" t="n"/>
      <c r="X29" s="37" t="n"/>
      <c r="Y29" s="37" t="n"/>
      <c r="Z29" s="36" t="n"/>
      <c r="AA29" s="38" t="n"/>
      <c r="AB29" s="36" t="n"/>
      <c r="AC29" s="37" t="n"/>
      <c r="AD29" s="39">
        <f>IF(A29="","",IFERROR(SUMIFS(TL_Net,TL_Date,_xlfn.MAXIFS(TL_Date,TL_Date,"&lt;"&amp;A29)),0))</f>
        <v/>
      </c>
      <c r="AE29" s="5">
        <f>IF(A29="","",IF(OR(AC29="Y",AND(Z29&lt;&gt;"",N(Z29)&lt;=2),AND(AA29&lt;&gt;"",N(AA29)&lt;6),N(AB29)&gt;=4),"NO TRADE / HALF SIZE","GO"))</f>
        <v/>
      </c>
    </row>
    <row r="30">
      <c r="A30" s="27" t="n"/>
      <c r="B30" s="5">
        <f>IF(A30="","",TEXT(A30,"ddd"))</f>
        <v/>
      </c>
      <c r="C30" s="27" t="n"/>
      <c r="D30" s="28">
        <f>IF(OR(A30="",C30=""),"",MAX(0,NETWORKDAYS(A30,C30)-1))</f>
        <v/>
      </c>
      <c r="E30" s="29" t="n"/>
      <c r="F30" s="29" t="n"/>
      <c r="G30" s="29" t="n"/>
      <c r="H30" s="29" t="n"/>
      <c r="I30" s="30">
        <f>IF(OR(H30="",G30=""),"",H30-G30)</f>
        <v/>
      </c>
      <c r="J30" s="31">
        <f>IF(I30="","",I30/G30)</f>
        <v/>
      </c>
      <c r="K30" s="32" t="n"/>
      <c r="L30" s="33">
        <f>IF(OR(K30="",G30=""),"",G30*K30/100/SQRT(252))</f>
        <v/>
      </c>
      <c r="M30" s="33">
        <f>IF(OR(L30="",H30=""),"",H30-L30)</f>
        <v/>
      </c>
      <c r="N30" s="33">
        <f>IF(OR(L30="",H30=""),"",H30+L30)</f>
        <v/>
      </c>
      <c r="O30" s="34">
        <f>IF(OR(E30="",F30="",G30=""),"",(E30+F30+G30)/3)</f>
        <v/>
      </c>
      <c r="P30" s="34">
        <f>IF(O30="","",(E30+F30)/2)</f>
        <v/>
      </c>
      <c r="Q30" s="34">
        <f>IF(O30="","",2*O30-P30)</f>
        <v/>
      </c>
      <c r="R30" s="35">
        <f>IF(O30="","",ABS(Q30-P30)/O30)</f>
        <v/>
      </c>
      <c r="S30" s="34">
        <f>IF(O30="","",2*O30-F30)</f>
        <v/>
      </c>
      <c r="T30" s="34">
        <f>IF(O30="","",2*O30-E30)</f>
        <v/>
      </c>
      <c r="U30" s="36" t="n"/>
      <c r="V30" s="36" t="n"/>
      <c r="W30" s="36" t="n"/>
      <c r="X30" s="37" t="n"/>
      <c r="Y30" s="37" t="n"/>
      <c r="Z30" s="36" t="n"/>
      <c r="AA30" s="38" t="n"/>
      <c r="AB30" s="36" t="n"/>
      <c r="AC30" s="37" t="n"/>
      <c r="AD30" s="39">
        <f>IF(A30="","",IFERROR(SUMIFS(TL_Net,TL_Date,_xlfn.MAXIFS(TL_Date,TL_Date,"&lt;"&amp;A30)),0))</f>
        <v/>
      </c>
      <c r="AE30" s="5">
        <f>IF(A30="","",IF(OR(AC30="Y",AND(Z30&lt;&gt;"",N(Z30)&lt;=2),AND(AA30&lt;&gt;"",N(AA30)&lt;6),N(AB30)&gt;=4),"NO TRADE / HALF SIZE","GO"))</f>
        <v/>
      </c>
    </row>
    <row r="31">
      <c r="A31" s="27" t="n"/>
      <c r="B31" s="5">
        <f>IF(A31="","",TEXT(A31,"ddd"))</f>
        <v/>
      </c>
      <c r="C31" s="27" t="n"/>
      <c r="D31" s="28">
        <f>IF(OR(A31="",C31=""),"",MAX(0,NETWORKDAYS(A31,C31)-1))</f>
        <v/>
      </c>
      <c r="E31" s="29" t="n"/>
      <c r="F31" s="29" t="n"/>
      <c r="G31" s="29" t="n"/>
      <c r="H31" s="29" t="n"/>
      <c r="I31" s="30">
        <f>IF(OR(H31="",G31=""),"",H31-G31)</f>
        <v/>
      </c>
      <c r="J31" s="31">
        <f>IF(I31="","",I31/G31)</f>
        <v/>
      </c>
      <c r="K31" s="32" t="n"/>
      <c r="L31" s="33">
        <f>IF(OR(K31="",G31=""),"",G31*K31/100/SQRT(252))</f>
        <v/>
      </c>
      <c r="M31" s="33">
        <f>IF(OR(L31="",H31=""),"",H31-L31)</f>
        <v/>
      </c>
      <c r="N31" s="33">
        <f>IF(OR(L31="",H31=""),"",H31+L31)</f>
        <v/>
      </c>
      <c r="O31" s="34">
        <f>IF(OR(E31="",F31="",G31=""),"",(E31+F31+G31)/3)</f>
        <v/>
      </c>
      <c r="P31" s="34">
        <f>IF(O31="","",(E31+F31)/2)</f>
        <v/>
      </c>
      <c r="Q31" s="34">
        <f>IF(O31="","",2*O31-P31)</f>
        <v/>
      </c>
      <c r="R31" s="35">
        <f>IF(O31="","",ABS(Q31-P31)/O31)</f>
        <v/>
      </c>
      <c r="S31" s="34">
        <f>IF(O31="","",2*O31-F31)</f>
        <v/>
      </c>
      <c r="T31" s="34">
        <f>IF(O31="","",2*O31-E31)</f>
        <v/>
      </c>
      <c r="U31" s="36" t="n"/>
      <c r="V31" s="36" t="n"/>
      <c r="W31" s="36" t="n"/>
      <c r="X31" s="37" t="n"/>
      <c r="Y31" s="37" t="n"/>
      <c r="Z31" s="36" t="n"/>
      <c r="AA31" s="38" t="n"/>
      <c r="AB31" s="36" t="n"/>
      <c r="AC31" s="37" t="n"/>
      <c r="AD31" s="39">
        <f>IF(A31="","",IFERROR(SUMIFS(TL_Net,TL_Date,_xlfn.MAXIFS(TL_Date,TL_Date,"&lt;"&amp;A31)),0))</f>
        <v/>
      </c>
      <c r="AE31" s="5">
        <f>IF(A31="","",IF(OR(AC31="Y",AND(Z31&lt;&gt;"",N(Z31)&lt;=2),AND(AA31&lt;&gt;"",N(AA31)&lt;6),N(AB31)&gt;=4),"NO TRADE / HALF SIZE","GO"))</f>
        <v/>
      </c>
    </row>
    <row r="32">
      <c r="A32" s="27" t="n"/>
      <c r="B32" s="5">
        <f>IF(A32="","",TEXT(A32,"ddd"))</f>
        <v/>
      </c>
      <c r="C32" s="27" t="n"/>
      <c r="D32" s="28">
        <f>IF(OR(A32="",C32=""),"",MAX(0,NETWORKDAYS(A32,C32)-1))</f>
        <v/>
      </c>
      <c r="E32" s="29" t="n"/>
      <c r="F32" s="29" t="n"/>
      <c r="G32" s="29" t="n"/>
      <c r="H32" s="29" t="n"/>
      <c r="I32" s="30">
        <f>IF(OR(H32="",G32=""),"",H32-G32)</f>
        <v/>
      </c>
      <c r="J32" s="31">
        <f>IF(I32="","",I32/G32)</f>
        <v/>
      </c>
      <c r="K32" s="32" t="n"/>
      <c r="L32" s="33">
        <f>IF(OR(K32="",G32=""),"",G32*K32/100/SQRT(252))</f>
        <v/>
      </c>
      <c r="M32" s="33">
        <f>IF(OR(L32="",H32=""),"",H32-L32)</f>
        <v/>
      </c>
      <c r="N32" s="33">
        <f>IF(OR(L32="",H32=""),"",H32+L32)</f>
        <v/>
      </c>
      <c r="O32" s="34">
        <f>IF(OR(E32="",F32="",G32=""),"",(E32+F32+G32)/3)</f>
        <v/>
      </c>
      <c r="P32" s="34">
        <f>IF(O32="","",(E32+F32)/2)</f>
        <v/>
      </c>
      <c r="Q32" s="34">
        <f>IF(O32="","",2*O32-P32)</f>
        <v/>
      </c>
      <c r="R32" s="35">
        <f>IF(O32="","",ABS(Q32-P32)/O32)</f>
        <v/>
      </c>
      <c r="S32" s="34">
        <f>IF(O32="","",2*O32-F32)</f>
        <v/>
      </c>
      <c r="T32" s="34">
        <f>IF(O32="","",2*O32-E32)</f>
        <v/>
      </c>
      <c r="U32" s="36" t="n"/>
      <c r="V32" s="36" t="n"/>
      <c r="W32" s="36" t="n"/>
      <c r="X32" s="37" t="n"/>
      <c r="Y32" s="37" t="n"/>
      <c r="Z32" s="36" t="n"/>
      <c r="AA32" s="38" t="n"/>
      <c r="AB32" s="36" t="n"/>
      <c r="AC32" s="37" t="n"/>
      <c r="AD32" s="39">
        <f>IF(A32="","",IFERROR(SUMIFS(TL_Net,TL_Date,_xlfn.MAXIFS(TL_Date,TL_Date,"&lt;"&amp;A32)),0))</f>
        <v/>
      </c>
      <c r="AE32" s="5">
        <f>IF(A32="","",IF(OR(AC32="Y",AND(Z32&lt;&gt;"",N(Z32)&lt;=2),AND(AA32&lt;&gt;"",N(AA32)&lt;6),N(AB32)&gt;=4),"NO TRADE / HALF SIZE","GO"))</f>
        <v/>
      </c>
    </row>
    <row r="33">
      <c r="A33" s="27" t="n"/>
      <c r="B33" s="5">
        <f>IF(A33="","",TEXT(A33,"ddd"))</f>
        <v/>
      </c>
      <c r="C33" s="27" t="n"/>
      <c r="D33" s="28">
        <f>IF(OR(A33="",C33=""),"",MAX(0,NETWORKDAYS(A33,C33)-1))</f>
        <v/>
      </c>
      <c r="E33" s="29" t="n"/>
      <c r="F33" s="29" t="n"/>
      <c r="G33" s="29" t="n"/>
      <c r="H33" s="29" t="n"/>
      <c r="I33" s="30">
        <f>IF(OR(H33="",G33=""),"",H33-G33)</f>
        <v/>
      </c>
      <c r="J33" s="31">
        <f>IF(I33="","",I33/G33)</f>
        <v/>
      </c>
      <c r="K33" s="32" t="n"/>
      <c r="L33" s="33">
        <f>IF(OR(K33="",G33=""),"",G33*K33/100/SQRT(252))</f>
        <v/>
      </c>
      <c r="M33" s="33">
        <f>IF(OR(L33="",H33=""),"",H33-L33)</f>
        <v/>
      </c>
      <c r="N33" s="33">
        <f>IF(OR(L33="",H33=""),"",H33+L33)</f>
        <v/>
      </c>
      <c r="O33" s="34">
        <f>IF(OR(E33="",F33="",G33=""),"",(E33+F33+G33)/3)</f>
        <v/>
      </c>
      <c r="P33" s="34">
        <f>IF(O33="","",(E33+F33)/2)</f>
        <v/>
      </c>
      <c r="Q33" s="34">
        <f>IF(O33="","",2*O33-P33)</f>
        <v/>
      </c>
      <c r="R33" s="35">
        <f>IF(O33="","",ABS(Q33-P33)/O33)</f>
        <v/>
      </c>
      <c r="S33" s="34">
        <f>IF(O33="","",2*O33-F33)</f>
        <v/>
      </c>
      <c r="T33" s="34">
        <f>IF(O33="","",2*O33-E33)</f>
        <v/>
      </c>
      <c r="U33" s="36" t="n"/>
      <c r="V33" s="36" t="n"/>
      <c r="W33" s="36" t="n"/>
      <c r="X33" s="37" t="n"/>
      <c r="Y33" s="37" t="n"/>
      <c r="Z33" s="36" t="n"/>
      <c r="AA33" s="38" t="n"/>
      <c r="AB33" s="36" t="n"/>
      <c r="AC33" s="37" t="n"/>
      <c r="AD33" s="39">
        <f>IF(A33="","",IFERROR(SUMIFS(TL_Net,TL_Date,_xlfn.MAXIFS(TL_Date,TL_Date,"&lt;"&amp;A33)),0))</f>
        <v/>
      </c>
      <c r="AE33" s="5">
        <f>IF(A33="","",IF(OR(AC33="Y",AND(Z33&lt;&gt;"",N(Z33)&lt;=2),AND(AA33&lt;&gt;"",N(AA33)&lt;6),N(AB33)&gt;=4),"NO TRADE / HALF SIZE","GO"))</f>
        <v/>
      </c>
    </row>
    <row r="34">
      <c r="A34" s="27" t="n"/>
      <c r="B34" s="5">
        <f>IF(A34="","",TEXT(A34,"ddd"))</f>
        <v/>
      </c>
      <c r="C34" s="27" t="n"/>
      <c r="D34" s="28">
        <f>IF(OR(A34="",C34=""),"",MAX(0,NETWORKDAYS(A34,C34)-1))</f>
        <v/>
      </c>
      <c r="E34" s="29" t="n"/>
      <c r="F34" s="29" t="n"/>
      <c r="G34" s="29" t="n"/>
      <c r="H34" s="29" t="n"/>
      <c r="I34" s="30">
        <f>IF(OR(H34="",G34=""),"",H34-G34)</f>
        <v/>
      </c>
      <c r="J34" s="31">
        <f>IF(I34="","",I34/G34)</f>
        <v/>
      </c>
      <c r="K34" s="32" t="n"/>
      <c r="L34" s="33">
        <f>IF(OR(K34="",G34=""),"",G34*K34/100/SQRT(252))</f>
        <v/>
      </c>
      <c r="M34" s="33">
        <f>IF(OR(L34="",H34=""),"",H34-L34)</f>
        <v/>
      </c>
      <c r="N34" s="33">
        <f>IF(OR(L34="",H34=""),"",H34+L34)</f>
        <v/>
      </c>
      <c r="O34" s="34">
        <f>IF(OR(E34="",F34="",G34=""),"",(E34+F34+G34)/3)</f>
        <v/>
      </c>
      <c r="P34" s="34">
        <f>IF(O34="","",(E34+F34)/2)</f>
        <v/>
      </c>
      <c r="Q34" s="34">
        <f>IF(O34="","",2*O34-P34)</f>
        <v/>
      </c>
      <c r="R34" s="35">
        <f>IF(O34="","",ABS(Q34-P34)/O34)</f>
        <v/>
      </c>
      <c r="S34" s="34">
        <f>IF(O34="","",2*O34-F34)</f>
        <v/>
      </c>
      <c r="T34" s="34">
        <f>IF(O34="","",2*O34-E34)</f>
        <v/>
      </c>
      <c r="U34" s="36" t="n"/>
      <c r="V34" s="36" t="n"/>
      <c r="W34" s="36" t="n"/>
      <c r="X34" s="37" t="n"/>
      <c r="Y34" s="37" t="n"/>
      <c r="Z34" s="36" t="n"/>
      <c r="AA34" s="38" t="n"/>
      <c r="AB34" s="36" t="n"/>
      <c r="AC34" s="37" t="n"/>
      <c r="AD34" s="39">
        <f>IF(A34="","",IFERROR(SUMIFS(TL_Net,TL_Date,_xlfn.MAXIFS(TL_Date,TL_Date,"&lt;"&amp;A34)),0))</f>
        <v/>
      </c>
      <c r="AE34" s="5">
        <f>IF(A34="","",IF(OR(AC34="Y",AND(Z34&lt;&gt;"",N(Z34)&lt;=2),AND(AA34&lt;&gt;"",N(AA34)&lt;6),N(AB34)&gt;=4),"NO TRADE / HALF SIZE","GO"))</f>
        <v/>
      </c>
    </row>
    <row r="35">
      <c r="A35" s="27" t="n"/>
      <c r="B35" s="5">
        <f>IF(A35="","",TEXT(A35,"ddd"))</f>
        <v/>
      </c>
      <c r="C35" s="27" t="n"/>
      <c r="D35" s="28">
        <f>IF(OR(A35="",C35=""),"",MAX(0,NETWORKDAYS(A35,C35)-1))</f>
        <v/>
      </c>
      <c r="E35" s="29" t="n"/>
      <c r="F35" s="29" t="n"/>
      <c r="G35" s="29" t="n"/>
      <c r="H35" s="29" t="n"/>
      <c r="I35" s="30">
        <f>IF(OR(H35="",G35=""),"",H35-G35)</f>
        <v/>
      </c>
      <c r="J35" s="31">
        <f>IF(I35="","",I35/G35)</f>
        <v/>
      </c>
      <c r="K35" s="32" t="n"/>
      <c r="L35" s="33">
        <f>IF(OR(K35="",G35=""),"",G35*K35/100/SQRT(252))</f>
        <v/>
      </c>
      <c r="M35" s="33">
        <f>IF(OR(L35="",H35=""),"",H35-L35)</f>
        <v/>
      </c>
      <c r="N35" s="33">
        <f>IF(OR(L35="",H35=""),"",H35+L35)</f>
        <v/>
      </c>
      <c r="O35" s="34">
        <f>IF(OR(E35="",F35="",G35=""),"",(E35+F35+G35)/3)</f>
        <v/>
      </c>
      <c r="P35" s="34">
        <f>IF(O35="","",(E35+F35)/2)</f>
        <v/>
      </c>
      <c r="Q35" s="34">
        <f>IF(O35="","",2*O35-P35)</f>
        <v/>
      </c>
      <c r="R35" s="35">
        <f>IF(O35="","",ABS(Q35-P35)/O35)</f>
        <v/>
      </c>
      <c r="S35" s="34">
        <f>IF(O35="","",2*O35-F35)</f>
        <v/>
      </c>
      <c r="T35" s="34">
        <f>IF(O35="","",2*O35-E35)</f>
        <v/>
      </c>
      <c r="U35" s="36" t="n"/>
      <c r="V35" s="36" t="n"/>
      <c r="W35" s="36" t="n"/>
      <c r="X35" s="37" t="n"/>
      <c r="Y35" s="37" t="n"/>
      <c r="Z35" s="36" t="n"/>
      <c r="AA35" s="38" t="n"/>
      <c r="AB35" s="36" t="n"/>
      <c r="AC35" s="37" t="n"/>
      <c r="AD35" s="39">
        <f>IF(A35="","",IFERROR(SUMIFS(TL_Net,TL_Date,_xlfn.MAXIFS(TL_Date,TL_Date,"&lt;"&amp;A35)),0))</f>
        <v/>
      </c>
      <c r="AE35" s="5">
        <f>IF(A35="","",IF(OR(AC35="Y",AND(Z35&lt;&gt;"",N(Z35)&lt;=2),AND(AA35&lt;&gt;"",N(AA35)&lt;6),N(AB35)&gt;=4),"NO TRADE / HALF SIZE","GO"))</f>
        <v/>
      </c>
    </row>
    <row r="36">
      <c r="A36" s="27" t="n"/>
      <c r="B36" s="5">
        <f>IF(A36="","",TEXT(A36,"ddd"))</f>
        <v/>
      </c>
      <c r="C36" s="27" t="n"/>
      <c r="D36" s="28">
        <f>IF(OR(A36="",C36=""),"",MAX(0,NETWORKDAYS(A36,C36)-1))</f>
        <v/>
      </c>
      <c r="E36" s="29" t="n"/>
      <c r="F36" s="29" t="n"/>
      <c r="G36" s="29" t="n"/>
      <c r="H36" s="29" t="n"/>
      <c r="I36" s="30">
        <f>IF(OR(H36="",G36=""),"",H36-G36)</f>
        <v/>
      </c>
      <c r="J36" s="31">
        <f>IF(I36="","",I36/G36)</f>
        <v/>
      </c>
      <c r="K36" s="32" t="n"/>
      <c r="L36" s="33">
        <f>IF(OR(K36="",G36=""),"",G36*K36/100/SQRT(252))</f>
        <v/>
      </c>
      <c r="M36" s="33">
        <f>IF(OR(L36="",H36=""),"",H36-L36)</f>
        <v/>
      </c>
      <c r="N36" s="33">
        <f>IF(OR(L36="",H36=""),"",H36+L36)</f>
        <v/>
      </c>
      <c r="O36" s="34">
        <f>IF(OR(E36="",F36="",G36=""),"",(E36+F36+G36)/3)</f>
        <v/>
      </c>
      <c r="P36" s="34">
        <f>IF(O36="","",(E36+F36)/2)</f>
        <v/>
      </c>
      <c r="Q36" s="34">
        <f>IF(O36="","",2*O36-P36)</f>
        <v/>
      </c>
      <c r="R36" s="35">
        <f>IF(O36="","",ABS(Q36-P36)/O36)</f>
        <v/>
      </c>
      <c r="S36" s="34">
        <f>IF(O36="","",2*O36-F36)</f>
        <v/>
      </c>
      <c r="T36" s="34">
        <f>IF(O36="","",2*O36-E36)</f>
        <v/>
      </c>
      <c r="U36" s="36" t="n"/>
      <c r="V36" s="36" t="n"/>
      <c r="W36" s="36" t="n"/>
      <c r="X36" s="37" t="n"/>
      <c r="Y36" s="37" t="n"/>
      <c r="Z36" s="36" t="n"/>
      <c r="AA36" s="38" t="n"/>
      <c r="AB36" s="36" t="n"/>
      <c r="AC36" s="37" t="n"/>
      <c r="AD36" s="39">
        <f>IF(A36="","",IFERROR(SUMIFS(TL_Net,TL_Date,_xlfn.MAXIFS(TL_Date,TL_Date,"&lt;"&amp;A36)),0))</f>
        <v/>
      </c>
      <c r="AE36" s="5">
        <f>IF(A36="","",IF(OR(AC36="Y",AND(Z36&lt;&gt;"",N(Z36)&lt;=2),AND(AA36&lt;&gt;"",N(AA36)&lt;6),N(AB36)&gt;=4),"NO TRADE / HALF SIZE","GO"))</f>
        <v/>
      </c>
    </row>
    <row r="37">
      <c r="A37" s="27" t="n"/>
      <c r="B37" s="5">
        <f>IF(A37="","",TEXT(A37,"ddd"))</f>
        <v/>
      </c>
      <c r="C37" s="27" t="n"/>
      <c r="D37" s="28">
        <f>IF(OR(A37="",C37=""),"",MAX(0,NETWORKDAYS(A37,C37)-1))</f>
        <v/>
      </c>
      <c r="E37" s="29" t="n"/>
      <c r="F37" s="29" t="n"/>
      <c r="G37" s="29" t="n"/>
      <c r="H37" s="29" t="n"/>
      <c r="I37" s="30">
        <f>IF(OR(H37="",G37=""),"",H37-G37)</f>
        <v/>
      </c>
      <c r="J37" s="31">
        <f>IF(I37="","",I37/G37)</f>
        <v/>
      </c>
      <c r="K37" s="32" t="n"/>
      <c r="L37" s="33">
        <f>IF(OR(K37="",G37=""),"",G37*K37/100/SQRT(252))</f>
        <v/>
      </c>
      <c r="M37" s="33">
        <f>IF(OR(L37="",H37=""),"",H37-L37)</f>
        <v/>
      </c>
      <c r="N37" s="33">
        <f>IF(OR(L37="",H37=""),"",H37+L37)</f>
        <v/>
      </c>
      <c r="O37" s="34">
        <f>IF(OR(E37="",F37="",G37=""),"",(E37+F37+G37)/3)</f>
        <v/>
      </c>
      <c r="P37" s="34">
        <f>IF(O37="","",(E37+F37)/2)</f>
        <v/>
      </c>
      <c r="Q37" s="34">
        <f>IF(O37="","",2*O37-P37)</f>
        <v/>
      </c>
      <c r="R37" s="35">
        <f>IF(O37="","",ABS(Q37-P37)/O37)</f>
        <v/>
      </c>
      <c r="S37" s="34">
        <f>IF(O37="","",2*O37-F37)</f>
        <v/>
      </c>
      <c r="T37" s="34">
        <f>IF(O37="","",2*O37-E37)</f>
        <v/>
      </c>
      <c r="U37" s="36" t="n"/>
      <c r="V37" s="36" t="n"/>
      <c r="W37" s="36" t="n"/>
      <c r="X37" s="37" t="n"/>
      <c r="Y37" s="37" t="n"/>
      <c r="Z37" s="36" t="n"/>
      <c r="AA37" s="38" t="n"/>
      <c r="AB37" s="36" t="n"/>
      <c r="AC37" s="37" t="n"/>
      <c r="AD37" s="39">
        <f>IF(A37="","",IFERROR(SUMIFS(TL_Net,TL_Date,_xlfn.MAXIFS(TL_Date,TL_Date,"&lt;"&amp;A37)),0))</f>
        <v/>
      </c>
      <c r="AE37" s="5">
        <f>IF(A37="","",IF(OR(AC37="Y",AND(Z37&lt;&gt;"",N(Z37)&lt;=2),AND(AA37&lt;&gt;"",N(AA37)&lt;6),N(AB37)&gt;=4),"NO TRADE / HALF SIZE","GO"))</f>
        <v/>
      </c>
    </row>
    <row r="38">
      <c r="A38" s="27" t="n"/>
      <c r="B38" s="5">
        <f>IF(A38="","",TEXT(A38,"ddd"))</f>
        <v/>
      </c>
      <c r="C38" s="27" t="n"/>
      <c r="D38" s="28">
        <f>IF(OR(A38="",C38=""),"",MAX(0,NETWORKDAYS(A38,C38)-1))</f>
        <v/>
      </c>
      <c r="E38" s="29" t="n"/>
      <c r="F38" s="29" t="n"/>
      <c r="G38" s="29" t="n"/>
      <c r="H38" s="29" t="n"/>
      <c r="I38" s="30">
        <f>IF(OR(H38="",G38=""),"",H38-G38)</f>
        <v/>
      </c>
      <c r="J38" s="31">
        <f>IF(I38="","",I38/G38)</f>
        <v/>
      </c>
      <c r="K38" s="32" t="n"/>
      <c r="L38" s="33">
        <f>IF(OR(K38="",G38=""),"",G38*K38/100/SQRT(252))</f>
        <v/>
      </c>
      <c r="M38" s="33">
        <f>IF(OR(L38="",H38=""),"",H38-L38)</f>
        <v/>
      </c>
      <c r="N38" s="33">
        <f>IF(OR(L38="",H38=""),"",H38+L38)</f>
        <v/>
      </c>
      <c r="O38" s="34">
        <f>IF(OR(E38="",F38="",G38=""),"",(E38+F38+G38)/3)</f>
        <v/>
      </c>
      <c r="P38" s="34">
        <f>IF(O38="","",(E38+F38)/2)</f>
        <v/>
      </c>
      <c r="Q38" s="34">
        <f>IF(O38="","",2*O38-P38)</f>
        <v/>
      </c>
      <c r="R38" s="35">
        <f>IF(O38="","",ABS(Q38-P38)/O38)</f>
        <v/>
      </c>
      <c r="S38" s="34">
        <f>IF(O38="","",2*O38-F38)</f>
        <v/>
      </c>
      <c r="T38" s="34">
        <f>IF(O38="","",2*O38-E38)</f>
        <v/>
      </c>
      <c r="U38" s="36" t="n"/>
      <c r="V38" s="36" t="n"/>
      <c r="W38" s="36" t="n"/>
      <c r="X38" s="37" t="n"/>
      <c r="Y38" s="37" t="n"/>
      <c r="Z38" s="36" t="n"/>
      <c r="AA38" s="38" t="n"/>
      <c r="AB38" s="36" t="n"/>
      <c r="AC38" s="37" t="n"/>
      <c r="AD38" s="39">
        <f>IF(A38="","",IFERROR(SUMIFS(TL_Net,TL_Date,_xlfn.MAXIFS(TL_Date,TL_Date,"&lt;"&amp;A38)),0))</f>
        <v/>
      </c>
      <c r="AE38" s="5">
        <f>IF(A38="","",IF(OR(AC38="Y",AND(Z38&lt;&gt;"",N(Z38)&lt;=2),AND(AA38&lt;&gt;"",N(AA38)&lt;6),N(AB38)&gt;=4),"NO TRADE / HALF SIZE","GO"))</f>
        <v/>
      </c>
    </row>
    <row r="39">
      <c r="A39" s="27" t="n"/>
      <c r="B39" s="5">
        <f>IF(A39="","",TEXT(A39,"ddd"))</f>
        <v/>
      </c>
      <c r="C39" s="27" t="n"/>
      <c r="D39" s="28">
        <f>IF(OR(A39="",C39=""),"",MAX(0,NETWORKDAYS(A39,C39)-1))</f>
        <v/>
      </c>
      <c r="E39" s="29" t="n"/>
      <c r="F39" s="29" t="n"/>
      <c r="G39" s="29" t="n"/>
      <c r="H39" s="29" t="n"/>
      <c r="I39" s="30">
        <f>IF(OR(H39="",G39=""),"",H39-G39)</f>
        <v/>
      </c>
      <c r="J39" s="31">
        <f>IF(I39="","",I39/G39)</f>
        <v/>
      </c>
      <c r="K39" s="32" t="n"/>
      <c r="L39" s="33">
        <f>IF(OR(K39="",G39=""),"",G39*K39/100/SQRT(252))</f>
        <v/>
      </c>
      <c r="M39" s="33">
        <f>IF(OR(L39="",H39=""),"",H39-L39)</f>
        <v/>
      </c>
      <c r="N39" s="33">
        <f>IF(OR(L39="",H39=""),"",H39+L39)</f>
        <v/>
      </c>
      <c r="O39" s="34">
        <f>IF(OR(E39="",F39="",G39=""),"",(E39+F39+G39)/3)</f>
        <v/>
      </c>
      <c r="P39" s="34">
        <f>IF(O39="","",(E39+F39)/2)</f>
        <v/>
      </c>
      <c r="Q39" s="34">
        <f>IF(O39="","",2*O39-P39)</f>
        <v/>
      </c>
      <c r="R39" s="35">
        <f>IF(O39="","",ABS(Q39-P39)/O39)</f>
        <v/>
      </c>
      <c r="S39" s="34">
        <f>IF(O39="","",2*O39-F39)</f>
        <v/>
      </c>
      <c r="T39" s="34">
        <f>IF(O39="","",2*O39-E39)</f>
        <v/>
      </c>
      <c r="U39" s="36" t="n"/>
      <c r="V39" s="36" t="n"/>
      <c r="W39" s="36" t="n"/>
      <c r="X39" s="37" t="n"/>
      <c r="Y39" s="37" t="n"/>
      <c r="Z39" s="36" t="n"/>
      <c r="AA39" s="38" t="n"/>
      <c r="AB39" s="36" t="n"/>
      <c r="AC39" s="37" t="n"/>
      <c r="AD39" s="39">
        <f>IF(A39="","",IFERROR(SUMIFS(TL_Net,TL_Date,_xlfn.MAXIFS(TL_Date,TL_Date,"&lt;"&amp;A39)),0))</f>
        <v/>
      </c>
      <c r="AE39" s="5">
        <f>IF(A39="","",IF(OR(AC39="Y",AND(Z39&lt;&gt;"",N(Z39)&lt;=2),AND(AA39&lt;&gt;"",N(AA39)&lt;6),N(AB39)&gt;=4),"NO TRADE / HALF SIZE","GO"))</f>
        <v/>
      </c>
    </row>
    <row r="40">
      <c r="A40" s="27" t="n"/>
      <c r="B40" s="5">
        <f>IF(A40="","",TEXT(A40,"ddd"))</f>
        <v/>
      </c>
      <c r="C40" s="27" t="n"/>
      <c r="D40" s="28">
        <f>IF(OR(A40="",C40=""),"",MAX(0,NETWORKDAYS(A40,C40)-1))</f>
        <v/>
      </c>
      <c r="E40" s="29" t="n"/>
      <c r="F40" s="29" t="n"/>
      <c r="G40" s="29" t="n"/>
      <c r="H40" s="29" t="n"/>
      <c r="I40" s="30">
        <f>IF(OR(H40="",G40=""),"",H40-G40)</f>
        <v/>
      </c>
      <c r="J40" s="31">
        <f>IF(I40="","",I40/G40)</f>
        <v/>
      </c>
      <c r="K40" s="32" t="n"/>
      <c r="L40" s="33">
        <f>IF(OR(K40="",G40=""),"",G40*K40/100/SQRT(252))</f>
        <v/>
      </c>
      <c r="M40" s="33">
        <f>IF(OR(L40="",H40=""),"",H40-L40)</f>
        <v/>
      </c>
      <c r="N40" s="33">
        <f>IF(OR(L40="",H40=""),"",H40+L40)</f>
        <v/>
      </c>
      <c r="O40" s="34">
        <f>IF(OR(E40="",F40="",G40=""),"",(E40+F40+G40)/3)</f>
        <v/>
      </c>
      <c r="P40" s="34">
        <f>IF(O40="","",(E40+F40)/2)</f>
        <v/>
      </c>
      <c r="Q40" s="34">
        <f>IF(O40="","",2*O40-P40)</f>
        <v/>
      </c>
      <c r="R40" s="35">
        <f>IF(O40="","",ABS(Q40-P40)/O40)</f>
        <v/>
      </c>
      <c r="S40" s="34">
        <f>IF(O40="","",2*O40-F40)</f>
        <v/>
      </c>
      <c r="T40" s="34">
        <f>IF(O40="","",2*O40-E40)</f>
        <v/>
      </c>
      <c r="U40" s="36" t="n"/>
      <c r="V40" s="36" t="n"/>
      <c r="W40" s="36" t="n"/>
      <c r="X40" s="37" t="n"/>
      <c r="Y40" s="37" t="n"/>
      <c r="Z40" s="36" t="n"/>
      <c r="AA40" s="38" t="n"/>
      <c r="AB40" s="36" t="n"/>
      <c r="AC40" s="37" t="n"/>
      <c r="AD40" s="39">
        <f>IF(A40="","",IFERROR(SUMIFS(TL_Net,TL_Date,_xlfn.MAXIFS(TL_Date,TL_Date,"&lt;"&amp;A40)),0))</f>
        <v/>
      </c>
      <c r="AE40" s="5">
        <f>IF(A40="","",IF(OR(AC40="Y",AND(Z40&lt;&gt;"",N(Z40)&lt;=2),AND(AA40&lt;&gt;"",N(AA40)&lt;6),N(AB40)&gt;=4),"NO TRADE / HALF SIZE","GO"))</f>
        <v/>
      </c>
    </row>
    <row r="41">
      <c r="A41" s="27" t="n"/>
      <c r="B41" s="5">
        <f>IF(A41="","",TEXT(A41,"ddd"))</f>
        <v/>
      </c>
      <c r="C41" s="27" t="n"/>
      <c r="D41" s="28">
        <f>IF(OR(A41="",C41=""),"",MAX(0,NETWORKDAYS(A41,C41)-1))</f>
        <v/>
      </c>
      <c r="E41" s="29" t="n"/>
      <c r="F41" s="29" t="n"/>
      <c r="G41" s="29" t="n"/>
      <c r="H41" s="29" t="n"/>
      <c r="I41" s="30">
        <f>IF(OR(H41="",G41=""),"",H41-G41)</f>
        <v/>
      </c>
      <c r="J41" s="31">
        <f>IF(I41="","",I41/G41)</f>
        <v/>
      </c>
      <c r="K41" s="32" t="n"/>
      <c r="L41" s="33">
        <f>IF(OR(K41="",G41=""),"",G41*K41/100/SQRT(252))</f>
        <v/>
      </c>
      <c r="M41" s="33">
        <f>IF(OR(L41="",H41=""),"",H41-L41)</f>
        <v/>
      </c>
      <c r="N41" s="33">
        <f>IF(OR(L41="",H41=""),"",H41+L41)</f>
        <v/>
      </c>
      <c r="O41" s="34">
        <f>IF(OR(E41="",F41="",G41=""),"",(E41+F41+G41)/3)</f>
        <v/>
      </c>
      <c r="P41" s="34">
        <f>IF(O41="","",(E41+F41)/2)</f>
        <v/>
      </c>
      <c r="Q41" s="34">
        <f>IF(O41="","",2*O41-P41)</f>
        <v/>
      </c>
      <c r="R41" s="35">
        <f>IF(O41="","",ABS(Q41-P41)/O41)</f>
        <v/>
      </c>
      <c r="S41" s="34">
        <f>IF(O41="","",2*O41-F41)</f>
        <v/>
      </c>
      <c r="T41" s="34">
        <f>IF(O41="","",2*O41-E41)</f>
        <v/>
      </c>
      <c r="U41" s="36" t="n"/>
      <c r="V41" s="36" t="n"/>
      <c r="W41" s="36" t="n"/>
      <c r="X41" s="37" t="n"/>
      <c r="Y41" s="37" t="n"/>
      <c r="Z41" s="36" t="n"/>
      <c r="AA41" s="38" t="n"/>
      <c r="AB41" s="36" t="n"/>
      <c r="AC41" s="37" t="n"/>
      <c r="AD41" s="39">
        <f>IF(A41="","",IFERROR(SUMIFS(TL_Net,TL_Date,_xlfn.MAXIFS(TL_Date,TL_Date,"&lt;"&amp;A41)),0))</f>
        <v/>
      </c>
      <c r="AE41" s="5">
        <f>IF(A41="","",IF(OR(AC41="Y",AND(Z41&lt;&gt;"",N(Z41)&lt;=2),AND(AA41&lt;&gt;"",N(AA41)&lt;6),N(AB41)&gt;=4),"NO TRADE / HALF SIZE","GO"))</f>
        <v/>
      </c>
    </row>
    <row r="42">
      <c r="A42" s="27" t="n"/>
      <c r="B42" s="5">
        <f>IF(A42="","",TEXT(A42,"ddd"))</f>
        <v/>
      </c>
      <c r="C42" s="27" t="n"/>
      <c r="D42" s="28">
        <f>IF(OR(A42="",C42=""),"",MAX(0,NETWORKDAYS(A42,C42)-1))</f>
        <v/>
      </c>
      <c r="E42" s="29" t="n"/>
      <c r="F42" s="29" t="n"/>
      <c r="G42" s="29" t="n"/>
      <c r="H42" s="29" t="n"/>
      <c r="I42" s="30">
        <f>IF(OR(H42="",G42=""),"",H42-G42)</f>
        <v/>
      </c>
      <c r="J42" s="31">
        <f>IF(I42="","",I42/G42)</f>
        <v/>
      </c>
      <c r="K42" s="32" t="n"/>
      <c r="L42" s="33">
        <f>IF(OR(K42="",G42=""),"",G42*K42/100/SQRT(252))</f>
        <v/>
      </c>
      <c r="M42" s="33">
        <f>IF(OR(L42="",H42=""),"",H42-L42)</f>
        <v/>
      </c>
      <c r="N42" s="33">
        <f>IF(OR(L42="",H42=""),"",H42+L42)</f>
        <v/>
      </c>
      <c r="O42" s="34">
        <f>IF(OR(E42="",F42="",G42=""),"",(E42+F42+G42)/3)</f>
        <v/>
      </c>
      <c r="P42" s="34">
        <f>IF(O42="","",(E42+F42)/2)</f>
        <v/>
      </c>
      <c r="Q42" s="34">
        <f>IF(O42="","",2*O42-P42)</f>
        <v/>
      </c>
      <c r="R42" s="35">
        <f>IF(O42="","",ABS(Q42-P42)/O42)</f>
        <v/>
      </c>
      <c r="S42" s="34">
        <f>IF(O42="","",2*O42-F42)</f>
        <v/>
      </c>
      <c r="T42" s="34">
        <f>IF(O42="","",2*O42-E42)</f>
        <v/>
      </c>
      <c r="U42" s="36" t="n"/>
      <c r="V42" s="36" t="n"/>
      <c r="W42" s="36" t="n"/>
      <c r="X42" s="37" t="n"/>
      <c r="Y42" s="37" t="n"/>
      <c r="Z42" s="36" t="n"/>
      <c r="AA42" s="38" t="n"/>
      <c r="AB42" s="36" t="n"/>
      <c r="AC42" s="37" t="n"/>
      <c r="AD42" s="39">
        <f>IF(A42="","",IFERROR(SUMIFS(TL_Net,TL_Date,_xlfn.MAXIFS(TL_Date,TL_Date,"&lt;"&amp;A42)),0))</f>
        <v/>
      </c>
      <c r="AE42" s="5">
        <f>IF(A42="","",IF(OR(AC42="Y",AND(Z42&lt;&gt;"",N(Z42)&lt;=2),AND(AA42&lt;&gt;"",N(AA42)&lt;6),N(AB42)&gt;=4),"NO TRADE / HALF SIZE","GO"))</f>
        <v/>
      </c>
    </row>
    <row r="43">
      <c r="A43" s="27" t="n"/>
      <c r="B43" s="5">
        <f>IF(A43="","",TEXT(A43,"ddd"))</f>
        <v/>
      </c>
      <c r="C43" s="27" t="n"/>
      <c r="D43" s="28">
        <f>IF(OR(A43="",C43=""),"",MAX(0,NETWORKDAYS(A43,C43)-1))</f>
        <v/>
      </c>
      <c r="E43" s="29" t="n"/>
      <c r="F43" s="29" t="n"/>
      <c r="G43" s="29" t="n"/>
      <c r="H43" s="29" t="n"/>
      <c r="I43" s="30">
        <f>IF(OR(H43="",G43=""),"",H43-G43)</f>
        <v/>
      </c>
      <c r="J43" s="31">
        <f>IF(I43="","",I43/G43)</f>
        <v/>
      </c>
      <c r="K43" s="32" t="n"/>
      <c r="L43" s="33">
        <f>IF(OR(K43="",G43=""),"",G43*K43/100/SQRT(252))</f>
        <v/>
      </c>
      <c r="M43" s="33">
        <f>IF(OR(L43="",H43=""),"",H43-L43)</f>
        <v/>
      </c>
      <c r="N43" s="33">
        <f>IF(OR(L43="",H43=""),"",H43+L43)</f>
        <v/>
      </c>
      <c r="O43" s="34">
        <f>IF(OR(E43="",F43="",G43=""),"",(E43+F43+G43)/3)</f>
        <v/>
      </c>
      <c r="P43" s="34">
        <f>IF(O43="","",(E43+F43)/2)</f>
        <v/>
      </c>
      <c r="Q43" s="34">
        <f>IF(O43="","",2*O43-P43)</f>
        <v/>
      </c>
      <c r="R43" s="35">
        <f>IF(O43="","",ABS(Q43-P43)/O43)</f>
        <v/>
      </c>
      <c r="S43" s="34">
        <f>IF(O43="","",2*O43-F43)</f>
        <v/>
      </c>
      <c r="T43" s="34">
        <f>IF(O43="","",2*O43-E43)</f>
        <v/>
      </c>
      <c r="U43" s="36" t="n"/>
      <c r="V43" s="36" t="n"/>
      <c r="W43" s="36" t="n"/>
      <c r="X43" s="37" t="n"/>
      <c r="Y43" s="37" t="n"/>
      <c r="Z43" s="36" t="n"/>
      <c r="AA43" s="38" t="n"/>
      <c r="AB43" s="36" t="n"/>
      <c r="AC43" s="37" t="n"/>
      <c r="AD43" s="39">
        <f>IF(A43="","",IFERROR(SUMIFS(TL_Net,TL_Date,_xlfn.MAXIFS(TL_Date,TL_Date,"&lt;"&amp;A43)),0))</f>
        <v/>
      </c>
      <c r="AE43" s="5">
        <f>IF(A43="","",IF(OR(AC43="Y",AND(Z43&lt;&gt;"",N(Z43)&lt;=2),AND(AA43&lt;&gt;"",N(AA43)&lt;6),N(AB43)&gt;=4),"NO TRADE / HALF SIZE","GO"))</f>
        <v/>
      </c>
    </row>
    <row r="44">
      <c r="A44" s="27" t="n"/>
      <c r="B44" s="5">
        <f>IF(A44="","",TEXT(A44,"ddd"))</f>
        <v/>
      </c>
      <c r="C44" s="27" t="n"/>
      <c r="D44" s="28">
        <f>IF(OR(A44="",C44=""),"",MAX(0,NETWORKDAYS(A44,C44)-1))</f>
        <v/>
      </c>
      <c r="E44" s="29" t="n"/>
      <c r="F44" s="29" t="n"/>
      <c r="G44" s="29" t="n"/>
      <c r="H44" s="29" t="n"/>
      <c r="I44" s="30">
        <f>IF(OR(H44="",G44=""),"",H44-G44)</f>
        <v/>
      </c>
      <c r="J44" s="31">
        <f>IF(I44="","",I44/G44)</f>
        <v/>
      </c>
      <c r="K44" s="32" t="n"/>
      <c r="L44" s="33">
        <f>IF(OR(K44="",G44=""),"",G44*K44/100/SQRT(252))</f>
        <v/>
      </c>
      <c r="M44" s="33">
        <f>IF(OR(L44="",H44=""),"",H44-L44)</f>
        <v/>
      </c>
      <c r="N44" s="33">
        <f>IF(OR(L44="",H44=""),"",H44+L44)</f>
        <v/>
      </c>
      <c r="O44" s="34">
        <f>IF(OR(E44="",F44="",G44=""),"",(E44+F44+G44)/3)</f>
        <v/>
      </c>
      <c r="P44" s="34">
        <f>IF(O44="","",(E44+F44)/2)</f>
        <v/>
      </c>
      <c r="Q44" s="34">
        <f>IF(O44="","",2*O44-P44)</f>
        <v/>
      </c>
      <c r="R44" s="35">
        <f>IF(O44="","",ABS(Q44-P44)/O44)</f>
        <v/>
      </c>
      <c r="S44" s="34">
        <f>IF(O44="","",2*O44-F44)</f>
        <v/>
      </c>
      <c r="T44" s="34">
        <f>IF(O44="","",2*O44-E44)</f>
        <v/>
      </c>
      <c r="U44" s="36" t="n"/>
      <c r="V44" s="36" t="n"/>
      <c r="W44" s="36" t="n"/>
      <c r="X44" s="37" t="n"/>
      <c r="Y44" s="37" t="n"/>
      <c r="Z44" s="36" t="n"/>
      <c r="AA44" s="38" t="n"/>
      <c r="AB44" s="36" t="n"/>
      <c r="AC44" s="37" t="n"/>
      <c r="AD44" s="39">
        <f>IF(A44="","",IFERROR(SUMIFS(TL_Net,TL_Date,_xlfn.MAXIFS(TL_Date,TL_Date,"&lt;"&amp;A44)),0))</f>
        <v/>
      </c>
      <c r="AE44" s="5">
        <f>IF(A44="","",IF(OR(AC44="Y",AND(Z44&lt;&gt;"",N(Z44)&lt;=2),AND(AA44&lt;&gt;"",N(AA44)&lt;6),N(AB44)&gt;=4),"NO TRADE / HALF SIZE","GO"))</f>
        <v/>
      </c>
    </row>
    <row r="45">
      <c r="A45" s="27" t="n"/>
      <c r="B45" s="5">
        <f>IF(A45="","",TEXT(A45,"ddd"))</f>
        <v/>
      </c>
      <c r="C45" s="27" t="n"/>
      <c r="D45" s="28">
        <f>IF(OR(A45="",C45=""),"",MAX(0,NETWORKDAYS(A45,C45)-1))</f>
        <v/>
      </c>
      <c r="E45" s="29" t="n"/>
      <c r="F45" s="29" t="n"/>
      <c r="G45" s="29" t="n"/>
      <c r="H45" s="29" t="n"/>
      <c r="I45" s="30">
        <f>IF(OR(H45="",G45=""),"",H45-G45)</f>
        <v/>
      </c>
      <c r="J45" s="31">
        <f>IF(I45="","",I45/G45)</f>
        <v/>
      </c>
      <c r="K45" s="32" t="n"/>
      <c r="L45" s="33">
        <f>IF(OR(K45="",G45=""),"",G45*K45/100/SQRT(252))</f>
        <v/>
      </c>
      <c r="M45" s="33">
        <f>IF(OR(L45="",H45=""),"",H45-L45)</f>
        <v/>
      </c>
      <c r="N45" s="33">
        <f>IF(OR(L45="",H45=""),"",H45+L45)</f>
        <v/>
      </c>
      <c r="O45" s="34">
        <f>IF(OR(E45="",F45="",G45=""),"",(E45+F45+G45)/3)</f>
        <v/>
      </c>
      <c r="P45" s="34">
        <f>IF(O45="","",(E45+F45)/2)</f>
        <v/>
      </c>
      <c r="Q45" s="34">
        <f>IF(O45="","",2*O45-P45)</f>
        <v/>
      </c>
      <c r="R45" s="35">
        <f>IF(O45="","",ABS(Q45-P45)/O45)</f>
        <v/>
      </c>
      <c r="S45" s="34">
        <f>IF(O45="","",2*O45-F45)</f>
        <v/>
      </c>
      <c r="T45" s="34">
        <f>IF(O45="","",2*O45-E45)</f>
        <v/>
      </c>
      <c r="U45" s="36" t="n"/>
      <c r="V45" s="36" t="n"/>
      <c r="W45" s="36" t="n"/>
      <c r="X45" s="37" t="n"/>
      <c r="Y45" s="37" t="n"/>
      <c r="Z45" s="36" t="n"/>
      <c r="AA45" s="38" t="n"/>
      <c r="AB45" s="36" t="n"/>
      <c r="AC45" s="37" t="n"/>
      <c r="AD45" s="39">
        <f>IF(A45="","",IFERROR(SUMIFS(TL_Net,TL_Date,_xlfn.MAXIFS(TL_Date,TL_Date,"&lt;"&amp;A45)),0))</f>
        <v/>
      </c>
      <c r="AE45" s="5">
        <f>IF(A45="","",IF(OR(AC45="Y",AND(Z45&lt;&gt;"",N(Z45)&lt;=2),AND(AA45&lt;&gt;"",N(AA45)&lt;6),N(AB45)&gt;=4),"NO TRADE / HALF SIZE","GO"))</f>
        <v/>
      </c>
    </row>
    <row r="46">
      <c r="A46" s="27" t="n"/>
      <c r="B46" s="5">
        <f>IF(A46="","",TEXT(A46,"ddd"))</f>
        <v/>
      </c>
      <c r="C46" s="27" t="n"/>
      <c r="D46" s="28">
        <f>IF(OR(A46="",C46=""),"",MAX(0,NETWORKDAYS(A46,C46)-1))</f>
        <v/>
      </c>
      <c r="E46" s="29" t="n"/>
      <c r="F46" s="29" t="n"/>
      <c r="G46" s="29" t="n"/>
      <c r="H46" s="29" t="n"/>
      <c r="I46" s="30">
        <f>IF(OR(H46="",G46=""),"",H46-G46)</f>
        <v/>
      </c>
      <c r="J46" s="31">
        <f>IF(I46="","",I46/G46)</f>
        <v/>
      </c>
      <c r="K46" s="32" t="n"/>
      <c r="L46" s="33">
        <f>IF(OR(K46="",G46=""),"",G46*K46/100/SQRT(252))</f>
        <v/>
      </c>
      <c r="M46" s="33">
        <f>IF(OR(L46="",H46=""),"",H46-L46)</f>
        <v/>
      </c>
      <c r="N46" s="33">
        <f>IF(OR(L46="",H46=""),"",H46+L46)</f>
        <v/>
      </c>
      <c r="O46" s="34">
        <f>IF(OR(E46="",F46="",G46=""),"",(E46+F46+G46)/3)</f>
        <v/>
      </c>
      <c r="P46" s="34">
        <f>IF(O46="","",(E46+F46)/2)</f>
        <v/>
      </c>
      <c r="Q46" s="34">
        <f>IF(O46="","",2*O46-P46)</f>
        <v/>
      </c>
      <c r="R46" s="35">
        <f>IF(O46="","",ABS(Q46-P46)/O46)</f>
        <v/>
      </c>
      <c r="S46" s="34">
        <f>IF(O46="","",2*O46-F46)</f>
        <v/>
      </c>
      <c r="T46" s="34">
        <f>IF(O46="","",2*O46-E46)</f>
        <v/>
      </c>
      <c r="U46" s="36" t="n"/>
      <c r="V46" s="36" t="n"/>
      <c r="W46" s="36" t="n"/>
      <c r="X46" s="37" t="n"/>
      <c r="Y46" s="37" t="n"/>
      <c r="Z46" s="36" t="n"/>
      <c r="AA46" s="38" t="n"/>
      <c r="AB46" s="36" t="n"/>
      <c r="AC46" s="37" t="n"/>
      <c r="AD46" s="39">
        <f>IF(A46="","",IFERROR(SUMIFS(TL_Net,TL_Date,_xlfn.MAXIFS(TL_Date,TL_Date,"&lt;"&amp;A46)),0))</f>
        <v/>
      </c>
      <c r="AE46" s="5">
        <f>IF(A46="","",IF(OR(AC46="Y",AND(Z46&lt;&gt;"",N(Z46)&lt;=2),AND(AA46&lt;&gt;"",N(AA46)&lt;6),N(AB46)&gt;=4),"NO TRADE / HALF SIZE","GO"))</f>
        <v/>
      </c>
    </row>
    <row r="47">
      <c r="A47" s="27" t="n"/>
      <c r="B47" s="5">
        <f>IF(A47="","",TEXT(A47,"ddd"))</f>
        <v/>
      </c>
      <c r="C47" s="27" t="n"/>
      <c r="D47" s="28">
        <f>IF(OR(A47="",C47=""),"",MAX(0,NETWORKDAYS(A47,C47)-1))</f>
        <v/>
      </c>
      <c r="E47" s="29" t="n"/>
      <c r="F47" s="29" t="n"/>
      <c r="G47" s="29" t="n"/>
      <c r="H47" s="29" t="n"/>
      <c r="I47" s="30">
        <f>IF(OR(H47="",G47=""),"",H47-G47)</f>
        <v/>
      </c>
      <c r="J47" s="31">
        <f>IF(I47="","",I47/G47)</f>
        <v/>
      </c>
      <c r="K47" s="32" t="n"/>
      <c r="L47" s="33">
        <f>IF(OR(K47="",G47=""),"",G47*K47/100/SQRT(252))</f>
        <v/>
      </c>
      <c r="M47" s="33">
        <f>IF(OR(L47="",H47=""),"",H47-L47)</f>
        <v/>
      </c>
      <c r="N47" s="33">
        <f>IF(OR(L47="",H47=""),"",H47+L47)</f>
        <v/>
      </c>
      <c r="O47" s="34">
        <f>IF(OR(E47="",F47="",G47=""),"",(E47+F47+G47)/3)</f>
        <v/>
      </c>
      <c r="P47" s="34">
        <f>IF(O47="","",(E47+F47)/2)</f>
        <v/>
      </c>
      <c r="Q47" s="34">
        <f>IF(O47="","",2*O47-P47)</f>
        <v/>
      </c>
      <c r="R47" s="35">
        <f>IF(O47="","",ABS(Q47-P47)/O47)</f>
        <v/>
      </c>
      <c r="S47" s="34">
        <f>IF(O47="","",2*O47-F47)</f>
        <v/>
      </c>
      <c r="T47" s="34">
        <f>IF(O47="","",2*O47-E47)</f>
        <v/>
      </c>
      <c r="U47" s="36" t="n"/>
      <c r="V47" s="36" t="n"/>
      <c r="W47" s="36" t="n"/>
      <c r="X47" s="37" t="n"/>
      <c r="Y47" s="37" t="n"/>
      <c r="Z47" s="36" t="n"/>
      <c r="AA47" s="38" t="n"/>
      <c r="AB47" s="36" t="n"/>
      <c r="AC47" s="37" t="n"/>
      <c r="AD47" s="39">
        <f>IF(A47="","",IFERROR(SUMIFS(TL_Net,TL_Date,_xlfn.MAXIFS(TL_Date,TL_Date,"&lt;"&amp;A47)),0))</f>
        <v/>
      </c>
      <c r="AE47" s="5">
        <f>IF(A47="","",IF(OR(AC47="Y",AND(Z47&lt;&gt;"",N(Z47)&lt;=2),AND(AA47&lt;&gt;"",N(AA47)&lt;6),N(AB47)&gt;=4),"NO TRADE / HALF SIZE","GO"))</f>
        <v/>
      </c>
    </row>
    <row r="48">
      <c r="A48" s="27" t="n"/>
      <c r="B48" s="5">
        <f>IF(A48="","",TEXT(A48,"ddd"))</f>
        <v/>
      </c>
      <c r="C48" s="27" t="n"/>
      <c r="D48" s="28">
        <f>IF(OR(A48="",C48=""),"",MAX(0,NETWORKDAYS(A48,C48)-1))</f>
        <v/>
      </c>
      <c r="E48" s="29" t="n"/>
      <c r="F48" s="29" t="n"/>
      <c r="G48" s="29" t="n"/>
      <c r="H48" s="29" t="n"/>
      <c r="I48" s="30">
        <f>IF(OR(H48="",G48=""),"",H48-G48)</f>
        <v/>
      </c>
      <c r="J48" s="31">
        <f>IF(I48="","",I48/G48)</f>
        <v/>
      </c>
      <c r="K48" s="32" t="n"/>
      <c r="L48" s="33">
        <f>IF(OR(K48="",G48=""),"",G48*K48/100/SQRT(252))</f>
        <v/>
      </c>
      <c r="M48" s="33">
        <f>IF(OR(L48="",H48=""),"",H48-L48)</f>
        <v/>
      </c>
      <c r="N48" s="33">
        <f>IF(OR(L48="",H48=""),"",H48+L48)</f>
        <v/>
      </c>
      <c r="O48" s="34">
        <f>IF(OR(E48="",F48="",G48=""),"",(E48+F48+G48)/3)</f>
        <v/>
      </c>
      <c r="P48" s="34">
        <f>IF(O48="","",(E48+F48)/2)</f>
        <v/>
      </c>
      <c r="Q48" s="34">
        <f>IF(O48="","",2*O48-P48)</f>
        <v/>
      </c>
      <c r="R48" s="35">
        <f>IF(O48="","",ABS(Q48-P48)/O48)</f>
        <v/>
      </c>
      <c r="S48" s="34">
        <f>IF(O48="","",2*O48-F48)</f>
        <v/>
      </c>
      <c r="T48" s="34">
        <f>IF(O48="","",2*O48-E48)</f>
        <v/>
      </c>
      <c r="U48" s="36" t="n"/>
      <c r="V48" s="36" t="n"/>
      <c r="W48" s="36" t="n"/>
      <c r="X48" s="37" t="n"/>
      <c r="Y48" s="37" t="n"/>
      <c r="Z48" s="36" t="n"/>
      <c r="AA48" s="38" t="n"/>
      <c r="AB48" s="36" t="n"/>
      <c r="AC48" s="37" t="n"/>
      <c r="AD48" s="39">
        <f>IF(A48="","",IFERROR(SUMIFS(TL_Net,TL_Date,_xlfn.MAXIFS(TL_Date,TL_Date,"&lt;"&amp;A48)),0))</f>
        <v/>
      </c>
      <c r="AE48" s="5">
        <f>IF(A48="","",IF(OR(AC48="Y",AND(Z48&lt;&gt;"",N(Z48)&lt;=2),AND(AA48&lt;&gt;"",N(AA48)&lt;6),N(AB48)&gt;=4),"NO TRADE / HALF SIZE","GO"))</f>
        <v/>
      </c>
    </row>
    <row r="49">
      <c r="A49" s="27" t="n"/>
      <c r="B49" s="5">
        <f>IF(A49="","",TEXT(A49,"ddd"))</f>
        <v/>
      </c>
      <c r="C49" s="27" t="n"/>
      <c r="D49" s="28">
        <f>IF(OR(A49="",C49=""),"",MAX(0,NETWORKDAYS(A49,C49)-1))</f>
        <v/>
      </c>
      <c r="E49" s="29" t="n"/>
      <c r="F49" s="29" t="n"/>
      <c r="G49" s="29" t="n"/>
      <c r="H49" s="29" t="n"/>
      <c r="I49" s="30">
        <f>IF(OR(H49="",G49=""),"",H49-G49)</f>
        <v/>
      </c>
      <c r="J49" s="31">
        <f>IF(I49="","",I49/G49)</f>
        <v/>
      </c>
      <c r="K49" s="32" t="n"/>
      <c r="L49" s="33">
        <f>IF(OR(K49="",G49=""),"",G49*K49/100/SQRT(252))</f>
        <v/>
      </c>
      <c r="M49" s="33">
        <f>IF(OR(L49="",H49=""),"",H49-L49)</f>
        <v/>
      </c>
      <c r="N49" s="33">
        <f>IF(OR(L49="",H49=""),"",H49+L49)</f>
        <v/>
      </c>
      <c r="O49" s="34">
        <f>IF(OR(E49="",F49="",G49=""),"",(E49+F49+G49)/3)</f>
        <v/>
      </c>
      <c r="P49" s="34">
        <f>IF(O49="","",(E49+F49)/2)</f>
        <v/>
      </c>
      <c r="Q49" s="34">
        <f>IF(O49="","",2*O49-P49)</f>
        <v/>
      </c>
      <c r="R49" s="35">
        <f>IF(O49="","",ABS(Q49-P49)/O49)</f>
        <v/>
      </c>
      <c r="S49" s="34">
        <f>IF(O49="","",2*O49-F49)</f>
        <v/>
      </c>
      <c r="T49" s="34">
        <f>IF(O49="","",2*O49-E49)</f>
        <v/>
      </c>
      <c r="U49" s="36" t="n"/>
      <c r="V49" s="36" t="n"/>
      <c r="W49" s="36" t="n"/>
      <c r="X49" s="37" t="n"/>
      <c r="Y49" s="37" t="n"/>
      <c r="Z49" s="36" t="n"/>
      <c r="AA49" s="38" t="n"/>
      <c r="AB49" s="36" t="n"/>
      <c r="AC49" s="37" t="n"/>
      <c r="AD49" s="39">
        <f>IF(A49="","",IFERROR(SUMIFS(TL_Net,TL_Date,_xlfn.MAXIFS(TL_Date,TL_Date,"&lt;"&amp;A49)),0))</f>
        <v/>
      </c>
      <c r="AE49" s="5">
        <f>IF(A49="","",IF(OR(AC49="Y",AND(Z49&lt;&gt;"",N(Z49)&lt;=2),AND(AA49&lt;&gt;"",N(AA49)&lt;6),N(AB49)&gt;=4),"NO TRADE / HALF SIZE","GO"))</f>
        <v/>
      </c>
    </row>
    <row r="50">
      <c r="A50" s="27" t="n"/>
      <c r="B50" s="5">
        <f>IF(A50="","",TEXT(A50,"ddd"))</f>
        <v/>
      </c>
      <c r="C50" s="27" t="n"/>
      <c r="D50" s="28">
        <f>IF(OR(A50="",C50=""),"",MAX(0,NETWORKDAYS(A50,C50)-1))</f>
        <v/>
      </c>
      <c r="E50" s="29" t="n"/>
      <c r="F50" s="29" t="n"/>
      <c r="G50" s="29" t="n"/>
      <c r="H50" s="29" t="n"/>
      <c r="I50" s="30">
        <f>IF(OR(H50="",G50=""),"",H50-G50)</f>
        <v/>
      </c>
      <c r="J50" s="31">
        <f>IF(I50="","",I50/G50)</f>
        <v/>
      </c>
      <c r="K50" s="32" t="n"/>
      <c r="L50" s="33">
        <f>IF(OR(K50="",G50=""),"",G50*K50/100/SQRT(252))</f>
        <v/>
      </c>
      <c r="M50" s="33">
        <f>IF(OR(L50="",H50=""),"",H50-L50)</f>
        <v/>
      </c>
      <c r="N50" s="33">
        <f>IF(OR(L50="",H50=""),"",H50+L50)</f>
        <v/>
      </c>
      <c r="O50" s="34">
        <f>IF(OR(E50="",F50="",G50=""),"",(E50+F50+G50)/3)</f>
        <v/>
      </c>
      <c r="P50" s="34">
        <f>IF(O50="","",(E50+F50)/2)</f>
        <v/>
      </c>
      <c r="Q50" s="34">
        <f>IF(O50="","",2*O50-P50)</f>
        <v/>
      </c>
      <c r="R50" s="35">
        <f>IF(O50="","",ABS(Q50-P50)/O50)</f>
        <v/>
      </c>
      <c r="S50" s="34">
        <f>IF(O50="","",2*O50-F50)</f>
        <v/>
      </c>
      <c r="T50" s="34">
        <f>IF(O50="","",2*O50-E50)</f>
        <v/>
      </c>
      <c r="U50" s="36" t="n"/>
      <c r="V50" s="36" t="n"/>
      <c r="W50" s="36" t="n"/>
      <c r="X50" s="37" t="n"/>
      <c r="Y50" s="37" t="n"/>
      <c r="Z50" s="36" t="n"/>
      <c r="AA50" s="38" t="n"/>
      <c r="AB50" s="36" t="n"/>
      <c r="AC50" s="37" t="n"/>
      <c r="AD50" s="39">
        <f>IF(A50="","",IFERROR(SUMIFS(TL_Net,TL_Date,_xlfn.MAXIFS(TL_Date,TL_Date,"&lt;"&amp;A50)),0))</f>
        <v/>
      </c>
      <c r="AE50" s="5">
        <f>IF(A50="","",IF(OR(AC50="Y",AND(Z50&lt;&gt;"",N(Z50)&lt;=2),AND(AA50&lt;&gt;"",N(AA50)&lt;6),N(AB50)&gt;=4),"NO TRADE / HALF SIZE","GO"))</f>
        <v/>
      </c>
    </row>
    <row r="51">
      <c r="A51" s="27" t="n"/>
      <c r="B51" s="5">
        <f>IF(A51="","",TEXT(A51,"ddd"))</f>
        <v/>
      </c>
      <c r="C51" s="27" t="n"/>
      <c r="D51" s="28">
        <f>IF(OR(A51="",C51=""),"",MAX(0,NETWORKDAYS(A51,C51)-1))</f>
        <v/>
      </c>
      <c r="E51" s="29" t="n"/>
      <c r="F51" s="29" t="n"/>
      <c r="G51" s="29" t="n"/>
      <c r="H51" s="29" t="n"/>
      <c r="I51" s="30">
        <f>IF(OR(H51="",G51=""),"",H51-G51)</f>
        <v/>
      </c>
      <c r="J51" s="31">
        <f>IF(I51="","",I51/G51)</f>
        <v/>
      </c>
      <c r="K51" s="32" t="n"/>
      <c r="L51" s="33">
        <f>IF(OR(K51="",G51=""),"",G51*K51/100/SQRT(252))</f>
        <v/>
      </c>
      <c r="M51" s="33">
        <f>IF(OR(L51="",H51=""),"",H51-L51)</f>
        <v/>
      </c>
      <c r="N51" s="33">
        <f>IF(OR(L51="",H51=""),"",H51+L51)</f>
        <v/>
      </c>
      <c r="O51" s="34">
        <f>IF(OR(E51="",F51="",G51=""),"",(E51+F51+G51)/3)</f>
        <v/>
      </c>
      <c r="P51" s="34">
        <f>IF(O51="","",(E51+F51)/2)</f>
        <v/>
      </c>
      <c r="Q51" s="34">
        <f>IF(O51="","",2*O51-P51)</f>
        <v/>
      </c>
      <c r="R51" s="35">
        <f>IF(O51="","",ABS(Q51-P51)/O51)</f>
        <v/>
      </c>
      <c r="S51" s="34">
        <f>IF(O51="","",2*O51-F51)</f>
        <v/>
      </c>
      <c r="T51" s="34">
        <f>IF(O51="","",2*O51-E51)</f>
        <v/>
      </c>
      <c r="U51" s="36" t="n"/>
      <c r="V51" s="36" t="n"/>
      <c r="W51" s="36" t="n"/>
      <c r="X51" s="37" t="n"/>
      <c r="Y51" s="37" t="n"/>
      <c r="Z51" s="36" t="n"/>
      <c r="AA51" s="38" t="n"/>
      <c r="AB51" s="36" t="n"/>
      <c r="AC51" s="37" t="n"/>
      <c r="AD51" s="39">
        <f>IF(A51="","",IFERROR(SUMIFS(TL_Net,TL_Date,_xlfn.MAXIFS(TL_Date,TL_Date,"&lt;"&amp;A51)),0))</f>
        <v/>
      </c>
      <c r="AE51" s="5">
        <f>IF(A51="","",IF(OR(AC51="Y",AND(Z51&lt;&gt;"",N(Z51)&lt;=2),AND(AA51&lt;&gt;"",N(AA51)&lt;6),N(AB51)&gt;=4),"NO TRADE / HALF SIZE","GO"))</f>
        <v/>
      </c>
    </row>
    <row r="52">
      <c r="A52" s="27" t="n"/>
      <c r="B52" s="5">
        <f>IF(A52="","",TEXT(A52,"ddd"))</f>
        <v/>
      </c>
      <c r="C52" s="27" t="n"/>
      <c r="D52" s="28">
        <f>IF(OR(A52="",C52=""),"",MAX(0,NETWORKDAYS(A52,C52)-1))</f>
        <v/>
      </c>
      <c r="E52" s="29" t="n"/>
      <c r="F52" s="29" t="n"/>
      <c r="G52" s="29" t="n"/>
      <c r="H52" s="29" t="n"/>
      <c r="I52" s="30">
        <f>IF(OR(H52="",G52=""),"",H52-G52)</f>
        <v/>
      </c>
      <c r="J52" s="31">
        <f>IF(I52="","",I52/G52)</f>
        <v/>
      </c>
      <c r="K52" s="32" t="n"/>
      <c r="L52" s="33">
        <f>IF(OR(K52="",G52=""),"",G52*K52/100/SQRT(252))</f>
        <v/>
      </c>
      <c r="M52" s="33">
        <f>IF(OR(L52="",H52=""),"",H52-L52)</f>
        <v/>
      </c>
      <c r="N52" s="33">
        <f>IF(OR(L52="",H52=""),"",H52+L52)</f>
        <v/>
      </c>
      <c r="O52" s="34">
        <f>IF(OR(E52="",F52="",G52=""),"",(E52+F52+G52)/3)</f>
        <v/>
      </c>
      <c r="P52" s="34">
        <f>IF(O52="","",(E52+F52)/2)</f>
        <v/>
      </c>
      <c r="Q52" s="34">
        <f>IF(O52="","",2*O52-P52)</f>
        <v/>
      </c>
      <c r="R52" s="35">
        <f>IF(O52="","",ABS(Q52-P52)/O52)</f>
        <v/>
      </c>
      <c r="S52" s="34">
        <f>IF(O52="","",2*O52-F52)</f>
        <v/>
      </c>
      <c r="T52" s="34">
        <f>IF(O52="","",2*O52-E52)</f>
        <v/>
      </c>
      <c r="U52" s="36" t="n"/>
      <c r="V52" s="36" t="n"/>
      <c r="W52" s="36" t="n"/>
      <c r="X52" s="37" t="n"/>
      <c r="Y52" s="37" t="n"/>
      <c r="Z52" s="36" t="n"/>
      <c r="AA52" s="38" t="n"/>
      <c r="AB52" s="36" t="n"/>
      <c r="AC52" s="37" t="n"/>
      <c r="AD52" s="39">
        <f>IF(A52="","",IFERROR(SUMIFS(TL_Net,TL_Date,_xlfn.MAXIFS(TL_Date,TL_Date,"&lt;"&amp;A52)),0))</f>
        <v/>
      </c>
      <c r="AE52" s="5">
        <f>IF(A52="","",IF(OR(AC52="Y",AND(Z52&lt;&gt;"",N(Z52)&lt;=2),AND(AA52&lt;&gt;"",N(AA52)&lt;6),N(AB52)&gt;=4),"NO TRADE / HALF SIZE","GO"))</f>
        <v/>
      </c>
    </row>
    <row r="53">
      <c r="A53" s="27" t="n"/>
      <c r="B53" s="5">
        <f>IF(A53="","",TEXT(A53,"ddd"))</f>
        <v/>
      </c>
      <c r="C53" s="27" t="n"/>
      <c r="D53" s="28">
        <f>IF(OR(A53="",C53=""),"",MAX(0,NETWORKDAYS(A53,C53)-1))</f>
        <v/>
      </c>
      <c r="E53" s="29" t="n"/>
      <c r="F53" s="29" t="n"/>
      <c r="G53" s="29" t="n"/>
      <c r="H53" s="29" t="n"/>
      <c r="I53" s="30">
        <f>IF(OR(H53="",G53=""),"",H53-G53)</f>
        <v/>
      </c>
      <c r="J53" s="31">
        <f>IF(I53="","",I53/G53)</f>
        <v/>
      </c>
      <c r="K53" s="32" t="n"/>
      <c r="L53" s="33">
        <f>IF(OR(K53="",G53=""),"",G53*K53/100/SQRT(252))</f>
        <v/>
      </c>
      <c r="M53" s="33">
        <f>IF(OR(L53="",H53=""),"",H53-L53)</f>
        <v/>
      </c>
      <c r="N53" s="33">
        <f>IF(OR(L53="",H53=""),"",H53+L53)</f>
        <v/>
      </c>
      <c r="O53" s="34">
        <f>IF(OR(E53="",F53="",G53=""),"",(E53+F53+G53)/3)</f>
        <v/>
      </c>
      <c r="P53" s="34">
        <f>IF(O53="","",(E53+F53)/2)</f>
        <v/>
      </c>
      <c r="Q53" s="34">
        <f>IF(O53="","",2*O53-P53)</f>
        <v/>
      </c>
      <c r="R53" s="35">
        <f>IF(O53="","",ABS(Q53-P53)/O53)</f>
        <v/>
      </c>
      <c r="S53" s="34">
        <f>IF(O53="","",2*O53-F53)</f>
        <v/>
      </c>
      <c r="T53" s="34">
        <f>IF(O53="","",2*O53-E53)</f>
        <v/>
      </c>
      <c r="U53" s="36" t="n"/>
      <c r="V53" s="36" t="n"/>
      <c r="W53" s="36" t="n"/>
      <c r="X53" s="37" t="n"/>
      <c r="Y53" s="37" t="n"/>
      <c r="Z53" s="36" t="n"/>
      <c r="AA53" s="38" t="n"/>
      <c r="AB53" s="36" t="n"/>
      <c r="AC53" s="37" t="n"/>
      <c r="AD53" s="39">
        <f>IF(A53="","",IFERROR(SUMIFS(TL_Net,TL_Date,_xlfn.MAXIFS(TL_Date,TL_Date,"&lt;"&amp;A53)),0))</f>
        <v/>
      </c>
      <c r="AE53" s="5">
        <f>IF(A53="","",IF(OR(AC53="Y",AND(Z53&lt;&gt;"",N(Z53)&lt;=2),AND(AA53&lt;&gt;"",N(AA53)&lt;6),N(AB53)&gt;=4),"NO TRADE / HALF SIZE","GO"))</f>
        <v/>
      </c>
    </row>
    <row r="54">
      <c r="A54" s="27" t="n"/>
      <c r="B54" s="5">
        <f>IF(A54="","",TEXT(A54,"ddd"))</f>
        <v/>
      </c>
      <c r="C54" s="27" t="n"/>
      <c r="D54" s="28">
        <f>IF(OR(A54="",C54=""),"",MAX(0,NETWORKDAYS(A54,C54)-1))</f>
        <v/>
      </c>
      <c r="E54" s="29" t="n"/>
      <c r="F54" s="29" t="n"/>
      <c r="G54" s="29" t="n"/>
      <c r="H54" s="29" t="n"/>
      <c r="I54" s="30">
        <f>IF(OR(H54="",G54=""),"",H54-G54)</f>
        <v/>
      </c>
      <c r="J54" s="31">
        <f>IF(I54="","",I54/G54)</f>
        <v/>
      </c>
      <c r="K54" s="32" t="n"/>
      <c r="L54" s="33">
        <f>IF(OR(K54="",G54=""),"",G54*K54/100/SQRT(252))</f>
        <v/>
      </c>
      <c r="M54" s="33">
        <f>IF(OR(L54="",H54=""),"",H54-L54)</f>
        <v/>
      </c>
      <c r="N54" s="33">
        <f>IF(OR(L54="",H54=""),"",H54+L54)</f>
        <v/>
      </c>
      <c r="O54" s="34">
        <f>IF(OR(E54="",F54="",G54=""),"",(E54+F54+G54)/3)</f>
        <v/>
      </c>
      <c r="P54" s="34">
        <f>IF(O54="","",(E54+F54)/2)</f>
        <v/>
      </c>
      <c r="Q54" s="34">
        <f>IF(O54="","",2*O54-P54)</f>
        <v/>
      </c>
      <c r="R54" s="35">
        <f>IF(O54="","",ABS(Q54-P54)/O54)</f>
        <v/>
      </c>
      <c r="S54" s="34">
        <f>IF(O54="","",2*O54-F54)</f>
        <v/>
      </c>
      <c r="T54" s="34">
        <f>IF(O54="","",2*O54-E54)</f>
        <v/>
      </c>
      <c r="U54" s="36" t="n"/>
      <c r="V54" s="36" t="n"/>
      <c r="W54" s="36" t="n"/>
      <c r="X54" s="37" t="n"/>
      <c r="Y54" s="37" t="n"/>
      <c r="Z54" s="36" t="n"/>
      <c r="AA54" s="38" t="n"/>
      <c r="AB54" s="36" t="n"/>
      <c r="AC54" s="37" t="n"/>
      <c r="AD54" s="39">
        <f>IF(A54="","",IFERROR(SUMIFS(TL_Net,TL_Date,_xlfn.MAXIFS(TL_Date,TL_Date,"&lt;"&amp;A54)),0))</f>
        <v/>
      </c>
      <c r="AE54" s="5">
        <f>IF(A54="","",IF(OR(AC54="Y",AND(Z54&lt;&gt;"",N(Z54)&lt;=2),AND(AA54&lt;&gt;"",N(AA54)&lt;6),N(AB54)&gt;=4),"NO TRADE / HALF SIZE","GO"))</f>
        <v/>
      </c>
    </row>
    <row r="55">
      <c r="A55" s="27" t="n"/>
      <c r="B55" s="5">
        <f>IF(A55="","",TEXT(A55,"ddd"))</f>
        <v/>
      </c>
      <c r="C55" s="27" t="n"/>
      <c r="D55" s="28">
        <f>IF(OR(A55="",C55=""),"",MAX(0,NETWORKDAYS(A55,C55)-1))</f>
        <v/>
      </c>
      <c r="E55" s="29" t="n"/>
      <c r="F55" s="29" t="n"/>
      <c r="G55" s="29" t="n"/>
      <c r="H55" s="29" t="n"/>
      <c r="I55" s="30">
        <f>IF(OR(H55="",G55=""),"",H55-G55)</f>
        <v/>
      </c>
      <c r="J55" s="31">
        <f>IF(I55="","",I55/G55)</f>
        <v/>
      </c>
      <c r="K55" s="32" t="n"/>
      <c r="L55" s="33">
        <f>IF(OR(K55="",G55=""),"",G55*K55/100/SQRT(252))</f>
        <v/>
      </c>
      <c r="M55" s="33">
        <f>IF(OR(L55="",H55=""),"",H55-L55)</f>
        <v/>
      </c>
      <c r="N55" s="33">
        <f>IF(OR(L55="",H55=""),"",H55+L55)</f>
        <v/>
      </c>
      <c r="O55" s="34">
        <f>IF(OR(E55="",F55="",G55=""),"",(E55+F55+G55)/3)</f>
        <v/>
      </c>
      <c r="P55" s="34">
        <f>IF(O55="","",(E55+F55)/2)</f>
        <v/>
      </c>
      <c r="Q55" s="34">
        <f>IF(O55="","",2*O55-P55)</f>
        <v/>
      </c>
      <c r="R55" s="35">
        <f>IF(O55="","",ABS(Q55-P55)/O55)</f>
        <v/>
      </c>
      <c r="S55" s="34">
        <f>IF(O55="","",2*O55-F55)</f>
        <v/>
      </c>
      <c r="T55" s="34">
        <f>IF(O55="","",2*O55-E55)</f>
        <v/>
      </c>
      <c r="U55" s="36" t="n"/>
      <c r="V55" s="36" t="n"/>
      <c r="W55" s="36" t="n"/>
      <c r="X55" s="37" t="n"/>
      <c r="Y55" s="37" t="n"/>
      <c r="Z55" s="36" t="n"/>
      <c r="AA55" s="38" t="n"/>
      <c r="AB55" s="36" t="n"/>
      <c r="AC55" s="37" t="n"/>
      <c r="AD55" s="39">
        <f>IF(A55="","",IFERROR(SUMIFS(TL_Net,TL_Date,_xlfn.MAXIFS(TL_Date,TL_Date,"&lt;"&amp;A55)),0))</f>
        <v/>
      </c>
      <c r="AE55" s="5">
        <f>IF(A55="","",IF(OR(AC55="Y",AND(Z55&lt;&gt;"",N(Z55)&lt;=2),AND(AA55&lt;&gt;"",N(AA55)&lt;6),N(AB55)&gt;=4),"NO TRADE / HALF SIZE","GO"))</f>
        <v/>
      </c>
    </row>
    <row r="56">
      <c r="A56" s="27" t="n"/>
      <c r="B56" s="5">
        <f>IF(A56="","",TEXT(A56,"ddd"))</f>
        <v/>
      </c>
      <c r="C56" s="27" t="n"/>
      <c r="D56" s="28">
        <f>IF(OR(A56="",C56=""),"",MAX(0,NETWORKDAYS(A56,C56)-1))</f>
        <v/>
      </c>
      <c r="E56" s="29" t="n"/>
      <c r="F56" s="29" t="n"/>
      <c r="G56" s="29" t="n"/>
      <c r="H56" s="29" t="n"/>
      <c r="I56" s="30">
        <f>IF(OR(H56="",G56=""),"",H56-G56)</f>
        <v/>
      </c>
      <c r="J56" s="31">
        <f>IF(I56="","",I56/G56)</f>
        <v/>
      </c>
      <c r="K56" s="32" t="n"/>
      <c r="L56" s="33">
        <f>IF(OR(K56="",G56=""),"",G56*K56/100/SQRT(252))</f>
        <v/>
      </c>
      <c r="M56" s="33">
        <f>IF(OR(L56="",H56=""),"",H56-L56)</f>
        <v/>
      </c>
      <c r="N56" s="33">
        <f>IF(OR(L56="",H56=""),"",H56+L56)</f>
        <v/>
      </c>
      <c r="O56" s="34">
        <f>IF(OR(E56="",F56="",G56=""),"",(E56+F56+G56)/3)</f>
        <v/>
      </c>
      <c r="P56" s="34">
        <f>IF(O56="","",(E56+F56)/2)</f>
        <v/>
      </c>
      <c r="Q56" s="34">
        <f>IF(O56="","",2*O56-P56)</f>
        <v/>
      </c>
      <c r="R56" s="35">
        <f>IF(O56="","",ABS(Q56-P56)/O56)</f>
        <v/>
      </c>
      <c r="S56" s="34">
        <f>IF(O56="","",2*O56-F56)</f>
        <v/>
      </c>
      <c r="T56" s="34">
        <f>IF(O56="","",2*O56-E56)</f>
        <v/>
      </c>
      <c r="U56" s="36" t="n"/>
      <c r="V56" s="36" t="n"/>
      <c r="W56" s="36" t="n"/>
      <c r="X56" s="37" t="n"/>
      <c r="Y56" s="37" t="n"/>
      <c r="Z56" s="36" t="n"/>
      <c r="AA56" s="38" t="n"/>
      <c r="AB56" s="36" t="n"/>
      <c r="AC56" s="37" t="n"/>
      <c r="AD56" s="39">
        <f>IF(A56="","",IFERROR(SUMIFS(TL_Net,TL_Date,_xlfn.MAXIFS(TL_Date,TL_Date,"&lt;"&amp;A56)),0))</f>
        <v/>
      </c>
      <c r="AE56" s="5">
        <f>IF(A56="","",IF(OR(AC56="Y",AND(Z56&lt;&gt;"",N(Z56)&lt;=2),AND(AA56&lt;&gt;"",N(AA56)&lt;6),N(AB56)&gt;=4),"NO TRADE / HALF SIZE","GO"))</f>
        <v/>
      </c>
    </row>
    <row r="57">
      <c r="A57" s="27" t="n"/>
      <c r="B57" s="5">
        <f>IF(A57="","",TEXT(A57,"ddd"))</f>
        <v/>
      </c>
      <c r="C57" s="27" t="n"/>
      <c r="D57" s="28">
        <f>IF(OR(A57="",C57=""),"",MAX(0,NETWORKDAYS(A57,C57)-1))</f>
        <v/>
      </c>
      <c r="E57" s="29" t="n"/>
      <c r="F57" s="29" t="n"/>
      <c r="G57" s="29" t="n"/>
      <c r="H57" s="29" t="n"/>
      <c r="I57" s="30">
        <f>IF(OR(H57="",G57=""),"",H57-G57)</f>
        <v/>
      </c>
      <c r="J57" s="31">
        <f>IF(I57="","",I57/G57)</f>
        <v/>
      </c>
      <c r="K57" s="32" t="n"/>
      <c r="L57" s="33">
        <f>IF(OR(K57="",G57=""),"",G57*K57/100/SQRT(252))</f>
        <v/>
      </c>
      <c r="M57" s="33">
        <f>IF(OR(L57="",H57=""),"",H57-L57)</f>
        <v/>
      </c>
      <c r="N57" s="33">
        <f>IF(OR(L57="",H57=""),"",H57+L57)</f>
        <v/>
      </c>
      <c r="O57" s="34">
        <f>IF(OR(E57="",F57="",G57=""),"",(E57+F57+G57)/3)</f>
        <v/>
      </c>
      <c r="P57" s="34">
        <f>IF(O57="","",(E57+F57)/2)</f>
        <v/>
      </c>
      <c r="Q57" s="34">
        <f>IF(O57="","",2*O57-P57)</f>
        <v/>
      </c>
      <c r="R57" s="35">
        <f>IF(O57="","",ABS(Q57-P57)/O57)</f>
        <v/>
      </c>
      <c r="S57" s="34">
        <f>IF(O57="","",2*O57-F57)</f>
        <v/>
      </c>
      <c r="T57" s="34">
        <f>IF(O57="","",2*O57-E57)</f>
        <v/>
      </c>
      <c r="U57" s="36" t="n"/>
      <c r="V57" s="36" t="n"/>
      <c r="W57" s="36" t="n"/>
      <c r="X57" s="37" t="n"/>
      <c r="Y57" s="37" t="n"/>
      <c r="Z57" s="36" t="n"/>
      <c r="AA57" s="38" t="n"/>
      <c r="AB57" s="36" t="n"/>
      <c r="AC57" s="37" t="n"/>
      <c r="AD57" s="39">
        <f>IF(A57="","",IFERROR(SUMIFS(TL_Net,TL_Date,_xlfn.MAXIFS(TL_Date,TL_Date,"&lt;"&amp;A57)),0))</f>
        <v/>
      </c>
      <c r="AE57" s="5">
        <f>IF(A57="","",IF(OR(AC57="Y",AND(Z57&lt;&gt;"",N(Z57)&lt;=2),AND(AA57&lt;&gt;"",N(AA57)&lt;6),N(AB57)&gt;=4),"NO TRADE / HALF SIZE","GO"))</f>
        <v/>
      </c>
    </row>
    <row r="58">
      <c r="A58" s="27" t="n"/>
      <c r="B58" s="5">
        <f>IF(A58="","",TEXT(A58,"ddd"))</f>
        <v/>
      </c>
      <c r="C58" s="27" t="n"/>
      <c r="D58" s="28">
        <f>IF(OR(A58="",C58=""),"",MAX(0,NETWORKDAYS(A58,C58)-1))</f>
        <v/>
      </c>
      <c r="E58" s="29" t="n"/>
      <c r="F58" s="29" t="n"/>
      <c r="G58" s="29" t="n"/>
      <c r="H58" s="29" t="n"/>
      <c r="I58" s="30">
        <f>IF(OR(H58="",G58=""),"",H58-G58)</f>
        <v/>
      </c>
      <c r="J58" s="31">
        <f>IF(I58="","",I58/G58)</f>
        <v/>
      </c>
      <c r="K58" s="32" t="n"/>
      <c r="L58" s="33">
        <f>IF(OR(K58="",G58=""),"",G58*K58/100/SQRT(252))</f>
        <v/>
      </c>
      <c r="M58" s="33">
        <f>IF(OR(L58="",H58=""),"",H58-L58)</f>
        <v/>
      </c>
      <c r="N58" s="33">
        <f>IF(OR(L58="",H58=""),"",H58+L58)</f>
        <v/>
      </c>
      <c r="O58" s="34">
        <f>IF(OR(E58="",F58="",G58=""),"",(E58+F58+G58)/3)</f>
        <v/>
      </c>
      <c r="P58" s="34">
        <f>IF(O58="","",(E58+F58)/2)</f>
        <v/>
      </c>
      <c r="Q58" s="34">
        <f>IF(O58="","",2*O58-P58)</f>
        <v/>
      </c>
      <c r="R58" s="35">
        <f>IF(O58="","",ABS(Q58-P58)/O58)</f>
        <v/>
      </c>
      <c r="S58" s="34">
        <f>IF(O58="","",2*O58-F58)</f>
        <v/>
      </c>
      <c r="T58" s="34">
        <f>IF(O58="","",2*O58-E58)</f>
        <v/>
      </c>
      <c r="U58" s="36" t="n"/>
      <c r="V58" s="36" t="n"/>
      <c r="W58" s="36" t="n"/>
      <c r="X58" s="37" t="n"/>
      <c r="Y58" s="37" t="n"/>
      <c r="Z58" s="36" t="n"/>
      <c r="AA58" s="38" t="n"/>
      <c r="AB58" s="36" t="n"/>
      <c r="AC58" s="37" t="n"/>
      <c r="AD58" s="39">
        <f>IF(A58="","",IFERROR(SUMIFS(TL_Net,TL_Date,_xlfn.MAXIFS(TL_Date,TL_Date,"&lt;"&amp;A58)),0))</f>
        <v/>
      </c>
      <c r="AE58" s="5">
        <f>IF(A58="","",IF(OR(AC58="Y",AND(Z58&lt;&gt;"",N(Z58)&lt;=2),AND(AA58&lt;&gt;"",N(AA58)&lt;6),N(AB58)&gt;=4),"NO TRADE / HALF SIZE","GO"))</f>
        <v/>
      </c>
    </row>
    <row r="59">
      <c r="A59" s="27" t="n"/>
      <c r="B59" s="5">
        <f>IF(A59="","",TEXT(A59,"ddd"))</f>
        <v/>
      </c>
      <c r="C59" s="27" t="n"/>
      <c r="D59" s="28">
        <f>IF(OR(A59="",C59=""),"",MAX(0,NETWORKDAYS(A59,C59)-1))</f>
        <v/>
      </c>
      <c r="E59" s="29" t="n"/>
      <c r="F59" s="29" t="n"/>
      <c r="G59" s="29" t="n"/>
      <c r="H59" s="29" t="n"/>
      <c r="I59" s="30">
        <f>IF(OR(H59="",G59=""),"",H59-G59)</f>
        <v/>
      </c>
      <c r="J59" s="31">
        <f>IF(I59="","",I59/G59)</f>
        <v/>
      </c>
      <c r="K59" s="32" t="n"/>
      <c r="L59" s="33">
        <f>IF(OR(K59="",G59=""),"",G59*K59/100/SQRT(252))</f>
        <v/>
      </c>
      <c r="M59" s="33">
        <f>IF(OR(L59="",H59=""),"",H59-L59)</f>
        <v/>
      </c>
      <c r="N59" s="33">
        <f>IF(OR(L59="",H59=""),"",H59+L59)</f>
        <v/>
      </c>
      <c r="O59" s="34">
        <f>IF(OR(E59="",F59="",G59=""),"",(E59+F59+G59)/3)</f>
        <v/>
      </c>
      <c r="P59" s="34">
        <f>IF(O59="","",(E59+F59)/2)</f>
        <v/>
      </c>
      <c r="Q59" s="34">
        <f>IF(O59="","",2*O59-P59)</f>
        <v/>
      </c>
      <c r="R59" s="35">
        <f>IF(O59="","",ABS(Q59-P59)/O59)</f>
        <v/>
      </c>
      <c r="S59" s="34">
        <f>IF(O59="","",2*O59-F59)</f>
        <v/>
      </c>
      <c r="T59" s="34">
        <f>IF(O59="","",2*O59-E59)</f>
        <v/>
      </c>
      <c r="U59" s="36" t="n"/>
      <c r="V59" s="36" t="n"/>
      <c r="W59" s="36" t="n"/>
      <c r="X59" s="37" t="n"/>
      <c r="Y59" s="37" t="n"/>
      <c r="Z59" s="36" t="n"/>
      <c r="AA59" s="38" t="n"/>
      <c r="AB59" s="36" t="n"/>
      <c r="AC59" s="37" t="n"/>
      <c r="AD59" s="39">
        <f>IF(A59="","",IFERROR(SUMIFS(TL_Net,TL_Date,_xlfn.MAXIFS(TL_Date,TL_Date,"&lt;"&amp;A59)),0))</f>
        <v/>
      </c>
      <c r="AE59" s="5">
        <f>IF(A59="","",IF(OR(AC59="Y",AND(Z59&lt;&gt;"",N(Z59)&lt;=2),AND(AA59&lt;&gt;"",N(AA59)&lt;6),N(AB59)&gt;=4),"NO TRADE / HALF SIZE","GO"))</f>
        <v/>
      </c>
    </row>
    <row r="60">
      <c r="A60" s="27" t="n"/>
      <c r="B60" s="5">
        <f>IF(A60="","",TEXT(A60,"ddd"))</f>
        <v/>
      </c>
      <c r="C60" s="27" t="n"/>
      <c r="D60" s="28">
        <f>IF(OR(A60="",C60=""),"",MAX(0,NETWORKDAYS(A60,C60)-1))</f>
        <v/>
      </c>
      <c r="E60" s="29" t="n"/>
      <c r="F60" s="29" t="n"/>
      <c r="G60" s="29" t="n"/>
      <c r="H60" s="29" t="n"/>
      <c r="I60" s="30">
        <f>IF(OR(H60="",G60=""),"",H60-G60)</f>
        <v/>
      </c>
      <c r="J60" s="31">
        <f>IF(I60="","",I60/G60)</f>
        <v/>
      </c>
      <c r="K60" s="32" t="n"/>
      <c r="L60" s="33">
        <f>IF(OR(K60="",G60=""),"",G60*K60/100/SQRT(252))</f>
        <v/>
      </c>
      <c r="M60" s="33">
        <f>IF(OR(L60="",H60=""),"",H60-L60)</f>
        <v/>
      </c>
      <c r="N60" s="33">
        <f>IF(OR(L60="",H60=""),"",H60+L60)</f>
        <v/>
      </c>
      <c r="O60" s="34">
        <f>IF(OR(E60="",F60="",G60=""),"",(E60+F60+G60)/3)</f>
        <v/>
      </c>
      <c r="P60" s="34">
        <f>IF(O60="","",(E60+F60)/2)</f>
        <v/>
      </c>
      <c r="Q60" s="34">
        <f>IF(O60="","",2*O60-P60)</f>
        <v/>
      </c>
      <c r="R60" s="35">
        <f>IF(O60="","",ABS(Q60-P60)/O60)</f>
        <v/>
      </c>
      <c r="S60" s="34">
        <f>IF(O60="","",2*O60-F60)</f>
        <v/>
      </c>
      <c r="T60" s="34">
        <f>IF(O60="","",2*O60-E60)</f>
        <v/>
      </c>
      <c r="U60" s="36" t="n"/>
      <c r="V60" s="36" t="n"/>
      <c r="W60" s="36" t="n"/>
      <c r="X60" s="37" t="n"/>
      <c r="Y60" s="37" t="n"/>
      <c r="Z60" s="36" t="n"/>
      <c r="AA60" s="38" t="n"/>
      <c r="AB60" s="36" t="n"/>
      <c r="AC60" s="37" t="n"/>
      <c r="AD60" s="39">
        <f>IF(A60="","",IFERROR(SUMIFS(TL_Net,TL_Date,_xlfn.MAXIFS(TL_Date,TL_Date,"&lt;"&amp;A60)),0))</f>
        <v/>
      </c>
      <c r="AE60" s="5">
        <f>IF(A60="","",IF(OR(AC60="Y",AND(Z60&lt;&gt;"",N(Z60)&lt;=2),AND(AA60&lt;&gt;"",N(AA60)&lt;6),N(AB60)&gt;=4),"NO TRADE / HALF SIZE","GO"))</f>
        <v/>
      </c>
    </row>
    <row r="61">
      <c r="A61" s="27" t="n"/>
      <c r="B61" s="5">
        <f>IF(A61="","",TEXT(A61,"ddd"))</f>
        <v/>
      </c>
      <c r="C61" s="27" t="n"/>
      <c r="D61" s="28">
        <f>IF(OR(A61="",C61=""),"",MAX(0,NETWORKDAYS(A61,C61)-1))</f>
        <v/>
      </c>
      <c r="E61" s="29" t="n"/>
      <c r="F61" s="29" t="n"/>
      <c r="G61" s="29" t="n"/>
      <c r="H61" s="29" t="n"/>
      <c r="I61" s="30">
        <f>IF(OR(H61="",G61=""),"",H61-G61)</f>
        <v/>
      </c>
      <c r="J61" s="31">
        <f>IF(I61="","",I61/G61)</f>
        <v/>
      </c>
      <c r="K61" s="32" t="n"/>
      <c r="L61" s="33">
        <f>IF(OR(K61="",G61=""),"",G61*K61/100/SQRT(252))</f>
        <v/>
      </c>
      <c r="M61" s="33">
        <f>IF(OR(L61="",H61=""),"",H61-L61)</f>
        <v/>
      </c>
      <c r="N61" s="33">
        <f>IF(OR(L61="",H61=""),"",H61+L61)</f>
        <v/>
      </c>
      <c r="O61" s="34">
        <f>IF(OR(E61="",F61="",G61=""),"",(E61+F61+G61)/3)</f>
        <v/>
      </c>
      <c r="P61" s="34">
        <f>IF(O61="","",(E61+F61)/2)</f>
        <v/>
      </c>
      <c r="Q61" s="34">
        <f>IF(O61="","",2*O61-P61)</f>
        <v/>
      </c>
      <c r="R61" s="35">
        <f>IF(O61="","",ABS(Q61-P61)/O61)</f>
        <v/>
      </c>
      <c r="S61" s="34">
        <f>IF(O61="","",2*O61-F61)</f>
        <v/>
      </c>
      <c r="T61" s="34">
        <f>IF(O61="","",2*O61-E61)</f>
        <v/>
      </c>
      <c r="U61" s="36" t="n"/>
      <c r="V61" s="36" t="n"/>
      <c r="W61" s="36" t="n"/>
      <c r="X61" s="37" t="n"/>
      <c r="Y61" s="37" t="n"/>
      <c r="Z61" s="36" t="n"/>
      <c r="AA61" s="38" t="n"/>
      <c r="AB61" s="36" t="n"/>
      <c r="AC61" s="37" t="n"/>
      <c r="AD61" s="39">
        <f>IF(A61="","",IFERROR(SUMIFS(TL_Net,TL_Date,_xlfn.MAXIFS(TL_Date,TL_Date,"&lt;"&amp;A61)),0))</f>
        <v/>
      </c>
      <c r="AE61" s="5">
        <f>IF(A61="","",IF(OR(AC61="Y",AND(Z61&lt;&gt;"",N(Z61)&lt;=2),AND(AA61&lt;&gt;"",N(AA61)&lt;6),N(AB61)&gt;=4),"NO TRADE / HALF SIZE","GO"))</f>
        <v/>
      </c>
    </row>
    <row r="62">
      <c r="A62" s="27" t="n"/>
      <c r="B62" s="5">
        <f>IF(A62="","",TEXT(A62,"ddd"))</f>
        <v/>
      </c>
      <c r="C62" s="27" t="n"/>
      <c r="D62" s="28">
        <f>IF(OR(A62="",C62=""),"",MAX(0,NETWORKDAYS(A62,C62)-1))</f>
        <v/>
      </c>
      <c r="E62" s="29" t="n"/>
      <c r="F62" s="29" t="n"/>
      <c r="G62" s="29" t="n"/>
      <c r="H62" s="29" t="n"/>
      <c r="I62" s="30">
        <f>IF(OR(H62="",G62=""),"",H62-G62)</f>
        <v/>
      </c>
      <c r="J62" s="31">
        <f>IF(I62="","",I62/G62)</f>
        <v/>
      </c>
      <c r="K62" s="32" t="n"/>
      <c r="L62" s="33">
        <f>IF(OR(K62="",G62=""),"",G62*K62/100/SQRT(252))</f>
        <v/>
      </c>
      <c r="M62" s="33">
        <f>IF(OR(L62="",H62=""),"",H62-L62)</f>
        <v/>
      </c>
      <c r="N62" s="33">
        <f>IF(OR(L62="",H62=""),"",H62+L62)</f>
        <v/>
      </c>
      <c r="O62" s="34">
        <f>IF(OR(E62="",F62="",G62=""),"",(E62+F62+G62)/3)</f>
        <v/>
      </c>
      <c r="P62" s="34">
        <f>IF(O62="","",(E62+F62)/2)</f>
        <v/>
      </c>
      <c r="Q62" s="34">
        <f>IF(O62="","",2*O62-P62)</f>
        <v/>
      </c>
      <c r="R62" s="35">
        <f>IF(O62="","",ABS(Q62-P62)/O62)</f>
        <v/>
      </c>
      <c r="S62" s="34">
        <f>IF(O62="","",2*O62-F62)</f>
        <v/>
      </c>
      <c r="T62" s="34">
        <f>IF(O62="","",2*O62-E62)</f>
        <v/>
      </c>
      <c r="U62" s="36" t="n"/>
      <c r="V62" s="36" t="n"/>
      <c r="W62" s="36" t="n"/>
      <c r="X62" s="37" t="n"/>
      <c r="Y62" s="37" t="n"/>
      <c r="Z62" s="36" t="n"/>
      <c r="AA62" s="38" t="n"/>
      <c r="AB62" s="36" t="n"/>
      <c r="AC62" s="37" t="n"/>
      <c r="AD62" s="39">
        <f>IF(A62="","",IFERROR(SUMIFS(TL_Net,TL_Date,_xlfn.MAXIFS(TL_Date,TL_Date,"&lt;"&amp;A62)),0))</f>
        <v/>
      </c>
      <c r="AE62" s="5">
        <f>IF(A62="","",IF(OR(AC62="Y",AND(Z62&lt;&gt;"",N(Z62)&lt;=2),AND(AA62&lt;&gt;"",N(AA62)&lt;6),N(AB62)&gt;=4),"NO TRADE / HALF SIZE","GO"))</f>
        <v/>
      </c>
    </row>
    <row r="63">
      <c r="A63" s="27" t="n"/>
      <c r="B63" s="5">
        <f>IF(A63="","",TEXT(A63,"ddd"))</f>
        <v/>
      </c>
      <c r="C63" s="27" t="n"/>
      <c r="D63" s="28">
        <f>IF(OR(A63="",C63=""),"",MAX(0,NETWORKDAYS(A63,C63)-1))</f>
        <v/>
      </c>
      <c r="E63" s="29" t="n"/>
      <c r="F63" s="29" t="n"/>
      <c r="G63" s="29" t="n"/>
      <c r="H63" s="29" t="n"/>
      <c r="I63" s="30">
        <f>IF(OR(H63="",G63=""),"",H63-G63)</f>
        <v/>
      </c>
      <c r="J63" s="31">
        <f>IF(I63="","",I63/G63)</f>
        <v/>
      </c>
      <c r="K63" s="32" t="n"/>
      <c r="L63" s="33">
        <f>IF(OR(K63="",G63=""),"",G63*K63/100/SQRT(252))</f>
        <v/>
      </c>
      <c r="M63" s="33">
        <f>IF(OR(L63="",H63=""),"",H63-L63)</f>
        <v/>
      </c>
      <c r="N63" s="33">
        <f>IF(OR(L63="",H63=""),"",H63+L63)</f>
        <v/>
      </c>
      <c r="O63" s="34">
        <f>IF(OR(E63="",F63="",G63=""),"",(E63+F63+G63)/3)</f>
        <v/>
      </c>
      <c r="P63" s="34">
        <f>IF(O63="","",(E63+F63)/2)</f>
        <v/>
      </c>
      <c r="Q63" s="34">
        <f>IF(O63="","",2*O63-P63)</f>
        <v/>
      </c>
      <c r="R63" s="35">
        <f>IF(O63="","",ABS(Q63-P63)/O63)</f>
        <v/>
      </c>
      <c r="S63" s="34">
        <f>IF(O63="","",2*O63-F63)</f>
        <v/>
      </c>
      <c r="T63" s="34">
        <f>IF(O63="","",2*O63-E63)</f>
        <v/>
      </c>
      <c r="U63" s="36" t="n"/>
      <c r="V63" s="36" t="n"/>
      <c r="W63" s="36" t="n"/>
      <c r="X63" s="37" t="n"/>
      <c r="Y63" s="37" t="n"/>
      <c r="Z63" s="36" t="n"/>
      <c r="AA63" s="38" t="n"/>
      <c r="AB63" s="36" t="n"/>
      <c r="AC63" s="37" t="n"/>
      <c r="AD63" s="39">
        <f>IF(A63="","",IFERROR(SUMIFS(TL_Net,TL_Date,_xlfn.MAXIFS(TL_Date,TL_Date,"&lt;"&amp;A63)),0))</f>
        <v/>
      </c>
      <c r="AE63" s="5">
        <f>IF(A63="","",IF(OR(AC63="Y",AND(Z63&lt;&gt;"",N(Z63)&lt;=2),AND(AA63&lt;&gt;"",N(AA63)&lt;6),N(AB63)&gt;=4),"NO TRADE / HALF SIZE","GO"))</f>
        <v/>
      </c>
    </row>
    <row r="64">
      <c r="A64" s="27" t="n"/>
      <c r="B64" s="5">
        <f>IF(A64="","",TEXT(A64,"ddd"))</f>
        <v/>
      </c>
      <c r="C64" s="27" t="n"/>
      <c r="D64" s="28">
        <f>IF(OR(A64="",C64=""),"",MAX(0,NETWORKDAYS(A64,C64)-1))</f>
        <v/>
      </c>
      <c r="E64" s="29" t="n"/>
      <c r="F64" s="29" t="n"/>
      <c r="G64" s="29" t="n"/>
      <c r="H64" s="29" t="n"/>
      <c r="I64" s="30">
        <f>IF(OR(H64="",G64=""),"",H64-G64)</f>
        <v/>
      </c>
      <c r="J64" s="31">
        <f>IF(I64="","",I64/G64)</f>
        <v/>
      </c>
      <c r="K64" s="32" t="n"/>
      <c r="L64" s="33">
        <f>IF(OR(K64="",G64=""),"",G64*K64/100/SQRT(252))</f>
        <v/>
      </c>
      <c r="M64" s="33">
        <f>IF(OR(L64="",H64=""),"",H64-L64)</f>
        <v/>
      </c>
      <c r="N64" s="33">
        <f>IF(OR(L64="",H64=""),"",H64+L64)</f>
        <v/>
      </c>
      <c r="O64" s="34">
        <f>IF(OR(E64="",F64="",G64=""),"",(E64+F64+G64)/3)</f>
        <v/>
      </c>
      <c r="P64" s="34">
        <f>IF(O64="","",(E64+F64)/2)</f>
        <v/>
      </c>
      <c r="Q64" s="34">
        <f>IF(O64="","",2*O64-P64)</f>
        <v/>
      </c>
      <c r="R64" s="35">
        <f>IF(O64="","",ABS(Q64-P64)/O64)</f>
        <v/>
      </c>
      <c r="S64" s="34">
        <f>IF(O64="","",2*O64-F64)</f>
        <v/>
      </c>
      <c r="T64" s="34">
        <f>IF(O64="","",2*O64-E64)</f>
        <v/>
      </c>
      <c r="U64" s="36" t="n"/>
      <c r="V64" s="36" t="n"/>
      <c r="W64" s="36" t="n"/>
      <c r="X64" s="37" t="n"/>
      <c r="Y64" s="37" t="n"/>
      <c r="Z64" s="36" t="n"/>
      <c r="AA64" s="38" t="n"/>
      <c r="AB64" s="36" t="n"/>
      <c r="AC64" s="37" t="n"/>
      <c r="AD64" s="39">
        <f>IF(A64="","",IFERROR(SUMIFS(TL_Net,TL_Date,_xlfn.MAXIFS(TL_Date,TL_Date,"&lt;"&amp;A64)),0))</f>
        <v/>
      </c>
      <c r="AE64" s="5">
        <f>IF(A64="","",IF(OR(AC64="Y",AND(Z64&lt;&gt;"",N(Z64)&lt;=2),AND(AA64&lt;&gt;"",N(AA64)&lt;6),N(AB64)&gt;=4),"NO TRADE / HALF SIZE","GO"))</f>
        <v/>
      </c>
    </row>
    <row r="65">
      <c r="A65" s="27" t="n"/>
      <c r="B65" s="5">
        <f>IF(A65="","",TEXT(A65,"ddd"))</f>
        <v/>
      </c>
      <c r="C65" s="27" t="n"/>
      <c r="D65" s="28">
        <f>IF(OR(A65="",C65=""),"",MAX(0,NETWORKDAYS(A65,C65)-1))</f>
        <v/>
      </c>
      <c r="E65" s="29" t="n"/>
      <c r="F65" s="29" t="n"/>
      <c r="G65" s="29" t="n"/>
      <c r="H65" s="29" t="n"/>
      <c r="I65" s="30">
        <f>IF(OR(H65="",G65=""),"",H65-G65)</f>
        <v/>
      </c>
      <c r="J65" s="31">
        <f>IF(I65="","",I65/G65)</f>
        <v/>
      </c>
      <c r="K65" s="32" t="n"/>
      <c r="L65" s="33">
        <f>IF(OR(K65="",G65=""),"",G65*K65/100/SQRT(252))</f>
        <v/>
      </c>
      <c r="M65" s="33">
        <f>IF(OR(L65="",H65=""),"",H65-L65)</f>
        <v/>
      </c>
      <c r="N65" s="33">
        <f>IF(OR(L65="",H65=""),"",H65+L65)</f>
        <v/>
      </c>
      <c r="O65" s="34">
        <f>IF(OR(E65="",F65="",G65=""),"",(E65+F65+G65)/3)</f>
        <v/>
      </c>
      <c r="P65" s="34">
        <f>IF(O65="","",(E65+F65)/2)</f>
        <v/>
      </c>
      <c r="Q65" s="34">
        <f>IF(O65="","",2*O65-P65)</f>
        <v/>
      </c>
      <c r="R65" s="35">
        <f>IF(O65="","",ABS(Q65-P65)/O65)</f>
        <v/>
      </c>
      <c r="S65" s="34">
        <f>IF(O65="","",2*O65-F65)</f>
        <v/>
      </c>
      <c r="T65" s="34">
        <f>IF(O65="","",2*O65-E65)</f>
        <v/>
      </c>
      <c r="U65" s="36" t="n"/>
      <c r="V65" s="36" t="n"/>
      <c r="W65" s="36" t="n"/>
      <c r="X65" s="37" t="n"/>
      <c r="Y65" s="37" t="n"/>
      <c r="Z65" s="36" t="n"/>
      <c r="AA65" s="38" t="n"/>
      <c r="AB65" s="36" t="n"/>
      <c r="AC65" s="37" t="n"/>
      <c r="AD65" s="39">
        <f>IF(A65="","",IFERROR(SUMIFS(TL_Net,TL_Date,_xlfn.MAXIFS(TL_Date,TL_Date,"&lt;"&amp;A65)),0))</f>
        <v/>
      </c>
      <c r="AE65" s="5">
        <f>IF(A65="","",IF(OR(AC65="Y",AND(Z65&lt;&gt;"",N(Z65)&lt;=2),AND(AA65&lt;&gt;"",N(AA65)&lt;6),N(AB65)&gt;=4),"NO TRADE / HALF SIZE","GO"))</f>
        <v/>
      </c>
    </row>
    <row r="66">
      <c r="A66" s="27" t="n"/>
      <c r="B66" s="5">
        <f>IF(A66="","",TEXT(A66,"ddd"))</f>
        <v/>
      </c>
      <c r="C66" s="27" t="n"/>
      <c r="D66" s="28">
        <f>IF(OR(A66="",C66=""),"",MAX(0,NETWORKDAYS(A66,C66)-1))</f>
        <v/>
      </c>
      <c r="E66" s="29" t="n"/>
      <c r="F66" s="29" t="n"/>
      <c r="G66" s="29" t="n"/>
      <c r="H66" s="29" t="n"/>
      <c r="I66" s="30">
        <f>IF(OR(H66="",G66=""),"",H66-G66)</f>
        <v/>
      </c>
      <c r="J66" s="31">
        <f>IF(I66="","",I66/G66)</f>
        <v/>
      </c>
      <c r="K66" s="32" t="n"/>
      <c r="L66" s="33">
        <f>IF(OR(K66="",G66=""),"",G66*K66/100/SQRT(252))</f>
        <v/>
      </c>
      <c r="M66" s="33">
        <f>IF(OR(L66="",H66=""),"",H66-L66)</f>
        <v/>
      </c>
      <c r="N66" s="33">
        <f>IF(OR(L66="",H66=""),"",H66+L66)</f>
        <v/>
      </c>
      <c r="O66" s="34">
        <f>IF(OR(E66="",F66="",G66=""),"",(E66+F66+G66)/3)</f>
        <v/>
      </c>
      <c r="P66" s="34">
        <f>IF(O66="","",(E66+F66)/2)</f>
        <v/>
      </c>
      <c r="Q66" s="34">
        <f>IF(O66="","",2*O66-P66)</f>
        <v/>
      </c>
      <c r="R66" s="35">
        <f>IF(O66="","",ABS(Q66-P66)/O66)</f>
        <v/>
      </c>
      <c r="S66" s="34">
        <f>IF(O66="","",2*O66-F66)</f>
        <v/>
      </c>
      <c r="T66" s="34">
        <f>IF(O66="","",2*O66-E66)</f>
        <v/>
      </c>
      <c r="U66" s="36" t="n"/>
      <c r="V66" s="36" t="n"/>
      <c r="W66" s="36" t="n"/>
      <c r="X66" s="37" t="n"/>
      <c r="Y66" s="37" t="n"/>
      <c r="Z66" s="36" t="n"/>
      <c r="AA66" s="38" t="n"/>
      <c r="AB66" s="36" t="n"/>
      <c r="AC66" s="37" t="n"/>
      <c r="AD66" s="39">
        <f>IF(A66="","",IFERROR(SUMIFS(TL_Net,TL_Date,_xlfn.MAXIFS(TL_Date,TL_Date,"&lt;"&amp;A66)),0))</f>
        <v/>
      </c>
      <c r="AE66" s="5">
        <f>IF(A66="","",IF(OR(AC66="Y",AND(Z66&lt;&gt;"",N(Z66)&lt;=2),AND(AA66&lt;&gt;"",N(AA66)&lt;6),N(AB66)&gt;=4),"NO TRADE / HALF SIZE","GO"))</f>
        <v/>
      </c>
    </row>
    <row r="67">
      <c r="A67" s="27" t="n"/>
      <c r="B67" s="5">
        <f>IF(A67="","",TEXT(A67,"ddd"))</f>
        <v/>
      </c>
      <c r="C67" s="27" t="n"/>
      <c r="D67" s="28">
        <f>IF(OR(A67="",C67=""),"",MAX(0,NETWORKDAYS(A67,C67)-1))</f>
        <v/>
      </c>
      <c r="E67" s="29" t="n"/>
      <c r="F67" s="29" t="n"/>
      <c r="G67" s="29" t="n"/>
      <c r="H67" s="29" t="n"/>
      <c r="I67" s="30">
        <f>IF(OR(H67="",G67=""),"",H67-G67)</f>
        <v/>
      </c>
      <c r="J67" s="31">
        <f>IF(I67="","",I67/G67)</f>
        <v/>
      </c>
      <c r="K67" s="32" t="n"/>
      <c r="L67" s="33">
        <f>IF(OR(K67="",G67=""),"",G67*K67/100/SQRT(252))</f>
        <v/>
      </c>
      <c r="M67" s="33">
        <f>IF(OR(L67="",H67=""),"",H67-L67)</f>
        <v/>
      </c>
      <c r="N67" s="33">
        <f>IF(OR(L67="",H67=""),"",H67+L67)</f>
        <v/>
      </c>
      <c r="O67" s="34">
        <f>IF(OR(E67="",F67="",G67=""),"",(E67+F67+G67)/3)</f>
        <v/>
      </c>
      <c r="P67" s="34">
        <f>IF(O67="","",(E67+F67)/2)</f>
        <v/>
      </c>
      <c r="Q67" s="34">
        <f>IF(O67="","",2*O67-P67)</f>
        <v/>
      </c>
      <c r="R67" s="35">
        <f>IF(O67="","",ABS(Q67-P67)/O67)</f>
        <v/>
      </c>
      <c r="S67" s="34">
        <f>IF(O67="","",2*O67-F67)</f>
        <v/>
      </c>
      <c r="T67" s="34">
        <f>IF(O67="","",2*O67-E67)</f>
        <v/>
      </c>
      <c r="U67" s="36" t="n"/>
      <c r="V67" s="36" t="n"/>
      <c r="W67" s="36" t="n"/>
      <c r="X67" s="37" t="n"/>
      <c r="Y67" s="37" t="n"/>
      <c r="Z67" s="36" t="n"/>
      <c r="AA67" s="38" t="n"/>
      <c r="AB67" s="36" t="n"/>
      <c r="AC67" s="37" t="n"/>
      <c r="AD67" s="39">
        <f>IF(A67="","",IFERROR(SUMIFS(TL_Net,TL_Date,_xlfn.MAXIFS(TL_Date,TL_Date,"&lt;"&amp;A67)),0))</f>
        <v/>
      </c>
      <c r="AE67" s="5">
        <f>IF(A67="","",IF(OR(AC67="Y",AND(Z67&lt;&gt;"",N(Z67)&lt;=2),AND(AA67&lt;&gt;"",N(AA67)&lt;6),N(AB67)&gt;=4),"NO TRADE / HALF SIZE","GO"))</f>
        <v/>
      </c>
    </row>
    <row r="68">
      <c r="A68" s="27" t="n"/>
      <c r="B68" s="5">
        <f>IF(A68="","",TEXT(A68,"ddd"))</f>
        <v/>
      </c>
      <c r="C68" s="27" t="n"/>
      <c r="D68" s="28">
        <f>IF(OR(A68="",C68=""),"",MAX(0,NETWORKDAYS(A68,C68)-1))</f>
        <v/>
      </c>
      <c r="E68" s="29" t="n"/>
      <c r="F68" s="29" t="n"/>
      <c r="G68" s="29" t="n"/>
      <c r="H68" s="29" t="n"/>
      <c r="I68" s="30">
        <f>IF(OR(H68="",G68=""),"",H68-G68)</f>
        <v/>
      </c>
      <c r="J68" s="31">
        <f>IF(I68="","",I68/G68)</f>
        <v/>
      </c>
      <c r="K68" s="32" t="n"/>
      <c r="L68" s="33">
        <f>IF(OR(K68="",G68=""),"",G68*K68/100/SQRT(252))</f>
        <v/>
      </c>
      <c r="M68" s="33">
        <f>IF(OR(L68="",H68=""),"",H68-L68)</f>
        <v/>
      </c>
      <c r="N68" s="33">
        <f>IF(OR(L68="",H68=""),"",H68+L68)</f>
        <v/>
      </c>
      <c r="O68" s="34">
        <f>IF(OR(E68="",F68="",G68=""),"",(E68+F68+G68)/3)</f>
        <v/>
      </c>
      <c r="P68" s="34">
        <f>IF(O68="","",(E68+F68)/2)</f>
        <v/>
      </c>
      <c r="Q68" s="34">
        <f>IF(O68="","",2*O68-P68)</f>
        <v/>
      </c>
      <c r="R68" s="35">
        <f>IF(O68="","",ABS(Q68-P68)/O68)</f>
        <v/>
      </c>
      <c r="S68" s="34">
        <f>IF(O68="","",2*O68-F68)</f>
        <v/>
      </c>
      <c r="T68" s="34">
        <f>IF(O68="","",2*O68-E68)</f>
        <v/>
      </c>
      <c r="U68" s="36" t="n"/>
      <c r="V68" s="36" t="n"/>
      <c r="W68" s="36" t="n"/>
      <c r="X68" s="37" t="n"/>
      <c r="Y68" s="37" t="n"/>
      <c r="Z68" s="36" t="n"/>
      <c r="AA68" s="38" t="n"/>
      <c r="AB68" s="36" t="n"/>
      <c r="AC68" s="37" t="n"/>
      <c r="AD68" s="39">
        <f>IF(A68="","",IFERROR(SUMIFS(TL_Net,TL_Date,_xlfn.MAXIFS(TL_Date,TL_Date,"&lt;"&amp;A68)),0))</f>
        <v/>
      </c>
      <c r="AE68" s="5">
        <f>IF(A68="","",IF(OR(AC68="Y",AND(Z68&lt;&gt;"",N(Z68)&lt;=2),AND(AA68&lt;&gt;"",N(AA68)&lt;6),N(AB68)&gt;=4),"NO TRADE / HALF SIZE","GO"))</f>
        <v/>
      </c>
    </row>
    <row r="69">
      <c r="A69" s="27" t="n"/>
      <c r="B69" s="5">
        <f>IF(A69="","",TEXT(A69,"ddd"))</f>
        <v/>
      </c>
      <c r="C69" s="27" t="n"/>
      <c r="D69" s="28">
        <f>IF(OR(A69="",C69=""),"",MAX(0,NETWORKDAYS(A69,C69)-1))</f>
        <v/>
      </c>
      <c r="E69" s="29" t="n"/>
      <c r="F69" s="29" t="n"/>
      <c r="G69" s="29" t="n"/>
      <c r="H69" s="29" t="n"/>
      <c r="I69" s="30">
        <f>IF(OR(H69="",G69=""),"",H69-G69)</f>
        <v/>
      </c>
      <c r="J69" s="31">
        <f>IF(I69="","",I69/G69)</f>
        <v/>
      </c>
      <c r="K69" s="32" t="n"/>
      <c r="L69" s="33">
        <f>IF(OR(K69="",G69=""),"",G69*K69/100/SQRT(252))</f>
        <v/>
      </c>
      <c r="M69" s="33">
        <f>IF(OR(L69="",H69=""),"",H69-L69)</f>
        <v/>
      </c>
      <c r="N69" s="33">
        <f>IF(OR(L69="",H69=""),"",H69+L69)</f>
        <v/>
      </c>
      <c r="O69" s="34">
        <f>IF(OR(E69="",F69="",G69=""),"",(E69+F69+G69)/3)</f>
        <v/>
      </c>
      <c r="P69" s="34">
        <f>IF(O69="","",(E69+F69)/2)</f>
        <v/>
      </c>
      <c r="Q69" s="34">
        <f>IF(O69="","",2*O69-P69)</f>
        <v/>
      </c>
      <c r="R69" s="35">
        <f>IF(O69="","",ABS(Q69-P69)/O69)</f>
        <v/>
      </c>
      <c r="S69" s="34">
        <f>IF(O69="","",2*O69-F69)</f>
        <v/>
      </c>
      <c r="T69" s="34">
        <f>IF(O69="","",2*O69-E69)</f>
        <v/>
      </c>
      <c r="U69" s="36" t="n"/>
      <c r="V69" s="36" t="n"/>
      <c r="W69" s="36" t="n"/>
      <c r="X69" s="37" t="n"/>
      <c r="Y69" s="37" t="n"/>
      <c r="Z69" s="36" t="n"/>
      <c r="AA69" s="38" t="n"/>
      <c r="AB69" s="36" t="n"/>
      <c r="AC69" s="37" t="n"/>
      <c r="AD69" s="39">
        <f>IF(A69="","",IFERROR(SUMIFS(TL_Net,TL_Date,_xlfn.MAXIFS(TL_Date,TL_Date,"&lt;"&amp;A69)),0))</f>
        <v/>
      </c>
      <c r="AE69" s="5">
        <f>IF(A69="","",IF(OR(AC69="Y",AND(Z69&lt;&gt;"",N(Z69)&lt;=2),AND(AA69&lt;&gt;"",N(AA69)&lt;6),N(AB69)&gt;=4),"NO TRADE / HALF SIZE","GO"))</f>
        <v/>
      </c>
    </row>
    <row r="70">
      <c r="A70" s="27" t="n"/>
      <c r="B70" s="5">
        <f>IF(A70="","",TEXT(A70,"ddd"))</f>
        <v/>
      </c>
      <c r="C70" s="27" t="n"/>
      <c r="D70" s="28">
        <f>IF(OR(A70="",C70=""),"",MAX(0,NETWORKDAYS(A70,C70)-1))</f>
        <v/>
      </c>
      <c r="E70" s="29" t="n"/>
      <c r="F70" s="29" t="n"/>
      <c r="G70" s="29" t="n"/>
      <c r="H70" s="29" t="n"/>
      <c r="I70" s="30">
        <f>IF(OR(H70="",G70=""),"",H70-G70)</f>
        <v/>
      </c>
      <c r="J70" s="31">
        <f>IF(I70="","",I70/G70)</f>
        <v/>
      </c>
      <c r="K70" s="32" t="n"/>
      <c r="L70" s="33">
        <f>IF(OR(K70="",G70=""),"",G70*K70/100/SQRT(252))</f>
        <v/>
      </c>
      <c r="M70" s="33">
        <f>IF(OR(L70="",H70=""),"",H70-L70)</f>
        <v/>
      </c>
      <c r="N70" s="33">
        <f>IF(OR(L70="",H70=""),"",H70+L70)</f>
        <v/>
      </c>
      <c r="O70" s="34">
        <f>IF(OR(E70="",F70="",G70=""),"",(E70+F70+G70)/3)</f>
        <v/>
      </c>
      <c r="P70" s="34">
        <f>IF(O70="","",(E70+F70)/2)</f>
        <v/>
      </c>
      <c r="Q70" s="34">
        <f>IF(O70="","",2*O70-P70)</f>
        <v/>
      </c>
      <c r="R70" s="35">
        <f>IF(O70="","",ABS(Q70-P70)/O70)</f>
        <v/>
      </c>
      <c r="S70" s="34">
        <f>IF(O70="","",2*O70-F70)</f>
        <v/>
      </c>
      <c r="T70" s="34">
        <f>IF(O70="","",2*O70-E70)</f>
        <v/>
      </c>
      <c r="U70" s="36" t="n"/>
      <c r="V70" s="36" t="n"/>
      <c r="W70" s="36" t="n"/>
      <c r="X70" s="37" t="n"/>
      <c r="Y70" s="37" t="n"/>
      <c r="Z70" s="36" t="n"/>
      <c r="AA70" s="38" t="n"/>
      <c r="AB70" s="36" t="n"/>
      <c r="AC70" s="37" t="n"/>
      <c r="AD70" s="39">
        <f>IF(A70="","",IFERROR(SUMIFS(TL_Net,TL_Date,_xlfn.MAXIFS(TL_Date,TL_Date,"&lt;"&amp;A70)),0))</f>
        <v/>
      </c>
      <c r="AE70" s="5">
        <f>IF(A70="","",IF(OR(AC70="Y",AND(Z70&lt;&gt;"",N(Z70)&lt;=2),AND(AA70&lt;&gt;"",N(AA70)&lt;6),N(AB70)&gt;=4),"NO TRADE / HALF SIZE","GO"))</f>
        <v/>
      </c>
    </row>
    <row r="71">
      <c r="A71" s="27" t="n"/>
      <c r="B71" s="5">
        <f>IF(A71="","",TEXT(A71,"ddd"))</f>
        <v/>
      </c>
      <c r="C71" s="27" t="n"/>
      <c r="D71" s="28">
        <f>IF(OR(A71="",C71=""),"",MAX(0,NETWORKDAYS(A71,C71)-1))</f>
        <v/>
      </c>
      <c r="E71" s="29" t="n"/>
      <c r="F71" s="29" t="n"/>
      <c r="G71" s="29" t="n"/>
      <c r="H71" s="29" t="n"/>
      <c r="I71" s="30">
        <f>IF(OR(H71="",G71=""),"",H71-G71)</f>
        <v/>
      </c>
      <c r="J71" s="31">
        <f>IF(I71="","",I71/G71)</f>
        <v/>
      </c>
      <c r="K71" s="32" t="n"/>
      <c r="L71" s="33">
        <f>IF(OR(K71="",G71=""),"",G71*K71/100/SQRT(252))</f>
        <v/>
      </c>
      <c r="M71" s="33">
        <f>IF(OR(L71="",H71=""),"",H71-L71)</f>
        <v/>
      </c>
      <c r="N71" s="33">
        <f>IF(OR(L71="",H71=""),"",H71+L71)</f>
        <v/>
      </c>
      <c r="O71" s="34">
        <f>IF(OR(E71="",F71="",G71=""),"",(E71+F71+G71)/3)</f>
        <v/>
      </c>
      <c r="P71" s="34">
        <f>IF(O71="","",(E71+F71)/2)</f>
        <v/>
      </c>
      <c r="Q71" s="34">
        <f>IF(O71="","",2*O71-P71)</f>
        <v/>
      </c>
      <c r="R71" s="35">
        <f>IF(O71="","",ABS(Q71-P71)/O71)</f>
        <v/>
      </c>
      <c r="S71" s="34">
        <f>IF(O71="","",2*O71-F71)</f>
        <v/>
      </c>
      <c r="T71" s="34">
        <f>IF(O71="","",2*O71-E71)</f>
        <v/>
      </c>
      <c r="U71" s="36" t="n"/>
      <c r="V71" s="36" t="n"/>
      <c r="W71" s="36" t="n"/>
      <c r="X71" s="37" t="n"/>
      <c r="Y71" s="37" t="n"/>
      <c r="Z71" s="36" t="n"/>
      <c r="AA71" s="38" t="n"/>
      <c r="AB71" s="36" t="n"/>
      <c r="AC71" s="37" t="n"/>
      <c r="AD71" s="39">
        <f>IF(A71="","",IFERROR(SUMIFS(TL_Net,TL_Date,_xlfn.MAXIFS(TL_Date,TL_Date,"&lt;"&amp;A71)),0))</f>
        <v/>
      </c>
      <c r="AE71" s="5">
        <f>IF(A71="","",IF(OR(AC71="Y",AND(Z71&lt;&gt;"",N(Z71)&lt;=2),AND(AA71&lt;&gt;"",N(AA71)&lt;6),N(AB71)&gt;=4),"NO TRADE / HALF SIZE","GO"))</f>
        <v/>
      </c>
    </row>
    <row r="72">
      <c r="A72" s="27" t="n"/>
      <c r="B72" s="5">
        <f>IF(A72="","",TEXT(A72,"ddd"))</f>
        <v/>
      </c>
      <c r="C72" s="27" t="n"/>
      <c r="D72" s="28">
        <f>IF(OR(A72="",C72=""),"",MAX(0,NETWORKDAYS(A72,C72)-1))</f>
        <v/>
      </c>
      <c r="E72" s="29" t="n"/>
      <c r="F72" s="29" t="n"/>
      <c r="G72" s="29" t="n"/>
      <c r="H72" s="29" t="n"/>
      <c r="I72" s="30">
        <f>IF(OR(H72="",G72=""),"",H72-G72)</f>
        <v/>
      </c>
      <c r="J72" s="31">
        <f>IF(I72="","",I72/G72)</f>
        <v/>
      </c>
      <c r="K72" s="32" t="n"/>
      <c r="L72" s="33">
        <f>IF(OR(K72="",G72=""),"",G72*K72/100/SQRT(252))</f>
        <v/>
      </c>
      <c r="M72" s="33">
        <f>IF(OR(L72="",H72=""),"",H72-L72)</f>
        <v/>
      </c>
      <c r="N72" s="33">
        <f>IF(OR(L72="",H72=""),"",H72+L72)</f>
        <v/>
      </c>
      <c r="O72" s="34">
        <f>IF(OR(E72="",F72="",G72=""),"",(E72+F72+G72)/3)</f>
        <v/>
      </c>
      <c r="P72" s="34">
        <f>IF(O72="","",(E72+F72)/2)</f>
        <v/>
      </c>
      <c r="Q72" s="34">
        <f>IF(O72="","",2*O72-P72)</f>
        <v/>
      </c>
      <c r="R72" s="35">
        <f>IF(O72="","",ABS(Q72-P72)/O72)</f>
        <v/>
      </c>
      <c r="S72" s="34">
        <f>IF(O72="","",2*O72-F72)</f>
        <v/>
      </c>
      <c r="T72" s="34">
        <f>IF(O72="","",2*O72-E72)</f>
        <v/>
      </c>
      <c r="U72" s="36" t="n"/>
      <c r="V72" s="36" t="n"/>
      <c r="W72" s="36" t="n"/>
      <c r="X72" s="37" t="n"/>
      <c r="Y72" s="37" t="n"/>
      <c r="Z72" s="36" t="n"/>
      <c r="AA72" s="38" t="n"/>
      <c r="AB72" s="36" t="n"/>
      <c r="AC72" s="37" t="n"/>
      <c r="AD72" s="39">
        <f>IF(A72="","",IFERROR(SUMIFS(TL_Net,TL_Date,_xlfn.MAXIFS(TL_Date,TL_Date,"&lt;"&amp;A72)),0))</f>
        <v/>
      </c>
      <c r="AE72" s="5">
        <f>IF(A72="","",IF(OR(AC72="Y",AND(Z72&lt;&gt;"",N(Z72)&lt;=2),AND(AA72&lt;&gt;"",N(AA72)&lt;6),N(AB72)&gt;=4),"NO TRADE / HALF SIZE","GO"))</f>
        <v/>
      </c>
    </row>
    <row r="73">
      <c r="A73" s="27" t="n"/>
      <c r="B73" s="5">
        <f>IF(A73="","",TEXT(A73,"ddd"))</f>
        <v/>
      </c>
      <c r="C73" s="27" t="n"/>
      <c r="D73" s="28">
        <f>IF(OR(A73="",C73=""),"",MAX(0,NETWORKDAYS(A73,C73)-1))</f>
        <v/>
      </c>
      <c r="E73" s="29" t="n"/>
      <c r="F73" s="29" t="n"/>
      <c r="G73" s="29" t="n"/>
      <c r="H73" s="29" t="n"/>
      <c r="I73" s="30">
        <f>IF(OR(H73="",G73=""),"",H73-G73)</f>
        <v/>
      </c>
      <c r="J73" s="31">
        <f>IF(I73="","",I73/G73)</f>
        <v/>
      </c>
      <c r="K73" s="32" t="n"/>
      <c r="L73" s="33">
        <f>IF(OR(K73="",G73=""),"",G73*K73/100/SQRT(252))</f>
        <v/>
      </c>
      <c r="M73" s="33">
        <f>IF(OR(L73="",H73=""),"",H73-L73)</f>
        <v/>
      </c>
      <c r="N73" s="33">
        <f>IF(OR(L73="",H73=""),"",H73+L73)</f>
        <v/>
      </c>
      <c r="O73" s="34">
        <f>IF(OR(E73="",F73="",G73=""),"",(E73+F73+G73)/3)</f>
        <v/>
      </c>
      <c r="P73" s="34">
        <f>IF(O73="","",(E73+F73)/2)</f>
        <v/>
      </c>
      <c r="Q73" s="34">
        <f>IF(O73="","",2*O73-P73)</f>
        <v/>
      </c>
      <c r="R73" s="35">
        <f>IF(O73="","",ABS(Q73-P73)/O73)</f>
        <v/>
      </c>
      <c r="S73" s="34">
        <f>IF(O73="","",2*O73-F73)</f>
        <v/>
      </c>
      <c r="T73" s="34">
        <f>IF(O73="","",2*O73-E73)</f>
        <v/>
      </c>
      <c r="U73" s="36" t="n"/>
      <c r="V73" s="36" t="n"/>
      <c r="W73" s="36" t="n"/>
      <c r="X73" s="37" t="n"/>
      <c r="Y73" s="37" t="n"/>
      <c r="Z73" s="36" t="n"/>
      <c r="AA73" s="38" t="n"/>
      <c r="AB73" s="36" t="n"/>
      <c r="AC73" s="37" t="n"/>
      <c r="AD73" s="39">
        <f>IF(A73="","",IFERROR(SUMIFS(TL_Net,TL_Date,_xlfn.MAXIFS(TL_Date,TL_Date,"&lt;"&amp;A73)),0))</f>
        <v/>
      </c>
      <c r="AE73" s="5">
        <f>IF(A73="","",IF(OR(AC73="Y",AND(Z73&lt;&gt;"",N(Z73)&lt;=2),AND(AA73&lt;&gt;"",N(AA73)&lt;6),N(AB73)&gt;=4),"NO TRADE / HALF SIZE","GO"))</f>
        <v/>
      </c>
    </row>
    <row r="74">
      <c r="A74" s="27" t="n"/>
      <c r="B74" s="5">
        <f>IF(A74="","",TEXT(A74,"ddd"))</f>
        <v/>
      </c>
      <c r="C74" s="27" t="n"/>
      <c r="D74" s="28">
        <f>IF(OR(A74="",C74=""),"",MAX(0,NETWORKDAYS(A74,C74)-1))</f>
        <v/>
      </c>
      <c r="E74" s="29" t="n"/>
      <c r="F74" s="29" t="n"/>
      <c r="G74" s="29" t="n"/>
      <c r="H74" s="29" t="n"/>
      <c r="I74" s="30">
        <f>IF(OR(H74="",G74=""),"",H74-G74)</f>
        <v/>
      </c>
      <c r="J74" s="31">
        <f>IF(I74="","",I74/G74)</f>
        <v/>
      </c>
      <c r="K74" s="32" t="n"/>
      <c r="L74" s="33">
        <f>IF(OR(K74="",G74=""),"",G74*K74/100/SQRT(252))</f>
        <v/>
      </c>
      <c r="M74" s="33">
        <f>IF(OR(L74="",H74=""),"",H74-L74)</f>
        <v/>
      </c>
      <c r="N74" s="33">
        <f>IF(OR(L74="",H74=""),"",H74+L74)</f>
        <v/>
      </c>
      <c r="O74" s="34">
        <f>IF(OR(E74="",F74="",G74=""),"",(E74+F74+G74)/3)</f>
        <v/>
      </c>
      <c r="P74" s="34">
        <f>IF(O74="","",(E74+F74)/2)</f>
        <v/>
      </c>
      <c r="Q74" s="34">
        <f>IF(O74="","",2*O74-P74)</f>
        <v/>
      </c>
      <c r="R74" s="35">
        <f>IF(O74="","",ABS(Q74-P74)/O74)</f>
        <v/>
      </c>
      <c r="S74" s="34">
        <f>IF(O74="","",2*O74-F74)</f>
        <v/>
      </c>
      <c r="T74" s="34">
        <f>IF(O74="","",2*O74-E74)</f>
        <v/>
      </c>
      <c r="U74" s="36" t="n"/>
      <c r="V74" s="36" t="n"/>
      <c r="W74" s="36" t="n"/>
      <c r="X74" s="37" t="n"/>
      <c r="Y74" s="37" t="n"/>
      <c r="Z74" s="36" t="n"/>
      <c r="AA74" s="38" t="n"/>
      <c r="AB74" s="36" t="n"/>
      <c r="AC74" s="37" t="n"/>
      <c r="AD74" s="39">
        <f>IF(A74="","",IFERROR(SUMIFS(TL_Net,TL_Date,_xlfn.MAXIFS(TL_Date,TL_Date,"&lt;"&amp;A74)),0))</f>
        <v/>
      </c>
      <c r="AE74" s="5">
        <f>IF(A74="","",IF(OR(AC74="Y",AND(Z74&lt;&gt;"",N(Z74)&lt;=2),AND(AA74&lt;&gt;"",N(AA74)&lt;6),N(AB74)&gt;=4),"NO TRADE / HALF SIZE","GO"))</f>
        <v/>
      </c>
    </row>
    <row r="75">
      <c r="A75" s="27" t="n"/>
      <c r="B75" s="5">
        <f>IF(A75="","",TEXT(A75,"ddd"))</f>
        <v/>
      </c>
      <c r="C75" s="27" t="n"/>
      <c r="D75" s="28">
        <f>IF(OR(A75="",C75=""),"",MAX(0,NETWORKDAYS(A75,C75)-1))</f>
        <v/>
      </c>
      <c r="E75" s="29" t="n"/>
      <c r="F75" s="29" t="n"/>
      <c r="G75" s="29" t="n"/>
      <c r="H75" s="29" t="n"/>
      <c r="I75" s="30">
        <f>IF(OR(H75="",G75=""),"",H75-G75)</f>
        <v/>
      </c>
      <c r="J75" s="31">
        <f>IF(I75="","",I75/G75)</f>
        <v/>
      </c>
      <c r="K75" s="32" t="n"/>
      <c r="L75" s="33">
        <f>IF(OR(K75="",G75=""),"",G75*K75/100/SQRT(252))</f>
        <v/>
      </c>
      <c r="M75" s="33">
        <f>IF(OR(L75="",H75=""),"",H75-L75)</f>
        <v/>
      </c>
      <c r="N75" s="33">
        <f>IF(OR(L75="",H75=""),"",H75+L75)</f>
        <v/>
      </c>
      <c r="O75" s="34">
        <f>IF(OR(E75="",F75="",G75=""),"",(E75+F75+G75)/3)</f>
        <v/>
      </c>
      <c r="P75" s="34">
        <f>IF(O75="","",(E75+F75)/2)</f>
        <v/>
      </c>
      <c r="Q75" s="34">
        <f>IF(O75="","",2*O75-P75)</f>
        <v/>
      </c>
      <c r="R75" s="35">
        <f>IF(O75="","",ABS(Q75-P75)/O75)</f>
        <v/>
      </c>
      <c r="S75" s="34">
        <f>IF(O75="","",2*O75-F75)</f>
        <v/>
      </c>
      <c r="T75" s="34">
        <f>IF(O75="","",2*O75-E75)</f>
        <v/>
      </c>
      <c r="U75" s="36" t="n"/>
      <c r="V75" s="36" t="n"/>
      <c r="W75" s="36" t="n"/>
      <c r="X75" s="37" t="n"/>
      <c r="Y75" s="37" t="n"/>
      <c r="Z75" s="36" t="n"/>
      <c r="AA75" s="38" t="n"/>
      <c r="AB75" s="36" t="n"/>
      <c r="AC75" s="37" t="n"/>
      <c r="AD75" s="39">
        <f>IF(A75="","",IFERROR(SUMIFS(TL_Net,TL_Date,_xlfn.MAXIFS(TL_Date,TL_Date,"&lt;"&amp;A75)),0))</f>
        <v/>
      </c>
      <c r="AE75" s="5">
        <f>IF(A75="","",IF(OR(AC75="Y",AND(Z75&lt;&gt;"",N(Z75)&lt;=2),AND(AA75&lt;&gt;"",N(AA75)&lt;6),N(AB75)&gt;=4),"NO TRADE / HALF SIZE","GO"))</f>
        <v/>
      </c>
    </row>
    <row r="76">
      <c r="A76" s="27" t="n"/>
      <c r="B76" s="5">
        <f>IF(A76="","",TEXT(A76,"ddd"))</f>
        <v/>
      </c>
      <c r="C76" s="27" t="n"/>
      <c r="D76" s="28">
        <f>IF(OR(A76="",C76=""),"",MAX(0,NETWORKDAYS(A76,C76)-1))</f>
        <v/>
      </c>
      <c r="E76" s="29" t="n"/>
      <c r="F76" s="29" t="n"/>
      <c r="G76" s="29" t="n"/>
      <c r="H76" s="29" t="n"/>
      <c r="I76" s="30">
        <f>IF(OR(H76="",G76=""),"",H76-G76)</f>
        <v/>
      </c>
      <c r="J76" s="31">
        <f>IF(I76="","",I76/G76)</f>
        <v/>
      </c>
      <c r="K76" s="32" t="n"/>
      <c r="L76" s="33">
        <f>IF(OR(K76="",G76=""),"",G76*K76/100/SQRT(252))</f>
        <v/>
      </c>
      <c r="M76" s="33">
        <f>IF(OR(L76="",H76=""),"",H76-L76)</f>
        <v/>
      </c>
      <c r="N76" s="33">
        <f>IF(OR(L76="",H76=""),"",H76+L76)</f>
        <v/>
      </c>
      <c r="O76" s="34">
        <f>IF(OR(E76="",F76="",G76=""),"",(E76+F76+G76)/3)</f>
        <v/>
      </c>
      <c r="P76" s="34">
        <f>IF(O76="","",(E76+F76)/2)</f>
        <v/>
      </c>
      <c r="Q76" s="34">
        <f>IF(O76="","",2*O76-P76)</f>
        <v/>
      </c>
      <c r="R76" s="35">
        <f>IF(O76="","",ABS(Q76-P76)/O76)</f>
        <v/>
      </c>
      <c r="S76" s="34">
        <f>IF(O76="","",2*O76-F76)</f>
        <v/>
      </c>
      <c r="T76" s="34">
        <f>IF(O76="","",2*O76-E76)</f>
        <v/>
      </c>
      <c r="U76" s="36" t="n"/>
      <c r="V76" s="36" t="n"/>
      <c r="W76" s="36" t="n"/>
      <c r="X76" s="37" t="n"/>
      <c r="Y76" s="37" t="n"/>
      <c r="Z76" s="36" t="n"/>
      <c r="AA76" s="38" t="n"/>
      <c r="AB76" s="36" t="n"/>
      <c r="AC76" s="37" t="n"/>
      <c r="AD76" s="39">
        <f>IF(A76="","",IFERROR(SUMIFS(TL_Net,TL_Date,_xlfn.MAXIFS(TL_Date,TL_Date,"&lt;"&amp;A76)),0))</f>
        <v/>
      </c>
      <c r="AE76" s="5">
        <f>IF(A76="","",IF(OR(AC76="Y",AND(Z76&lt;&gt;"",N(Z76)&lt;=2),AND(AA76&lt;&gt;"",N(AA76)&lt;6),N(AB76)&gt;=4),"NO TRADE / HALF SIZE","GO"))</f>
        <v/>
      </c>
    </row>
    <row r="77">
      <c r="A77" s="27" t="n"/>
      <c r="B77" s="5">
        <f>IF(A77="","",TEXT(A77,"ddd"))</f>
        <v/>
      </c>
      <c r="C77" s="27" t="n"/>
      <c r="D77" s="28">
        <f>IF(OR(A77="",C77=""),"",MAX(0,NETWORKDAYS(A77,C77)-1))</f>
        <v/>
      </c>
      <c r="E77" s="29" t="n"/>
      <c r="F77" s="29" t="n"/>
      <c r="G77" s="29" t="n"/>
      <c r="H77" s="29" t="n"/>
      <c r="I77" s="30">
        <f>IF(OR(H77="",G77=""),"",H77-G77)</f>
        <v/>
      </c>
      <c r="J77" s="31">
        <f>IF(I77="","",I77/G77)</f>
        <v/>
      </c>
      <c r="K77" s="32" t="n"/>
      <c r="L77" s="33">
        <f>IF(OR(K77="",G77=""),"",G77*K77/100/SQRT(252))</f>
        <v/>
      </c>
      <c r="M77" s="33">
        <f>IF(OR(L77="",H77=""),"",H77-L77)</f>
        <v/>
      </c>
      <c r="N77" s="33">
        <f>IF(OR(L77="",H77=""),"",H77+L77)</f>
        <v/>
      </c>
      <c r="O77" s="34">
        <f>IF(OR(E77="",F77="",G77=""),"",(E77+F77+G77)/3)</f>
        <v/>
      </c>
      <c r="P77" s="34">
        <f>IF(O77="","",(E77+F77)/2)</f>
        <v/>
      </c>
      <c r="Q77" s="34">
        <f>IF(O77="","",2*O77-P77)</f>
        <v/>
      </c>
      <c r="R77" s="35">
        <f>IF(O77="","",ABS(Q77-P77)/O77)</f>
        <v/>
      </c>
      <c r="S77" s="34">
        <f>IF(O77="","",2*O77-F77)</f>
        <v/>
      </c>
      <c r="T77" s="34">
        <f>IF(O77="","",2*O77-E77)</f>
        <v/>
      </c>
      <c r="U77" s="36" t="n"/>
      <c r="V77" s="36" t="n"/>
      <c r="W77" s="36" t="n"/>
      <c r="X77" s="37" t="n"/>
      <c r="Y77" s="37" t="n"/>
      <c r="Z77" s="36" t="n"/>
      <c r="AA77" s="38" t="n"/>
      <c r="AB77" s="36" t="n"/>
      <c r="AC77" s="37" t="n"/>
      <c r="AD77" s="39">
        <f>IF(A77="","",IFERROR(SUMIFS(TL_Net,TL_Date,_xlfn.MAXIFS(TL_Date,TL_Date,"&lt;"&amp;A77)),0))</f>
        <v/>
      </c>
      <c r="AE77" s="5">
        <f>IF(A77="","",IF(OR(AC77="Y",AND(Z77&lt;&gt;"",N(Z77)&lt;=2),AND(AA77&lt;&gt;"",N(AA77)&lt;6),N(AB77)&gt;=4),"NO TRADE / HALF SIZE","GO"))</f>
        <v/>
      </c>
    </row>
    <row r="78">
      <c r="A78" s="27" t="n"/>
      <c r="B78" s="5">
        <f>IF(A78="","",TEXT(A78,"ddd"))</f>
        <v/>
      </c>
      <c r="C78" s="27" t="n"/>
      <c r="D78" s="28">
        <f>IF(OR(A78="",C78=""),"",MAX(0,NETWORKDAYS(A78,C78)-1))</f>
        <v/>
      </c>
      <c r="E78" s="29" t="n"/>
      <c r="F78" s="29" t="n"/>
      <c r="G78" s="29" t="n"/>
      <c r="H78" s="29" t="n"/>
      <c r="I78" s="30">
        <f>IF(OR(H78="",G78=""),"",H78-G78)</f>
        <v/>
      </c>
      <c r="J78" s="31">
        <f>IF(I78="","",I78/G78)</f>
        <v/>
      </c>
      <c r="K78" s="32" t="n"/>
      <c r="L78" s="33">
        <f>IF(OR(K78="",G78=""),"",G78*K78/100/SQRT(252))</f>
        <v/>
      </c>
      <c r="M78" s="33">
        <f>IF(OR(L78="",H78=""),"",H78-L78)</f>
        <v/>
      </c>
      <c r="N78" s="33">
        <f>IF(OR(L78="",H78=""),"",H78+L78)</f>
        <v/>
      </c>
      <c r="O78" s="34">
        <f>IF(OR(E78="",F78="",G78=""),"",(E78+F78+G78)/3)</f>
        <v/>
      </c>
      <c r="P78" s="34">
        <f>IF(O78="","",(E78+F78)/2)</f>
        <v/>
      </c>
      <c r="Q78" s="34">
        <f>IF(O78="","",2*O78-P78)</f>
        <v/>
      </c>
      <c r="R78" s="35">
        <f>IF(O78="","",ABS(Q78-P78)/O78)</f>
        <v/>
      </c>
      <c r="S78" s="34">
        <f>IF(O78="","",2*O78-F78)</f>
        <v/>
      </c>
      <c r="T78" s="34">
        <f>IF(O78="","",2*O78-E78)</f>
        <v/>
      </c>
      <c r="U78" s="36" t="n"/>
      <c r="V78" s="36" t="n"/>
      <c r="W78" s="36" t="n"/>
      <c r="X78" s="37" t="n"/>
      <c r="Y78" s="37" t="n"/>
      <c r="Z78" s="36" t="n"/>
      <c r="AA78" s="38" t="n"/>
      <c r="AB78" s="36" t="n"/>
      <c r="AC78" s="37" t="n"/>
      <c r="AD78" s="39">
        <f>IF(A78="","",IFERROR(SUMIFS(TL_Net,TL_Date,_xlfn.MAXIFS(TL_Date,TL_Date,"&lt;"&amp;A78)),0))</f>
        <v/>
      </c>
      <c r="AE78" s="5">
        <f>IF(A78="","",IF(OR(AC78="Y",AND(Z78&lt;&gt;"",N(Z78)&lt;=2),AND(AA78&lt;&gt;"",N(AA78)&lt;6),N(AB78)&gt;=4),"NO TRADE / HALF SIZE","GO"))</f>
        <v/>
      </c>
    </row>
    <row r="79">
      <c r="A79" s="27" t="n"/>
      <c r="B79" s="5">
        <f>IF(A79="","",TEXT(A79,"ddd"))</f>
        <v/>
      </c>
      <c r="C79" s="27" t="n"/>
      <c r="D79" s="28">
        <f>IF(OR(A79="",C79=""),"",MAX(0,NETWORKDAYS(A79,C79)-1))</f>
        <v/>
      </c>
      <c r="E79" s="29" t="n"/>
      <c r="F79" s="29" t="n"/>
      <c r="G79" s="29" t="n"/>
      <c r="H79" s="29" t="n"/>
      <c r="I79" s="30">
        <f>IF(OR(H79="",G79=""),"",H79-G79)</f>
        <v/>
      </c>
      <c r="J79" s="31">
        <f>IF(I79="","",I79/G79)</f>
        <v/>
      </c>
      <c r="K79" s="32" t="n"/>
      <c r="L79" s="33">
        <f>IF(OR(K79="",G79=""),"",G79*K79/100/SQRT(252))</f>
        <v/>
      </c>
      <c r="M79" s="33">
        <f>IF(OR(L79="",H79=""),"",H79-L79)</f>
        <v/>
      </c>
      <c r="N79" s="33">
        <f>IF(OR(L79="",H79=""),"",H79+L79)</f>
        <v/>
      </c>
      <c r="O79" s="34">
        <f>IF(OR(E79="",F79="",G79=""),"",(E79+F79+G79)/3)</f>
        <v/>
      </c>
      <c r="P79" s="34">
        <f>IF(O79="","",(E79+F79)/2)</f>
        <v/>
      </c>
      <c r="Q79" s="34">
        <f>IF(O79="","",2*O79-P79)</f>
        <v/>
      </c>
      <c r="R79" s="35">
        <f>IF(O79="","",ABS(Q79-P79)/O79)</f>
        <v/>
      </c>
      <c r="S79" s="34">
        <f>IF(O79="","",2*O79-F79)</f>
        <v/>
      </c>
      <c r="T79" s="34">
        <f>IF(O79="","",2*O79-E79)</f>
        <v/>
      </c>
      <c r="U79" s="36" t="n"/>
      <c r="V79" s="36" t="n"/>
      <c r="W79" s="36" t="n"/>
      <c r="X79" s="37" t="n"/>
      <c r="Y79" s="37" t="n"/>
      <c r="Z79" s="36" t="n"/>
      <c r="AA79" s="38" t="n"/>
      <c r="AB79" s="36" t="n"/>
      <c r="AC79" s="37" t="n"/>
      <c r="AD79" s="39">
        <f>IF(A79="","",IFERROR(SUMIFS(TL_Net,TL_Date,_xlfn.MAXIFS(TL_Date,TL_Date,"&lt;"&amp;A79)),0))</f>
        <v/>
      </c>
      <c r="AE79" s="5">
        <f>IF(A79="","",IF(OR(AC79="Y",AND(Z79&lt;&gt;"",N(Z79)&lt;=2),AND(AA79&lt;&gt;"",N(AA79)&lt;6),N(AB79)&gt;=4),"NO TRADE / HALF SIZE","GO"))</f>
        <v/>
      </c>
    </row>
    <row r="80">
      <c r="A80" s="27" t="n"/>
      <c r="B80" s="5">
        <f>IF(A80="","",TEXT(A80,"ddd"))</f>
        <v/>
      </c>
      <c r="C80" s="27" t="n"/>
      <c r="D80" s="28">
        <f>IF(OR(A80="",C80=""),"",MAX(0,NETWORKDAYS(A80,C80)-1))</f>
        <v/>
      </c>
      <c r="E80" s="29" t="n"/>
      <c r="F80" s="29" t="n"/>
      <c r="G80" s="29" t="n"/>
      <c r="H80" s="29" t="n"/>
      <c r="I80" s="30">
        <f>IF(OR(H80="",G80=""),"",H80-G80)</f>
        <v/>
      </c>
      <c r="J80" s="31">
        <f>IF(I80="","",I80/G80)</f>
        <v/>
      </c>
      <c r="K80" s="32" t="n"/>
      <c r="L80" s="33">
        <f>IF(OR(K80="",G80=""),"",G80*K80/100/SQRT(252))</f>
        <v/>
      </c>
      <c r="M80" s="33">
        <f>IF(OR(L80="",H80=""),"",H80-L80)</f>
        <v/>
      </c>
      <c r="N80" s="33">
        <f>IF(OR(L80="",H80=""),"",H80+L80)</f>
        <v/>
      </c>
      <c r="O80" s="34">
        <f>IF(OR(E80="",F80="",G80=""),"",(E80+F80+G80)/3)</f>
        <v/>
      </c>
      <c r="P80" s="34">
        <f>IF(O80="","",(E80+F80)/2)</f>
        <v/>
      </c>
      <c r="Q80" s="34">
        <f>IF(O80="","",2*O80-P80)</f>
        <v/>
      </c>
      <c r="R80" s="35">
        <f>IF(O80="","",ABS(Q80-P80)/O80)</f>
        <v/>
      </c>
      <c r="S80" s="34">
        <f>IF(O80="","",2*O80-F80)</f>
        <v/>
      </c>
      <c r="T80" s="34">
        <f>IF(O80="","",2*O80-E80)</f>
        <v/>
      </c>
      <c r="U80" s="36" t="n"/>
      <c r="V80" s="36" t="n"/>
      <c r="W80" s="36" t="n"/>
      <c r="X80" s="37" t="n"/>
      <c r="Y80" s="37" t="n"/>
      <c r="Z80" s="36" t="n"/>
      <c r="AA80" s="38" t="n"/>
      <c r="AB80" s="36" t="n"/>
      <c r="AC80" s="37" t="n"/>
      <c r="AD80" s="39">
        <f>IF(A80="","",IFERROR(SUMIFS(TL_Net,TL_Date,_xlfn.MAXIFS(TL_Date,TL_Date,"&lt;"&amp;A80)),0))</f>
        <v/>
      </c>
      <c r="AE80" s="5">
        <f>IF(A80="","",IF(OR(AC80="Y",AND(Z80&lt;&gt;"",N(Z80)&lt;=2),AND(AA80&lt;&gt;"",N(AA80)&lt;6),N(AB80)&gt;=4),"NO TRADE / HALF SIZE","GO"))</f>
        <v/>
      </c>
    </row>
    <row r="81">
      <c r="A81" s="27" t="n"/>
      <c r="B81" s="5">
        <f>IF(A81="","",TEXT(A81,"ddd"))</f>
        <v/>
      </c>
      <c r="C81" s="27" t="n"/>
      <c r="D81" s="28">
        <f>IF(OR(A81="",C81=""),"",MAX(0,NETWORKDAYS(A81,C81)-1))</f>
        <v/>
      </c>
      <c r="E81" s="29" t="n"/>
      <c r="F81" s="29" t="n"/>
      <c r="G81" s="29" t="n"/>
      <c r="H81" s="29" t="n"/>
      <c r="I81" s="30">
        <f>IF(OR(H81="",G81=""),"",H81-G81)</f>
        <v/>
      </c>
      <c r="J81" s="31">
        <f>IF(I81="","",I81/G81)</f>
        <v/>
      </c>
      <c r="K81" s="32" t="n"/>
      <c r="L81" s="33">
        <f>IF(OR(K81="",G81=""),"",G81*K81/100/SQRT(252))</f>
        <v/>
      </c>
      <c r="M81" s="33">
        <f>IF(OR(L81="",H81=""),"",H81-L81)</f>
        <v/>
      </c>
      <c r="N81" s="33">
        <f>IF(OR(L81="",H81=""),"",H81+L81)</f>
        <v/>
      </c>
      <c r="O81" s="34">
        <f>IF(OR(E81="",F81="",G81=""),"",(E81+F81+G81)/3)</f>
        <v/>
      </c>
      <c r="P81" s="34">
        <f>IF(O81="","",(E81+F81)/2)</f>
        <v/>
      </c>
      <c r="Q81" s="34">
        <f>IF(O81="","",2*O81-P81)</f>
        <v/>
      </c>
      <c r="R81" s="35">
        <f>IF(O81="","",ABS(Q81-P81)/O81)</f>
        <v/>
      </c>
      <c r="S81" s="34">
        <f>IF(O81="","",2*O81-F81)</f>
        <v/>
      </c>
      <c r="T81" s="34">
        <f>IF(O81="","",2*O81-E81)</f>
        <v/>
      </c>
      <c r="U81" s="36" t="n"/>
      <c r="V81" s="36" t="n"/>
      <c r="W81" s="36" t="n"/>
      <c r="X81" s="37" t="n"/>
      <c r="Y81" s="37" t="n"/>
      <c r="Z81" s="36" t="n"/>
      <c r="AA81" s="38" t="n"/>
      <c r="AB81" s="36" t="n"/>
      <c r="AC81" s="37" t="n"/>
      <c r="AD81" s="39">
        <f>IF(A81="","",IFERROR(SUMIFS(TL_Net,TL_Date,_xlfn.MAXIFS(TL_Date,TL_Date,"&lt;"&amp;A81)),0))</f>
        <v/>
      </c>
      <c r="AE81" s="5">
        <f>IF(A81="","",IF(OR(AC81="Y",AND(Z81&lt;&gt;"",N(Z81)&lt;=2),AND(AA81&lt;&gt;"",N(AA81)&lt;6),N(AB81)&gt;=4),"NO TRADE / HALF SIZE","GO"))</f>
        <v/>
      </c>
    </row>
    <row r="82">
      <c r="A82" s="27" t="n"/>
      <c r="B82" s="5">
        <f>IF(A82="","",TEXT(A82,"ddd"))</f>
        <v/>
      </c>
      <c r="C82" s="27" t="n"/>
      <c r="D82" s="28">
        <f>IF(OR(A82="",C82=""),"",MAX(0,NETWORKDAYS(A82,C82)-1))</f>
        <v/>
      </c>
      <c r="E82" s="29" t="n"/>
      <c r="F82" s="29" t="n"/>
      <c r="G82" s="29" t="n"/>
      <c r="H82" s="29" t="n"/>
      <c r="I82" s="30">
        <f>IF(OR(H82="",G82=""),"",H82-G82)</f>
        <v/>
      </c>
      <c r="J82" s="31">
        <f>IF(I82="","",I82/G82)</f>
        <v/>
      </c>
      <c r="K82" s="32" t="n"/>
      <c r="L82" s="33">
        <f>IF(OR(K82="",G82=""),"",G82*K82/100/SQRT(252))</f>
        <v/>
      </c>
      <c r="M82" s="33">
        <f>IF(OR(L82="",H82=""),"",H82-L82)</f>
        <v/>
      </c>
      <c r="N82" s="33">
        <f>IF(OR(L82="",H82=""),"",H82+L82)</f>
        <v/>
      </c>
      <c r="O82" s="34">
        <f>IF(OR(E82="",F82="",G82=""),"",(E82+F82+G82)/3)</f>
        <v/>
      </c>
      <c r="P82" s="34">
        <f>IF(O82="","",(E82+F82)/2)</f>
        <v/>
      </c>
      <c r="Q82" s="34">
        <f>IF(O82="","",2*O82-P82)</f>
        <v/>
      </c>
      <c r="R82" s="35">
        <f>IF(O82="","",ABS(Q82-P82)/O82)</f>
        <v/>
      </c>
      <c r="S82" s="34">
        <f>IF(O82="","",2*O82-F82)</f>
        <v/>
      </c>
      <c r="T82" s="34">
        <f>IF(O82="","",2*O82-E82)</f>
        <v/>
      </c>
      <c r="U82" s="36" t="n"/>
      <c r="V82" s="36" t="n"/>
      <c r="W82" s="36" t="n"/>
      <c r="X82" s="37" t="n"/>
      <c r="Y82" s="37" t="n"/>
      <c r="Z82" s="36" t="n"/>
      <c r="AA82" s="38" t="n"/>
      <c r="AB82" s="36" t="n"/>
      <c r="AC82" s="37" t="n"/>
      <c r="AD82" s="39">
        <f>IF(A82="","",IFERROR(SUMIFS(TL_Net,TL_Date,_xlfn.MAXIFS(TL_Date,TL_Date,"&lt;"&amp;A82)),0))</f>
        <v/>
      </c>
      <c r="AE82" s="5">
        <f>IF(A82="","",IF(OR(AC82="Y",AND(Z82&lt;&gt;"",N(Z82)&lt;=2),AND(AA82&lt;&gt;"",N(AA82)&lt;6),N(AB82)&gt;=4),"NO TRADE / HALF SIZE","GO"))</f>
        <v/>
      </c>
    </row>
    <row r="83">
      <c r="A83" s="27" t="n"/>
      <c r="B83" s="5">
        <f>IF(A83="","",TEXT(A83,"ddd"))</f>
        <v/>
      </c>
      <c r="C83" s="27" t="n"/>
      <c r="D83" s="28">
        <f>IF(OR(A83="",C83=""),"",MAX(0,NETWORKDAYS(A83,C83)-1))</f>
        <v/>
      </c>
      <c r="E83" s="29" t="n"/>
      <c r="F83" s="29" t="n"/>
      <c r="G83" s="29" t="n"/>
      <c r="H83" s="29" t="n"/>
      <c r="I83" s="30">
        <f>IF(OR(H83="",G83=""),"",H83-G83)</f>
        <v/>
      </c>
      <c r="J83" s="31">
        <f>IF(I83="","",I83/G83)</f>
        <v/>
      </c>
      <c r="K83" s="32" t="n"/>
      <c r="L83" s="33">
        <f>IF(OR(K83="",G83=""),"",G83*K83/100/SQRT(252))</f>
        <v/>
      </c>
      <c r="M83" s="33">
        <f>IF(OR(L83="",H83=""),"",H83-L83)</f>
        <v/>
      </c>
      <c r="N83" s="33">
        <f>IF(OR(L83="",H83=""),"",H83+L83)</f>
        <v/>
      </c>
      <c r="O83" s="34">
        <f>IF(OR(E83="",F83="",G83=""),"",(E83+F83+G83)/3)</f>
        <v/>
      </c>
      <c r="P83" s="34">
        <f>IF(O83="","",(E83+F83)/2)</f>
        <v/>
      </c>
      <c r="Q83" s="34">
        <f>IF(O83="","",2*O83-P83)</f>
        <v/>
      </c>
      <c r="R83" s="35">
        <f>IF(O83="","",ABS(Q83-P83)/O83)</f>
        <v/>
      </c>
      <c r="S83" s="34">
        <f>IF(O83="","",2*O83-F83)</f>
        <v/>
      </c>
      <c r="T83" s="34">
        <f>IF(O83="","",2*O83-E83)</f>
        <v/>
      </c>
      <c r="U83" s="36" t="n"/>
      <c r="V83" s="36" t="n"/>
      <c r="W83" s="36" t="n"/>
      <c r="X83" s="37" t="n"/>
      <c r="Y83" s="37" t="n"/>
      <c r="Z83" s="36" t="n"/>
      <c r="AA83" s="38" t="n"/>
      <c r="AB83" s="36" t="n"/>
      <c r="AC83" s="37" t="n"/>
      <c r="AD83" s="39">
        <f>IF(A83="","",IFERROR(SUMIFS(TL_Net,TL_Date,_xlfn.MAXIFS(TL_Date,TL_Date,"&lt;"&amp;A83)),0))</f>
        <v/>
      </c>
      <c r="AE83" s="5">
        <f>IF(A83="","",IF(OR(AC83="Y",AND(Z83&lt;&gt;"",N(Z83)&lt;=2),AND(AA83&lt;&gt;"",N(AA83)&lt;6),N(AB83)&gt;=4),"NO TRADE / HALF SIZE","GO"))</f>
        <v/>
      </c>
    </row>
    <row r="84">
      <c r="A84" s="27" t="n"/>
      <c r="B84" s="5">
        <f>IF(A84="","",TEXT(A84,"ddd"))</f>
        <v/>
      </c>
      <c r="C84" s="27" t="n"/>
      <c r="D84" s="28">
        <f>IF(OR(A84="",C84=""),"",MAX(0,NETWORKDAYS(A84,C84)-1))</f>
        <v/>
      </c>
      <c r="E84" s="29" t="n"/>
      <c r="F84" s="29" t="n"/>
      <c r="G84" s="29" t="n"/>
      <c r="H84" s="29" t="n"/>
      <c r="I84" s="30">
        <f>IF(OR(H84="",G84=""),"",H84-G84)</f>
        <v/>
      </c>
      <c r="J84" s="31">
        <f>IF(I84="","",I84/G84)</f>
        <v/>
      </c>
      <c r="K84" s="32" t="n"/>
      <c r="L84" s="33">
        <f>IF(OR(K84="",G84=""),"",G84*K84/100/SQRT(252))</f>
        <v/>
      </c>
      <c r="M84" s="33">
        <f>IF(OR(L84="",H84=""),"",H84-L84)</f>
        <v/>
      </c>
      <c r="N84" s="33">
        <f>IF(OR(L84="",H84=""),"",H84+L84)</f>
        <v/>
      </c>
      <c r="O84" s="34">
        <f>IF(OR(E84="",F84="",G84=""),"",(E84+F84+G84)/3)</f>
        <v/>
      </c>
      <c r="P84" s="34">
        <f>IF(O84="","",(E84+F84)/2)</f>
        <v/>
      </c>
      <c r="Q84" s="34">
        <f>IF(O84="","",2*O84-P84)</f>
        <v/>
      </c>
      <c r="R84" s="35">
        <f>IF(O84="","",ABS(Q84-P84)/O84)</f>
        <v/>
      </c>
      <c r="S84" s="34">
        <f>IF(O84="","",2*O84-F84)</f>
        <v/>
      </c>
      <c r="T84" s="34">
        <f>IF(O84="","",2*O84-E84)</f>
        <v/>
      </c>
      <c r="U84" s="36" t="n"/>
      <c r="V84" s="36" t="n"/>
      <c r="W84" s="36" t="n"/>
      <c r="X84" s="37" t="n"/>
      <c r="Y84" s="37" t="n"/>
      <c r="Z84" s="36" t="n"/>
      <c r="AA84" s="38" t="n"/>
      <c r="AB84" s="36" t="n"/>
      <c r="AC84" s="37" t="n"/>
      <c r="AD84" s="39">
        <f>IF(A84="","",IFERROR(SUMIFS(TL_Net,TL_Date,_xlfn.MAXIFS(TL_Date,TL_Date,"&lt;"&amp;A84)),0))</f>
        <v/>
      </c>
      <c r="AE84" s="5">
        <f>IF(A84="","",IF(OR(AC84="Y",AND(Z84&lt;&gt;"",N(Z84)&lt;=2),AND(AA84&lt;&gt;"",N(AA84)&lt;6),N(AB84)&gt;=4),"NO TRADE / HALF SIZE","GO"))</f>
        <v/>
      </c>
    </row>
    <row r="85">
      <c r="A85" s="27" t="n"/>
      <c r="B85" s="5">
        <f>IF(A85="","",TEXT(A85,"ddd"))</f>
        <v/>
      </c>
      <c r="C85" s="27" t="n"/>
      <c r="D85" s="28">
        <f>IF(OR(A85="",C85=""),"",MAX(0,NETWORKDAYS(A85,C85)-1))</f>
        <v/>
      </c>
      <c r="E85" s="29" t="n"/>
      <c r="F85" s="29" t="n"/>
      <c r="G85" s="29" t="n"/>
      <c r="H85" s="29" t="n"/>
      <c r="I85" s="30">
        <f>IF(OR(H85="",G85=""),"",H85-G85)</f>
        <v/>
      </c>
      <c r="J85" s="31">
        <f>IF(I85="","",I85/G85)</f>
        <v/>
      </c>
      <c r="K85" s="32" t="n"/>
      <c r="L85" s="33">
        <f>IF(OR(K85="",G85=""),"",G85*K85/100/SQRT(252))</f>
        <v/>
      </c>
      <c r="M85" s="33">
        <f>IF(OR(L85="",H85=""),"",H85-L85)</f>
        <v/>
      </c>
      <c r="N85" s="33">
        <f>IF(OR(L85="",H85=""),"",H85+L85)</f>
        <v/>
      </c>
      <c r="O85" s="34">
        <f>IF(OR(E85="",F85="",G85=""),"",(E85+F85+G85)/3)</f>
        <v/>
      </c>
      <c r="P85" s="34">
        <f>IF(O85="","",(E85+F85)/2)</f>
        <v/>
      </c>
      <c r="Q85" s="34">
        <f>IF(O85="","",2*O85-P85)</f>
        <v/>
      </c>
      <c r="R85" s="35">
        <f>IF(O85="","",ABS(Q85-P85)/O85)</f>
        <v/>
      </c>
      <c r="S85" s="34">
        <f>IF(O85="","",2*O85-F85)</f>
        <v/>
      </c>
      <c r="T85" s="34">
        <f>IF(O85="","",2*O85-E85)</f>
        <v/>
      </c>
      <c r="U85" s="36" t="n"/>
      <c r="V85" s="36" t="n"/>
      <c r="W85" s="36" t="n"/>
      <c r="X85" s="37" t="n"/>
      <c r="Y85" s="37" t="n"/>
      <c r="Z85" s="36" t="n"/>
      <c r="AA85" s="38" t="n"/>
      <c r="AB85" s="36" t="n"/>
      <c r="AC85" s="37" t="n"/>
      <c r="AD85" s="39">
        <f>IF(A85="","",IFERROR(SUMIFS(TL_Net,TL_Date,_xlfn.MAXIFS(TL_Date,TL_Date,"&lt;"&amp;A85)),0))</f>
        <v/>
      </c>
      <c r="AE85" s="5">
        <f>IF(A85="","",IF(OR(AC85="Y",AND(Z85&lt;&gt;"",N(Z85)&lt;=2),AND(AA85&lt;&gt;"",N(AA85)&lt;6),N(AB85)&gt;=4),"NO TRADE / HALF SIZE","GO"))</f>
        <v/>
      </c>
    </row>
    <row r="86">
      <c r="A86" s="27" t="n"/>
      <c r="B86" s="5">
        <f>IF(A86="","",TEXT(A86,"ddd"))</f>
        <v/>
      </c>
      <c r="C86" s="27" t="n"/>
      <c r="D86" s="28">
        <f>IF(OR(A86="",C86=""),"",MAX(0,NETWORKDAYS(A86,C86)-1))</f>
        <v/>
      </c>
      <c r="E86" s="29" t="n"/>
      <c r="F86" s="29" t="n"/>
      <c r="G86" s="29" t="n"/>
      <c r="H86" s="29" t="n"/>
      <c r="I86" s="30">
        <f>IF(OR(H86="",G86=""),"",H86-G86)</f>
        <v/>
      </c>
      <c r="J86" s="31">
        <f>IF(I86="","",I86/G86)</f>
        <v/>
      </c>
      <c r="K86" s="32" t="n"/>
      <c r="L86" s="33">
        <f>IF(OR(K86="",G86=""),"",G86*K86/100/SQRT(252))</f>
        <v/>
      </c>
      <c r="M86" s="33">
        <f>IF(OR(L86="",H86=""),"",H86-L86)</f>
        <v/>
      </c>
      <c r="N86" s="33">
        <f>IF(OR(L86="",H86=""),"",H86+L86)</f>
        <v/>
      </c>
      <c r="O86" s="34">
        <f>IF(OR(E86="",F86="",G86=""),"",(E86+F86+G86)/3)</f>
        <v/>
      </c>
      <c r="P86" s="34">
        <f>IF(O86="","",(E86+F86)/2)</f>
        <v/>
      </c>
      <c r="Q86" s="34">
        <f>IF(O86="","",2*O86-P86)</f>
        <v/>
      </c>
      <c r="R86" s="35">
        <f>IF(O86="","",ABS(Q86-P86)/O86)</f>
        <v/>
      </c>
      <c r="S86" s="34">
        <f>IF(O86="","",2*O86-F86)</f>
        <v/>
      </c>
      <c r="T86" s="34">
        <f>IF(O86="","",2*O86-E86)</f>
        <v/>
      </c>
      <c r="U86" s="36" t="n"/>
      <c r="V86" s="36" t="n"/>
      <c r="W86" s="36" t="n"/>
      <c r="X86" s="37" t="n"/>
      <c r="Y86" s="37" t="n"/>
      <c r="Z86" s="36" t="n"/>
      <c r="AA86" s="38" t="n"/>
      <c r="AB86" s="36" t="n"/>
      <c r="AC86" s="37" t="n"/>
      <c r="AD86" s="39">
        <f>IF(A86="","",IFERROR(SUMIFS(TL_Net,TL_Date,_xlfn.MAXIFS(TL_Date,TL_Date,"&lt;"&amp;A86)),0))</f>
        <v/>
      </c>
      <c r="AE86" s="5">
        <f>IF(A86="","",IF(OR(AC86="Y",AND(Z86&lt;&gt;"",N(Z86)&lt;=2),AND(AA86&lt;&gt;"",N(AA86)&lt;6),N(AB86)&gt;=4),"NO TRADE / HALF SIZE","GO"))</f>
        <v/>
      </c>
    </row>
    <row r="87">
      <c r="A87" s="27" t="n"/>
      <c r="B87" s="5">
        <f>IF(A87="","",TEXT(A87,"ddd"))</f>
        <v/>
      </c>
      <c r="C87" s="27" t="n"/>
      <c r="D87" s="28">
        <f>IF(OR(A87="",C87=""),"",MAX(0,NETWORKDAYS(A87,C87)-1))</f>
        <v/>
      </c>
      <c r="E87" s="29" t="n"/>
      <c r="F87" s="29" t="n"/>
      <c r="G87" s="29" t="n"/>
      <c r="H87" s="29" t="n"/>
      <c r="I87" s="30">
        <f>IF(OR(H87="",G87=""),"",H87-G87)</f>
        <v/>
      </c>
      <c r="J87" s="31">
        <f>IF(I87="","",I87/G87)</f>
        <v/>
      </c>
      <c r="K87" s="32" t="n"/>
      <c r="L87" s="33">
        <f>IF(OR(K87="",G87=""),"",G87*K87/100/SQRT(252))</f>
        <v/>
      </c>
      <c r="M87" s="33">
        <f>IF(OR(L87="",H87=""),"",H87-L87)</f>
        <v/>
      </c>
      <c r="N87" s="33">
        <f>IF(OR(L87="",H87=""),"",H87+L87)</f>
        <v/>
      </c>
      <c r="O87" s="34">
        <f>IF(OR(E87="",F87="",G87=""),"",(E87+F87+G87)/3)</f>
        <v/>
      </c>
      <c r="P87" s="34">
        <f>IF(O87="","",(E87+F87)/2)</f>
        <v/>
      </c>
      <c r="Q87" s="34">
        <f>IF(O87="","",2*O87-P87)</f>
        <v/>
      </c>
      <c r="R87" s="35">
        <f>IF(O87="","",ABS(Q87-P87)/O87)</f>
        <v/>
      </c>
      <c r="S87" s="34">
        <f>IF(O87="","",2*O87-F87)</f>
        <v/>
      </c>
      <c r="T87" s="34">
        <f>IF(O87="","",2*O87-E87)</f>
        <v/>
      </c>
      <c r="U87" s="36" t="n"/>
      <c r="V87" s="36" t="n"/>
      <c r="W87" s="36" t="n"/>
      <c r="X87" s="37" t="n"/>
      <c r="Y87" s="37" t="n"/>
      <c r="Z87" s="36" t="n"/>
      <c r="AA87" s="38" t="n"/>
      <c r="AB87" s="36" t="n"/>
      <c r="AC87" s="37" t="n"/>
      <c r="AD87" s="39">
        <f>IF(A87="","",IFERROR(SUMIFS(TL_Net,TL_Date,_xlfn.MAXIFS(TL_Date,TL_Date,"&lt;"&amp;A87)),0))</f>
        <v/>
      </c>
      <c r="AE87" s="5">
        <f>IF(A87="","",IF(OR(AC87="Y",AND(Z87&lt;&gt;"",N(Z87)&lt;=2),AND(AA87&lt;&gt;"",N(AA87)&lt;6),N(AB87)&gt;=4),"NO TRADE / HALF SIZE","GO"))</f>
        <v/>
      </c>
    </row>
    <row r="88">
      <c r="A88" s="27" t="n"/>
      <c r="B88" s="5">
        <f>IF(A88="","",TEXT(A88,"ddd"))</f>
        <v/>
      </c>
      <c r="C88" s="27" t="n"/>
      <c r="D88" s="28">
        <f>IF(OR(A88="",C88=""),"",MAX(0,NETWORKDAYS(A88,C88)-1))</f>
        <v/>
      </c>
      <c r="E88" s="29" t="n"/>
      <c r="F88" s="29" t="n"/>
      <c r="G88" s="29" t="n"/>
      <c r="H88" s="29" t="n"/>
      <c r="I88" s="30">
        <f>IF(OR(H88="",G88=""),"",H88-G88)</f>
        <v/>
      </c>
      <c r="J88" s="31">
        <f>IF(I88="","",I88/G88)</f>
        <v/>
      </c>
      <c r="K88" s="32" t="n"/>
      <c r="L88" s="33">
        <f>IF(OR(K88="",G88=""),"",G88*K88/100/SQRT(252))</f>
        <v/>
      </c>
      <c r="M88" s="33">
        <f>IF(OR(L88="",H88=""),"",H88-L88)</f>
        <v/>
      </c>
      <c r="N88" s="33">
        <f>IF(OR(L88="",H88=""),"",H88+L88)</f>
        <v/>
      </c>
      <c r="O88" s="34">
        <f>IF(OR(E88="",F88="",G88=""),"",(E88+F88+G88)/3)</f>
        <v/>
      </c>
      <c r="P88" s="34">
        <f>IF(O88="","",(E88+F88)/2)</f>
        <v/>
      </c>
      <c r="Q88" s="34">
        <f>IF(O88="","",2*O88-P88)</f>
        <v/>
      </c>
      <c r="R88" s="35">
        <f>IF(O88="","",ABS(Q88-P88)/O88)</f>
        <v/>
      </c>
      <c r="S88" s="34">
        <f>IF(O88="","",2*O88-F88)</f>
        <v/>
      </c>
      <c r="T88" s="34">
        <f>IF(O88="","",2*O88-E88)</f>
        <v/>
      </c>
      <c r="U88" s="36" t="n"/>
      <c r="V88" s="36" t="n"/>
      <c r="W88" s="36" t="n"/>
      <c r="X88" s="37" t="n"/>
      <c r="Y88" s="37" t="n"/>
      <c r="Z88" s="36" t="n"/>
      <c r="AA88" s="38" t="n"/>
      <c r="AB88" s="36" t="n"/>
      <c r="AC88" s="37" t="n"/>
      <c r="AD88" s="39">
        <f>IF(A88="","",IFERROR(SUMIFS(TL_Net,TL_Date,_xlfn.MAXIFS(TL_Date,TL_Date,"&lt;"&amp;A88)),0))</f>
        <v/>
      </c>
      <c r="AE88" s="5">
        <f>IF(A88="","",IF(OR(AC88="Y",AND(Z88&lt;&gt;"",N(Z88)&lt;=2),AND(AA88&lt;&gt;"",N(AA88)&lt;6),N(AB88)&gt;=4),"NO TRADE / HALF SIZE","GO"))</f>
        <v/>
      </c>
    </row>
    <row r="89">
      <c r="A89" s="27" t="n"/>
      <c r="B89" s="5">
        <f>IF(A89="","",TEXT(A89,"ddd"))</f>
        <v/>
      </c>
      <c r="C89" s="27" t="n"/>
      <c r="D89" s="28">
        <f>IF(OR(A89="",C89=""),"",MAX(0,NETWORKDAYS(A89,C89)-1))</f>
        <v/>
      </c>
      <c r="E89" s="29" t="n"/>
      <c r="F89" s="29" t="n"/>
      <c r="G89" s="29" t="n"/>
      <c r="H89" s="29" t="n"/>
      <c r="I89" s="30">
        <f>IF(OR(H89="",G89=""),"",H89-G89)</f>
        <v/>
      </c>
      <c r="J89" s="31">
        <f>IF(I89="","",I89/G89)</f>
        <v/>
      </c>
      <c r="K89" s="32" t="n"/>
      <c r="L89" s="33">
        <f>IF(OR(K89="",G89=""),"",G89*K89/100/SQRT(252))</f>
        <v/>
      </c>
      <c r="M89" s="33">
        <f>IF(OR(L89="",H89=""),"",H89-L89)</f>
        <v/>
      </c>
      <c r="N89" s="33">
        <f>IF(OR(L89="",H89=""),"",H89+L89)</f>
        <v/>
      </c>
      <c r="O89" s="34">
        <f>IF(OR(E89="",F89="",G89=""),"",(E89+F89+G89)/3)</f>
        <v/>
      </c>
      <c r="P89" s="34">
        <f>IF(O89="","",(E89+F89)/2)</f>
        <v/>
      </c>
      <c r="Q89" s="34">
        <f>IF(O89="","",2*O89-P89)</f>
        <v/>
      </c>
      <c r="R89" s="35">
        <f>IF(O89="","",ABS(Q89-P89)/O89)</f>
        <v/>
      </c>
      <c r="S89" s="34">
        <f>IF(O89="","",2*O89-F89)</f>
        <v/>
      </c>
      <c r="T89" s="34">
        <f>IF(O89="","",2*O89-E89)</f>
        <v/>
      </c>
      <c r="U89" s="36" t="n"/>
      <c r="V89" s="36" t="n"/>
      <c r="W89" s="36" t="n"/>
      <c r="X89" s="37" t="n"/>
      <c r="Y89" s="37" t="n"/>
      <c r="Z89" s="36" t="n"/>
      <c r="AA89" s="38" t="n"/>
      <c r="AB89" s="36" t="n"/>
      <c r="AC89" s="37" t="n"/>
      <c r="AD89" s="39">
        <f>IF(A89="","",IFERROR(SUMIFS(TL_Net,TL_Date,_xlfn.MAXIFS(TL_Date,TL_Date,"&lt;"&amp;A89)),0))</f>
        <v/>
      </c>
      <c r="AE89" s="5">
        <f>IF(A89="","",IF(OR(AC89="Y",AND(Z89&lt;&gt;"",N(Z89)&lt;=2),AND(AA89&lt;&gt;"",N(AA89)&lt;6),N(AB89)&gt;=4),"NO TRADE / HALF SIZE","GO"))</f>
        <v/>
      </c>
    </row>
    <row r="90">
      <c r="A90" s="27" t="n"/>
      <c r="B90" s="5">
        <f>IF(A90="","",TEXT(A90,"ddd"))</f>
        <v/>
      </c>
      <c r="C90" s="27" t="n"/>
      <c r="D90" s="28">
        <f>IF(OR(A90="",C90=""),"",MAX(0,NETWORKDAYS(A90,C90)-1))</f>
        <v/>
      </c>
      <c r="E90" s="29" t="n"/>
      <c r="F90" s="29" t="n"/>
      <c r="G90" s="29" t="n"/>
      <c r="H90" s="29" t="n"/>
      <c r="I90" s="30">
        <f>IF(OR(H90="",G90=""),"",H90-G90)</f>
        <v/>
      </c>
      <c r="J90" s="31">
        <f>IF(I90="","",I90/G90)</f>
        <v/>
      </c>
      <c r="K90" s="32" t="n"/>
      <c r="L90" s="33">
        <f>IF(OR(K90="",G90=""),"",G90*K90/100/SQRT(252))</f>
        <v/>
      </c>
      <c r="M90" s="33">
        <f>IF(OR(L90="",H90=""),"",H90-L90)</f>
        <v/>
      </c>
      <c r="N90" s="33">
        <f>IF(OR(L90="",H90=""),"",H90+L90)</f>
        <v/>
      </c>
      <c r="O90" s="34">
        <f>IF(OR(E90="",F90="",G90=""),"",(E90+F90+G90)/3)</f>
        <v/>
      </c>
      <c r="P90" s="34">
        <f>IF(O90="","",(E90+F90)/2)</f>
        <v/>
      </c>
      <c r="Q90" s="34">
        <f>IF(O90="","",2*O90-P90)</f>
        <v/>
      </c>
      <c r="R90" s="35">
        <f>IF(O90="","",ABS(Q90-P90)/O90)</f>
        <v/>
      </c>
      <c r="S90" s="34">
        <f>IF(O90="","",2*O90-F90)</f>
        <v/>
      </c>
      <c r="T90" s="34">
        <f>IF(O90="","",2*O90-E90)</f>
        <v/>
      </c>
      <c r="U90" s="36" t="n"/>
      <c r="V90" s="36" t="n"/>
      <c r="W90" s="36" t="n"/>
      <c r="X90" s="37" t="n"/>
      <c r="Y90" s="37" t="n"/>
      <c r="Z90" s="36" t="n"/>
      <c r="AA90" s="38" t="n"/>
      <c r="AB90" s="36" t="n"/>
      <c r="AC90" s="37" t="n"/>
      <c r="AD90" s="39">
        <f>IF(A90="","",IFERROR(SUMIFS(TL_Net,TL_Date,_xlfn.MAXIFS(TL_Date,TL_Date,"&lt;"&amp;A90)),0))</f>
        <v/>
      </c>
      <c r="AE90" s="5">
        <f>IF(A90="","",IF(OR(AC90="Y",AND(Z90&lt;&gt;"",N(Z90)&lt;=2),AND(AA90&lt;&gt;"",N(AA90)&lt;6),N(AB90)&gt;=4),"NO TRADE / HALF SIZE","GO"))</f>
        <v/>
      </c>
    </row>
    <row r="91">
      <c r="A91" s="27" t="n"/>
      <c r="B91" s="5">
        <f>IF(A91="","",TEXT(A91,"ddd"))</f>
        <v/>
      </c>
      <c r="C91" s="27" t="n"/>
      <c r="D91" s="28">
        <f>IF(OR(A91="",C91=""),"",MAX(0,NETWORKDAYS(A91,C91)-1))</f>
        <v/>
      </c>
      <c r="E91" s="29" t="n"/>
      <c r="F91" s="29" t="n"/>
      <c r="G91" s="29" t="n"/>
      <c r="H91" s="29" t="n"/>
      <c r="I91" s="30">
        <f>IF(OR(H91="",G91=""),"",H91-G91)</f>
        <v/>
      </c>
      <c r="J91" s="31">
        <f>IF(I91="","",I91/G91)</f>
        <v/>
      </c>
      <c r="K91" s="32" t="n"/>
      <c r="L91" s="33">
        <f>IF(OR(K91="",G91=""),"",G91*K91/100/SQRT(252))</f>
        <v/>
      </c>
      <c r="M91" s="33">
        <f>IF(OR(L91="",H91=""),"",H91-L91)</f>
        <v/>
      </c>
      <c r="N91" s="33">
        <f>IF(OR(L91="",H91=""),"",H91+L91)</f>
        <v/>
      </c>
      <c r="O91" s="34">
        <f>IF(OR(E91="",F91="",G91=""),"",(E91+F91+G91)/3)</f>
        <v/>
      </c>
      <c r="P91" s="34">
        <f>IF(O91="","",(E91+F91)/2)</f>
        <v/>
      </c>
      <c r="Q91" s="34">
        <f>IF(O91="","",2*O91-P91)</f>
        <v/>
      </c>
      <c r="R91" s="35">
        <f>IF(O91="","",ABS(Q91-P91)/O91)</f>
        <v/>
      </c>
      <c r="S91" s="34">
        <f>IF(O91="","",2*O91-F91)</f>
        <v/>
      </c>
      <c r="T91" s="34">
        <f>IF(O91="","",2*O91-E91)</f>
        <v/>
      </c>
      <c r="U91" s="36" t="n"/>
      <c r="V91" s="36" t="n"/>
      <c r="W91" s="36" t="n"/>
      <c r="X91" s="37" t="n"/>
      <c r="Y91" s="37" t="n"/>
      <c r="Z91" s="36" t="n"/>
      <c r="AA91" s="38" t="n"/>
      <c r="AB91" s="36" t="n"/>
      <c r="AC91" s="37" t="n"/>
      <c r="AD91" s="39">
        <f>IF(A91="","",IFERROR(SUMIFS(TL_Net,TL_Date,_xlfn.MAXIFS(TL_Date,TL_Date,"&lt;"&amp;A91)),0))</f>
        <v/>
      </c>
      <c r="AE91" s="5">
        <f>IF(A91="","",IF(OR(AC91="Y",AND(Z91&lt;&gt;"",N(Z91)&lt;=2),AND(AA91&lt;&gt;"",N(AA91)&lt;6),N(AB91)&gt;=4),"NO TRADE / HALF SIZE","GO"))</f>
        <v/>
      </c>
    </row>
    <row r="92">
      <c r="A92" s="27" t="n"/>
      <c r="B92" s="5">
        <f>IF(A92="","",TEXT(A92,"ddd"))</f>
        <v/>
      </c>
      <c r="C92" s="27" t="n"/>
      <c r="D92" s="28">
        <f>IF(OR(A92="",C92=""),"",MAX(0,NETWORKDAYS(A92,C92)-1))</f>
        <v/>
      </c>
      <c r="E92" s="29" t="n"/>
      <c r="F92" s="29" t="n"/>
      <c r="G92" s="29" t="n"/>
      <c r="H92" s="29" t="n"/>
      <c r="I92" s="30">
        <f>IF(OR(H92="",G92=""),"",H92-G92)</f>
        <v/>
      </c>
      <c r="J92" s="31">
        <f>IF(I92="","",I92/G92)</f>
        <v/>
      </c>
      <c r="K92" s="32" t="n"/>
      <c r="L92" s="33">
        <f>IF(OR(K92="",G92=""),"",G92*K92/100/SQRT(252))</f>
        <v/>
      </c>
      <c r="M92" s="33">
        <f>IF(OR(L92="",H92=""),"",H92-L92)</f>
        <v/>
      </c>
      <c r="N92" s="33">
        <f>IF(OR(L92="",H92=""),"",H92+L92)</f>
        <v/>
      </c>
      <c r="O92" s="34">
        <f>IF(OR(E92="",F92="",G92=""),"",(E92+F92+G92)/3)</f>
        <v/>
      </c>
      <c r="P92" s="34">
        <f>IF(O92="","",(E92+F92)/2)</f>
        <v/>
      </c>
      <c r="Q92" s="34">
        <f>IF(O92="","",2*O92-P92)</f>
        <v/>
      </c>
      <c r="R92" s="35">
        <f>IF(O92="","",ABS(Q92-P92)/O92)</f>
        <v/>
      </c>
      <c r="S92" s="34">
        <f>IF(O92="","",2*O92-F92)</f>
        <v/>
      </c>
      <c r="T92" s="34">
        <f>IF(O92="","",2*O92-E92)</f>
        <v/>
      </c>
      <c r="U92" s="36" t="n"/>
      <c r="V92" s="36" t="n"/>
      <c r="W92" s="36" t="n"/>
      <c r="X92" s="37" t="n"/>
      <c r="Y92" s="37" t="n"/>
      <c r="Z92" s="36" t="n"/>
      <c r="AA92" s="38" t="n"/>
      <c r="AB92" s="36" t="n"/>
      <c r="AC92" s="37" t="n"/>
      <c r="AD92" s="39">
        <f>IF(A92="","",IFERROR(SUMIFS(TL_Net,TL_Date,_xlfn.MAXIFS(TL_Date,TL_Date,"&lt;"&amp;A92)),0))</f>
        <v/>
      </c>
      <c r="AE92" s="5">
        <f>IF(A92="","",IF(OR(AC92="Y",AND(Z92&lt;&gt;"",N(Z92)&lt;=2),AND(AA92&lt;&gt;"",N(AA92)&lt;6),N(AB92)&gt;=4),"NO TRADE / HALF SIZE","GO"))</f>
        <v/>
      </c>
    </row>
    <row r="93">
      <c r="A93" s="27" t="n"/>
      <c r="B93" s="5">
        <f>IF(A93="","",TEXT(A93,"ddd"))</f>
        <v/>
      </c>
      <c r="C93" s="27" t="n"/>
      <c r="D93" s="28">
        <f>IF(OR(A93="",C93=""),"",MAX(0,NETWORKDAYS(A93,C93)-1))</f>
        <v/>
      </c>
      <c r="E93" s="29" t="n"/>
      <c r="F93" s="29" t="n"/>
      <c r="G93" s="29" t="n"/>
      <c r="H93" s="29" t="n"/>
      <c r="I93" s="30">
        <f>IF(OR(H93="",G93=""),"",H93-G93)</f>
        <v/>
      </c>
      <c r="J93" s="31">
        <f>IF(I93="","",I93/G93)</f>
        <v/>
      </c>
      <c r="K93" s="32" t="n"/>
      <c r="L93" s="33">
        <f>IF(OR(K93="",G93=""),"",G93*K93/100/SQRT(252))</f>
        <v/>
      </c>
      <c r="M93" s="33">
        <f>IF(OR(L93="",H93=""),"",H93-L93)</f>
        <v/>
      </c>
      <c r="N93" s="33">
        <f>IF(OR(L93="",H93=""),"",H93+L93)</f>
        <v/>
      </c>
      <c r="O93" s="34">
        <f>IF(OR(E93="",F93="",G93=""),"",(E93+F93+G93)/3)</f>
        <v/>
      </c>
      <c r="P93" s="34">
        <f>IF(O93="","",(E93+F93)/2)</f>
        <v/>
      </c>
      <c r="Q93" s="34">
        <f>IF(O93="","",2*O93-P93)</f>
        <v/>
      </c>
      <c r="R93" s="35">
        <f>IF(O93="","",ABS(Q93-P93)/O93)</f>
        <v/>
      </c>
      <c r="S93" s="34">
        <f>IF(O93="","",2*O93-F93)</f>
        <v/>
      </c>
      <c r="T93" s="34">
        <f>IF(O93="","",2*O93-E93)</f>
        <v/>
      </c>
      <c r="U93" s="36" t="n"/>
      <c r="V93" s="36" t="n"/>
      <c r="W93" s="36" t="n"/>
      <c r="X93" s="37" t="n"/>
      <c r="Y93" s="37" t="n"/>
      <c r="Z93" s="36" t="n"/>
      <c r="AA93" s="38" t="n"/>
      <c r="AB93" s="36" t="n"/>
      <c r="AC93" s="37" t="n"/>
      <c r="AD93" s="39">
        <f>IF(A93="","",IFERROR(SUMIFS(TL_Net,TL_Date,_xlfn.MAXIFS(TL_Date,TL_Date,"&lt;"&amp;A93)),0))</f>
        <v/>
      </c>
      <c r="AE93" s="5">
        <f>IF(A93="","",IF(OR(AC93="Y",AND(Z93&lt;&gt;"",N(Z93)&lt;=2),AND(AA93&lt;&gt;"",N(AA93)&lt;6),N(AB93)&gt;=4),"NO TRADE / HALF SIZE","GO"))</f>
        <v/>
      </c>
    </row>
    <row r="94">
      <c r="A94" s="27" t="n"/>
      <c r="B94" s="5">
        <f>IF(A94="","",TEXT(A94,"ddd"))</f>
        <v/>
      </c>
      <c r="C94" s="27" t="n"/>
      <c r="D94" s="28">
        <f>IF(OR(A94="",C94=""),"",MAX(0,NETWORKDAYS(A94,C94)-1))</f>
        <v/>
      </c>
      <c r="E94" s="29" t="n"/>
      <c r="F94" s="29" t="n"/>
      <c r="G94" s="29" t="n"/>
      <c r="H94" s="29" t="n"/>
      <c r="I94" s="30">
        <f>IF(OR(H94="",G94=""),"",H94-G94)</f>
        <v/>
      </c>
      <c r="J94" s="31">
        <f>IF(I94="","",I94/G94)</f>
        <v/>
      </c>
      <c r="K94" s="32" t="n"/>
      <c r="L94" s="33">
        <f>IF(OR(K94="",G94=""),"",G94*K94/100/SQRT(252))</f>
        <v/>
      </c>
      <c r="M94" s="33">
        <f>IF(OR(L94="",H94=""),"",H94-L94)</f>
        <v/>
      </c>
      <c r="N94" s="33">
        <f>IF(OR(L94="",H94=""),"",H94+L94)</f>
        <v/>
      </c>
      <c r="O94" s="34">
        <f>IF(OR(E94="",F94="",G94=""),"",(E94+F94+G94)/3)</f>
        <v/>
      </c>
      <c r="P94" s="34">
        <f>IF(O94="","",(E94+F94)/2)</f>
        <v/>
      </c>
      <c r="Q94" s="34">
        <f>IF(O94="","",2*O94-P94)</f>
        <v/>
      </c>
      <c r="R94" s="35">
        <f>IF(O94="","",ABS(Q94-P94)/O94)</f>
        <v/>
      </c>
      <c r="S94" s="34">
        <f>IF(O94="","",2*O94-F94)</f>
        <v/>
      </c>
      <c r="T94" s="34">
        <f>IF(O94="","",2*O94-E94)</f>
        <v/>
      </c>
      <c r="U94" s="36" t="n"/>
      <c r="V94" s="36" t="n"/>
      <c r="W94" s="36" t="n"/>
      <c r="X94" s="37" t="n"/>
      <c r="Y94" s="37" t="n"/>
      <c r="Z94" s="36" t="n"/>
      <c r="AA94" s="38" t="n"/>
      <c r="AB94" s="36" t="n"/>
      <c r="AC94" s="37" t="n"/>
      <c r="AD94" s="39">
        <f>IF(A94="","",IFERROR(SUMIFS(TL_Net,TL_Date,_xlfn.MAXIFS(TL_Date,TL_Date,"&lt;"&amp;A94)),0))</f>
        <v/>
      </c>
      <c r="AE94" s="5">
        <f>IF(A94="","",IF(OR(AC94="Y",AND(Z94&lt;&gt;"",N(Z94)&lt;=2),AND(AA94&lt;&gt;"",N(AA94)&lt;6),N(AB94)&gt;=4),"NO TRADE / HALF SIZE","GO"))</f>
        <v/>
      </c>
    </row>
    <row r="95">
      <c r="A95" s="27" t="n"/>
      <c r="B95" s="5">
        <f>IF(A95="","",TEXT(A95,"ddd"))</f>
        <v/>
      </c>
      <c r="C95" s="27" t="n"/>
      <c r="D95" s="28">
        <f>IF(OR(A95="",C95=""),"",MAX(0,NETWORKDAYS(A95,C95)-1))</f>
        <v/>
      </c>
      <c r="E95" s="29" t="n"/>
      <c r="F95" s="29" t="n"/>
      <c r="G95" s="29" t="n"/>
      <c r="H95" s="29" t="n"/>
      <c r="I95" s="30">
        <f>IF(OR(H95="",G95=""),"",H95-G95)</f>
        <v/>
      </c>
      <c r="J95" s="31">
        <f>IF(I95="","",I95/G95)</f>
        <v/>
      </c>
      <c r="K95" s="32" t="n"/>
      <c r="L95" s="33">
        <f>IF(OR(K95="",G95=""),"",G95*K95/100/SQRT(252))</f>
        <v/>
      </c>
      <c r="M95" s="33">
        <f>IF(OR(L95="",H95=""),"",H95-L95)</f>
        <v/>
      </c>
      <c r="N95" s="33">
        <f>IF(OR(L95="",H95=""),"",H95+L95)</f>
        <v/>
      </c>
      <c r="O95" s="34">
        <f>IF(OR(E95="",F95="",G95=""),"",(E95+F95+G95)/3)</f>
        <v/>
      </c>
      <c r="P95" s="34">
        <f>IF(O95="","",(E95+F95)/2)</f>
        <v/>
      </c>
      <c r="Q95" s="34">
        <f>IF(O95="","",2*O95-P95)</f>
        <v/>
      </c>
      <c r="R95" s="35">
        <f>IF(O95="","",ABS(Q95-P95)/O95)</f>
        <v/>
      </c>
      <c r="S95" s="34">
        <f>IF(O95="","",2*O95-F95)</f>
        <v/>
      </c>
      <c r="T95" s="34">
        <f>IF(O95="","",2*O95-E95)</f>
        <v/>
      </c>
      <c r="U95" s="36" t="n"/>
      <c r="V95" s="36" t="n"/>
      <c r="W95" s="36" t="n"/>
      <c r="X95" s="37" t="n"/>
      <c r="Y95" s="37" t="n"/>
      <c r="Z95" s="36" t="n"/>
      <c r="AA95" s="38" t="n"/>
      <c r="AB95" s="36" t="n"/>
      <c r="AC95" s="37" t="n"/>
      <c r="AD95" s="39">
        <f>IF(A95="","",IFERROR(SUMIFS(TL_Net,TL_Date,_xlfn.MAXIFS(TL_Date,TL_Date,"&lt;"&amp;A95)),0))</f>
        <v/>
      </c>
      <c r="AE95" s="5">
        <f>IF(A95="","",IF(OR(AC95="Y",AND(Z95&lt;&gt;"",N(Z95)&lt;=2),AND(AA95&lt;&gt;"",N(AA95)&lt;6),N(AB95)&gt;=4),"NO TRADE / HALF SIZE","GO"))</f>
        <v/>
      </c>
    </row>
    <row r="96">
      <c r="A96" s="27" t="n"/>
      <c r="B96" s="5">
        <f>IF(A96="","",TEXT(A96,"ddd"))</f>
        <v/>
      </c>
      <c r="C96" s="27" t="n"/>
      <c r="D96" s="28">
        <f>IF(OR(A96="",C96=""),"",MAX(0,NETWORKDAYS(A96,C96)-1))</f>
        <v/>
      </c>
      <c r="E96" s="29" t="n"/>
      <c r="F96" s="29" t="n"/>
      <c r="G96" s="29" t="n"/>
      <c r="H96" s="29" t="n"/>
      <c r="I96" s="30">
        <f>IF(OR(H96="",G96=""),"",H96-G96)</f>
        <v/>
      </c>
      <c r="J96" s="31">
        <f>IF(I96="","",I96/G96)</f>
        <v/>
      </c>
      <c r="K96" s="32" t="n"/>
      <c r="L96" s="33">
        <f>IF(OR(K96="",G96=""),"",G96*K96/100/SQRT(252))</f>
        <v/>
      </c>
      <c r="M96" s="33">
        <f>IF(OR(L96="",H96=""),"",H96-L96)</f>
        <v/>
      </c>
      <c r="N96" s="33">
        <f>IF(OR(L96="",H96=""),"",H96+L96)</f>
        <v/>
      </c>
      <c r="O96" s="34">
        <f>IF(OR(E96="",F96="",G96=""),"",(E96+F96+G96)/3)</f>
        <v/>
      </c>
      <c r="P96" s="34">
        <f>IF(O96="","",(E96+F96)/2)</f>
        <v/>
      </c>
      <c r="Q96" s="34">
        <f>IF(O96="","",2*O96-P96)</f>
        <v/>
      </c>
      <c r="R96" s="35">
        <f>IF(O96="","",ABS(Q96-P96)/O96)</f>
        <v/>
      </c>
      <c r="S96" s="34">
        <f>IF(O96="","",2*O96-F96)</f>
        <v/>
      </c>
      <c r="T96" s="34">
        <f>IF(O96="","",2*O96-E96)</f>
        <v/>
      </c>
      <c r="U96" s="36" t="n"/>
      <c r="V96" s="36" t="n"/>
      <c r="W96" s="36" t="n"/>
      <c r="X96" s="37" t="n"/>
      <c r="Y96" s="37" t="n"/>
      <c r="Z96" s="36" t="n"/>
      <c r="AA96" s="38" t="n"/>
      <c r="AB96" s="36" t="n"/>
      <c r="AC96" s="37" t="n"/>
      <c r="AD96" s="39">
        <f>IF(A96="","",IFERROR(SUMIFS(TL_Net,TL_Date,_xlfn.MAXIFS(TL_Date,TL_Date,"&lt;"&amp;A96)),0))</f>
        <v/>
      </c>
      <c r="AE96" s="5">
        <f>IF(A96="","",IF(OR(AC96="Y",AND(Z96&lt;&gt;"",N(Z96)&lt;=2),AND(AA96&lt;&gt;"",N(AA96)&lt;6),N(AB96)&gt;=4),"NO TRADE / HALF SIZE","GO"))</f>
        <v/>
      </c>
    </row>
    <row r="97">
      <c r="A97" s="27" t="n"/>
      <c r="B97" s="5">
        <f>IF(A97="","",TEXT(A97,"ddd"))</f>
        <v/>
      </c>
      <c r="C97" s="27" t="n"/>
      <c r="D97" s="28">
        <f>IF(OR(A97="",C97=""),"",MAX(0,NETWORKDAYS(A97,C97)-1))</f>
        <v/>
      </c>
      <c r="E97" s="29" t="n"/>
      <c r="F97" s="29" t="n"/>
      <c r="G97" s="29" t="n"/>
      <c r="H97" s="29" t="n"/>
      <c r="I97" s="30">
        <f>IF(OR(H97="",G97=""),"",H97-G97)</f>
        <v/>
      </c>
      <c r="J97" s="31">
        <f>IF(I97="","",I97/G97)</f>
        <v/>
      </c>
      <c r="K97" s="32" t="n"/>
      <c r="L97" s="33">
        <f>IF(OR(K97="",G97=""),"",G97*K97/100/SQRT(252))</f>
        <v/>
      </c>
      <c r="M97" s="33">
        <f>IF(OR(L97="",H97=""),"",H97-L97)</f>
        <v/>
      </c>
      <c r="N97" s="33">
        <f>IF(OR(L97="",H97=""),"",H97+L97)</f>
        <v/>
      </c>
      <c r="O97" s="34">
        <f>IF(OR(E97="",F97="",G97=""),"",(E97+F97+G97)/3)</f>
        <v/>
      </c>
      <c r="P97" s="34">
        <f>IF(O97="","",(E97+F97)/2)</f>
        <v/>
      </c>
      <c r="Q97" s="34">
        <f>IF(O97="","",2*O97-P97)</f>
        <v/>
      </c>
      <c r="R97" s="35">
        <f>IF(O97="","",ABS(Q97-P97)/O97)</f>
        <v/>
      </c>
      <c r="S97" s="34">
        <f>IF(O97="","",2*O97-F97)</f>
        <v/>
      </c>
      <c r="T97" s="34">
        <f>IF(O97="","",2*O97-E97)</f>
        <v/>
      </c>
      <c r="U97" s="36" t="n"/>
      <c r="V97" s="36" t="n"/>
      <c r="W97" s="36" t="n"/>
      <c r="X97" s="37" t="n"/>
      <c r="Y97" s="37" t="n"/>
      <c r="Z97" s="36" t="n"/>
      <c r="AA97" s="38" t="n"/>
      <c r="AB97" s="36" t="n"/>
      <c r="AC97" s="37" t="n"/>
      <c r="AD97" s="39">
        <f>IF(A97="","",IFERROR(SUMIFS(TL_Net,TL_Date,_xlfn.MAXIFS(TL_Date,TL_Date,"&lt;"&amp;A97)),0))</f>
        <v/>
      </c>
      <c r="AE97" s="5">
        <f>IF(A97="","",IF(OR(AC97="Y",AND(Z97&lt;&gt;"",N(Z97)&lt;=2),AND(AA97&lt;&gt;"",N(AA97)&lt;6),N(AB97)&gt;=4),"NO TRADE / HALF SIZE","GO"))</f>
        <v/>
      </c>
    </row>
    <row r="98">
      <c r="A98" s="27" t="n"/>
      <c r="B98" s="5">
        <f>IF(A98="","",TEXT(A98,"ddd"))</f>
        <v/>
      </c>
      <c r="C98" s="27" t="n"/>
      <c r="D98" s="28">
        <f>IF(OR(A98="",C98=""),"",MAX(0,NETWORKDAYS(A98,C98)-1))</f>
        <v/>
      </c>
      <c r="E98" s="29" t="n"/>
      <c r="F98" s="29" t="n"/>
      <c r="G98" s="29" t="n"/>
      <c r="H98" s="29" t="n"/>
      <c r="I98" s="30">
        <f>IF(OR(H98="",G98=""),"",H98-G98)</f>
        <v/>
      </c>
      <c r="J98" s="31">
        <f>IF(I98="","",I98/G98)</f>
        <v/>
      </c>
      <c r="K98" s="32" t="n"/>
      <c r="L98" s="33">
        <f>IF(OR(K98="",G98=""),"",G98*K98/100/SQRT(252))</f>
        <v/>
      </c>
      <c r="M98" s="33">
        <f>IF(OR(L98="",H98=""),"",H98-L98)</f>
        <v/>
      </c>
      <c r="N98" s="33">
        <f>IF(OR(L98="",H98=""),"",H98+L98)</f>
        <v/>
      </c>
      <c r="O98" s="34">
        <f>IF(OR(E98="",F98="",G98=""),"",(E98+F98+G98)/3)</f>
        <v/>
      </c>
      <c r="P98" s="34">
        <f>IF(O98="","",(E98+F98)/2)</f>
        <v/>
      </c>
      <c r="Q98" s="34">
        <f>IF(O98="","",2*O98-P98)</f>
        <v/>
      </c>
      <c r="R98" s="35">
        <f>IF(O98="","",ABS(Q98-P98)/O98)</f>
        <v/>
      </c>
      <c r="S98" s="34">
        <f>IF(O98="","",2*O98-F98)</f>
        <v/>
      </c>
      <c r="T98" s="34">
        <f>IF(O98="","",2*O98-E98)</f>
        <v/>
      </c>
      <c r="U98" s="36" t="n"/>
      <c r="V98" s="36" t="n"/>
      <c r="W98" s="36" t="n"/>
      <c r="X98" s="37" t="n"/>
      <c r="Y98" s="37" t="n"/>
      <c r="Z98" s="36" t="n"/>
      <c r="AA98" s="38" t="n"/>
      <c r="AB98" s="36" t="n"/>
      <c r="AC98" s="37" t="n"/>
      <c r="AD98" s="39">
        <f>IF(A98="","",IFERROR(SUMIFS(TL_Net,TL_Date,_xlfn.MAXIFS(TL_Date,TL_Date,"&lt;"&amp;A98)),0))</f>
        <v/>
      </c>
      <c r="AE98" s="5">
        <f>IF(A98="","",IF(OR(AC98="Y",AND(Z98&lt;&gt;"",N(Z98)&lt;=2),AND(AA98&lt;&gt;"",N(AA98)&lt;6),N(AB98)&gt;=4),"NO TRADE / HALF SIZE","GO"))</f>
        <v/>
      </c>
    </row>
    <row r="99">
      <c r="A99" s="27" t="n"/>
      <c r="B99" s="5">
        <f>IF(A99="","",TEXT(A99,"ddd"))</f>
        <v/>
      </c>
      <c r="C99" s="27" t="n"/>
      <c r="D99" s="28">
        <f>IF(OR(A99="",C99=""),"",MAX(0,NETWORKDAYS(A99,C99)-1))</f>
        <v/>
      </c>
      <c r="E99" s="29" t="n"/>
      <c r="F99" s="29" t="n"/>
      <c r="G99" s="29" t="n"/>
      <c r="H99" s="29" t="n"/>
      <c r="I99" s="30">
        <f>IF(OR(H99="",G99=""),"",H99-G99)</f>
        <v/>
      </c>
      <c r="J99" s="31">
        <f>IF(I99="","",I99/G99)</f>
        <v/>
      </c>
      <c r="K99" s="32" t="n"/>
      <c r="L99" s="33">
        <f>IF(OR(K99="",G99=""),"",G99*K99/100/SQRT(252))</f>
        <v/>
      </c>
      <c r="M99" s="33">
        <f>IF(OR(L99="",H99=""),"",H99-L99)</f>
        <v/>
      </c>
      <c r="N99" s="33">
        <f>IF(OR(L99="",H99=""),"",H99+L99)</f>
        <v/>
      </c>
      <c r="O99" s="34">
        <f>IF(OR(E99="",F99="",G99=""),"",(E99+F99+G99)/3)</f>
        <v/>
      </c>
      <c r="P99" s="34">
        <f>IF(O99="","",(E99+F99)/2)</f>
        <v/>
      </c>
      <c r="Q99" s="34">
        <f>IF(O99="","",2*O99-P99)</f>
        <v/>
      </c>
      <c r="R99" s="35">
        <f>IF(O99="","",ABS(Q99-P99)/O99)</f>
        <v/>
      </c>
      <c r="S99" s="34">
        <f>IF(O99="","",2*O99-F99)</f>
        <v/>
      </c>
      <c r="T99" s="34">
        <f>IF(O99="","",2*O99-E99)</f>
        <v/>
      </c>
      <c r="U99" s="36" t="n"/>
      <c r="V99" s="36" t="n"/>
      <c r="W99" s="36" t="n"/>
      <c r="X99" s="37" t="n"/>
      <c r="Y99" s="37" t="n"/>
      <c r="Z99" s="36" t="n"/>
      <c r="AA99" s="38" t="n"/>
      <c r="AB99" s="36" t="n"/>
      <c r="AC99" s="37" t="n"/>
      <c r="AD99" s="39">
        <f>IF(A99="","",IFERROR(SUMIFS(TL_Net,TL_Date,_xlfn.MAXIFS(TL_Date,TL_Date,"&lt;"&amp;A99)),0))</f>
        <v/>
      </c>
      <c r="AE99" s="5">
        <f>IF(A99="","",IF(OR(AC99="Y",AND(Z99&lt;&gt;"",N(Z99)&lt;=2),AND(AA99&lt;&gt;"",N(AA99)&lt;6),N(AB99)&gt;=4),"NO TRADE / HALF SIZE","GO"))</f>
        <v/>
      </c>
    </row>
    <row r="100">
      <c r="A100" s="27" t="n"/>
      <c r="B100" s="5">
        <f>IF(A100="","",TEXT(A100,"ddd"))</f>
        <v/>
      </c>
      <c r="C100" s="27" t="n"/>
      <c r="D100" s="28">
        <f>IF(OR(A100="",C100=""),"",MAX(0,NETWORKDAYS(A100,C100)-1))</f>
        <v/>
      </c>
      <c r="E100" s="29" t="n"/>
      <c r="F100" s="29" t="n"/>
      <c r="G100" s="29" t="n"/>
      <c r="H100" s="29" t="n"/>
      <c r="I100" s="30">
        <f>IF(OR(H100="",G100=""),"",H100-G100)</f>
        <v/>
      </c>
      <c r="J100" s="31">
        <f>IF(I100="","",I100/G100)</f>
        <v/>
      </c>
      <c r="K100" s="32" t="n"/>
      <c r="L100" s="33">
        <f>IF(OR(K100="",G100=""),"",G100*K100/100/SQRT(252))</f>
        <v/>
      </c>
      <c r="M100" s="33">
        <f>IF(OR(L100="",H100=""),"",H100-L100)</f>
        <v/>
      </c>
      <c r="N100" s="33">
        <f>IF(OR(L100="",H100=""),"",H100+L100)</f>
        <v/>
      </c>
      <c r="O100" s="34">
        <f>IF(OR(E100="",F100="",G100=""),"",(E100+F100+G100)/3)</f>
        <v/>
      </c>
      <c r="P100" s="34">
        <f>IF(O100="","",(E100+F100)/2)</f>
        <v/>
      </c>
      <c r="Q100" s="34">
        <f>IF(O100="","",2*O100-P100)</f>
        <v/>
      </c>
      <c r="R100" s="35">
        <f>IF(O100="","",ABS(Q100-P100)/O100)</f>
        <v/>
      </c>
      <c r="S100" s="34">
        <f>IF(O100="","",2*O100-F100)</f>
        <v/>
      </c>
      <c r="T100" s="34">
        <f>IF(O100="","",2*O100-E100)</f>
        <v/>
      </c>
      <c r="U100" s="36" t="n"/>
      <c r="V100" s="36" t="n"/>
      <c r="W100" s="36" t="n"/>
      <c r="X100" s="37" t="n"/>
      <c r="Y100" s="37" t="n"/>
      <c r="Z100" s="36" t="n"/>
      <c r="AA100" s="38" t="n"/>
      <c r="AB100" s="36" t="n"/>
      <c r="AC100" s="37" t="n"/>
      <c r="AD100" s="39">
        <f>IF(A100="","",IFERROR(SUMIFS(TL_Net,TL_Date,_xlfn.MAXIFS(TL_Date,TL_Date,"&lt;"&amp;A100)),0))</f>
        <v/>
      </c>
      <c r="AE100" s="5">
        <f>IF(A100="","",IF(OR(AC100="Y",AND(Z100&lt;&gt;"",N(Z100)&lt;=2),AND(AA100&lt;&gt;"",N(AA100)&lt;6),N(AB100)&gt;=4),"NO TRADE / HALF SIZE","GO"))</f>
        <v/>
      </c>
    </row>
    <row r="101">
      <c r="A101" s="27" t="n"/>
      <c r="B101" s="5">
        <f>IF(A101="","",TEXT(A101,"ddd"))</f>
        <v/>
      </c>
      <c r="C101" s="27" t="n"/>
      <c r="D101" s="28">
        <f>IF(OR(A101="",C101=""),"",MAX(0,NETWORKDAYS(A101,C101)-1))</f>
        <v/>
      </c>
      <c r="E101" s="29" t="n"/>
      <c r="F101" s="29" t="n"/>
      <c r="G101" s="29" t="n"/>
      <c r="H101" s="29" t="n"/>
      <c r="I101" s="30">
        <f>IF(OR(H101="",G101=""),"",H101-G101)</f>
        <v/>
      </c>
      <c r="J101" s="31">
        <f>IF(I101="","",I101/G101)</f>
        <v/>
      </c>
      <c r="K101" s="32" t="n"/>
      <c r="L101" s="33">
        <f>IF(OR(K101="",G101=""),"",G101*K101/100/SQRT(252))</f>
        <v/>
      </c>
      <c r="M101" s="33">
        <f>IF(OR(L101="",H101=""),"",H101-L101)</f>
        <v/>
      </c>
      <c r="N101" s="33">
        <f>IF(OR(L101="",H101=""),"",H101+L101)</f>
        <v/>
      </c>
      <c r="O101" s="34">
        <f>IF(OR(E101="",F101="",G101=""),"",(E101+F101+G101)/3)</f>
        <v/>
      </c>
      <c r="P101" s="34">
        <f>IF(O101="","",(E101+F101)/2)</f>
        <v/>
      </c>
      <c r="Q101" s="34">
        <f>IF(O101="","",2*O101-P101)</f>
        <v/>
      </c>
      <c r="R101" s="35">
        <f>IF(O101="","",ABS(Q101-P101)/O101)</f>
        <v/>
      </c>
      <c r="S101" s="34">
        <f>IF(O101="","",2*O101-F101)</f>
        <v/>
      </c>
      <c r="T101" s="34">
        <f>IF(O101="","",2*O101-E101)</f>
        <v/>
      </c>
      <c r="U101" s="36" t="n"/>
      <c r="V101" s="36" t="n"/>
      <c r="W101" s="36" t="n"/>
      <c r="X101" s="37" t="n"/>
      <c r="Y101" s="37" t="n"/>
      <c r="Z101" s="36" t="n"/>
      <c r="AA101" s="38" t="n"/>
      <c r="AB101" s="36" t="n"/>
      <c r="AC101" s="37" t="n"/>
      <c r="AD101" s="39">
        <f>IF(A101="","",IFERROR(SUMIFS(TL_Net,TL_Date,_xlfn.MAXIFS(TL_Date,TL_Date,"&lt;"&amp;A101)),0))</f>
        <v/>
      </c>
      <c r="AE101" s="5">
        <f>IF(A101="","",IF(OR(AC101="Y",AND(Z101&lt;&gt;"",N(Z101)&lt;=2),AND(AA101&lt;&gt;"",N(AA101)&lt;6),N(AB101)&gt;=4),"NO TRADE / HALF SIZE","GO"))</f>
        <v/>
      </c>
    </row>
    <row r="102">
      <c r="A102" s="27" t="n"/>
      <c r="B102" s="5">
        <f>IF(A102="","",TEXT(A102,"ddd"))</f>
        <v/>
      </c>
      <c r="C102" s="27" t="n"/>
      <c r="D102" s="28">
        <f>IF(OR(A102="",C102=""),"",MAX(0,NETWORKDAYS(A102,C102)-1))</f>
        <v/>
      </c>
      <c r="E102" s="29" t="n"/>
      <c r="F102" s="29" t="n"/>
      <c r="G102" s="29" t="n"/>
      <c r="H102" s="29" t="n"/>
      <c r="I102" s="30">
        <f>IF(OR(H102="",G102=""),"",H102-G102)</f>
        <v/>
      </c>
      <c r="J102" s="31">
        <f>IF(I102="","",I102/G102)</f>
        <v/>
      </c>
      <c r="K102" s="32" t="n"/>
      <c r="L102" s="33">
        <f>IF(OR(K102="",G102=""),"",G102*K102/100/SQRT(252))</f>
        <v/>
      </c>
      <c r="M102" s="33">
        <f>IF(OR(L102="",H102=""),"",H102-L102)</f>
        <v/>
      </c>
      <c r="N102" s="33">
        <f>IF(OR(L102="",H102=""),"",H102+L102)</f>
        <v/>
      </c>
      <c r="O102" s="34">
        <f>IF(OR(E102="",F102="",G102=""),"",(E102+F102+G102)/3)</f>
        <v/>
      </c>
      <c r="P102" s="34">
        <f>IF(O102="","",(E102+F102)/2)</f>
        <v/>
      </c>
      <c r="Q102" s="34">
        <f>IF(O102="","",2*O102-P102)</f>
        <v/>
      </c>
      <c r="R102" s="35">
        <f>IF(O102="","",ABS(Q102-P102)/O102)</f>
        <v/>
      </c>
      <c r="S102" s="34">
        <f>IF(O102="","",2*O102-F102)</f>
        <v/>
      </c>
      <c r="T102" s="34">
        <f>IF(O102="","",2*O102-E102)</f>
        <v/>
      </c>
      <c r="U102" s="36" t="n"/>
      <c r="V102" s="36" t="n"/>
      <c r="W102" s="36" t="n"/>
      <c r="X102" s="37" t="n"/>
      <c r="Y102" s="37" t="n"/>
      <c r="Z102" s="36" t="n"/>
      <c r="AA102" s="38" t="n"/>
      <c r="AB102" s="36" t="n"/>
      <c r="AC102" s="37" t="n"/>
      <c r="AD102" s="39">
        <f>IF(A102="","",IFERROR(SUMIFS(TL_Net,TL_Date,_xlfn.MAXIFS(TL_Date,TL_Date,"&lt;"&amp;A102)),0))</f>
        <v/>
      </c>
      <c r="AE102" s="5">
        <f>IF(A102="","",IF(OR(AC102="Y",AND(Z102&lt;&gt;"",N(Z102)&lt;=2),AND(AA102&lt;&gt;"",N(AA102)&lt;6),N(AB102)&gt;=4),"NO TRADE / HALF SIZE","GO"))</f>
        <v/>
      </c>
    </row>
    <row r="103">
      <c r="A103" s="27" t="n"/>
      <c r="B103" s="5">
        <f>IF(A103="","",TEXT(A103,"ddd"))</f>
        <v/>
      </c>
      <c r="C103" s="27" t="n"/>
      <c r="D103" s="28">
        <f>IF(OR(A103="",C103=""),"",MAX(0,NETWORKDAYS(A103,C103)-1))</f>
        <v/>
      </c>
      <c r="E103" s="29" t="n"/>
      <c r="F103" s="29" t="n"/>
      <c r="G103" s="29" t="n"/>
      <c r="H103" s="29" t="n"/>
      <c r="I103" s="30">
        <f>IF(OR(H103="",G103=""),"",H103-G103)</f>
        <v/>
      </c>
      <c r="J103" s="31">
        <f>IF(I103="","",I103/G103)</f>
        <v/>
      </c>
      <c r="K103" s="32" t="n"/>
      <c r="L103" s="33">
        <f>IF(OR(K103="",G103=""),"",G103*K103/100/SQRT(252))</f>
        <v/>
      </c>
      <c r="M103" s="33">
        <f>IF(OR(L103="",H103=""),"",H103-L103)</f>
        <v/>
      </c>
      <c r="N103" s="33">
        <f>IF(OR(L103="",H103=""),"",H103+L103)</f>
        <v/>
      </c>
      <c r="O103" s="34">
        <f>IF(OR(E103="",F103="",G103=""),"",(E103+F103+G103)/3)</f>
        <v/>
      </c>
      <c r="P103" s="34">
        <f>IF(O103="","",(E103+F103)/2)</f>
        <v/>
      </c>
      <c r="Q103" s="34">
        <f>IF(O103="","",2*O103-P103)</f>
        <v/>
      </c>
      <c r="R103" s="35">
        <f>IF(O103="","",ABS(Q103-P103)/O103)</f>
        <v/>
      </c>
      <c r="S103" s="34">
        <f>IF(O103="","",2*O103-F103)</f>
        <v/>
      </c>
      <c r="T103" s="34">
        <f>IF(O103="","",2*O103-E103)</f>
        <v/>
      </c>
      <c r="U103" s="36" t="n"/>
      <c r="V103" s="36" t="n"/>
      <c r="W103" s="36" t="n"/>
      <c r="X103" s="37" t="n"/>
      <c r="Y103" s="37" t="n"/>
      <c r="Z103" s="36" t="n"/>
      <c r="AA103" s="38" t="n"/>
      <c r="AB103" s="36" t="n"/>
      <c r="AC103" s="37" t="n"/>
      <c r="AD103" s="39">
        <f>IF(A103="","",IFERROR(SUMIFS(TL_Net,TL_Date,_xlfn.MAXIFS(TL_Date,TL_Date,"&lt;"&amp;A103)),0))</f>
        <v/>
      </c>
      <c r="AE103" s="5">
        <f>IF(A103="","",IF(OR(AC103="Y",AND(Z103&lt;&gt;"",N(Z103)&lt;=2),AND(AA103&lt;&gt;"",N(AA103)&lt;6),N(AB103)&gt;=4),"NO TRADE / HALF SIZE","GO"))</f>
        <v/>
      </c>
    </row>
    <row r="104">
      <c r="A104" s="27" t="n"/>
      <c r="B104" s="5">
        <f>IF(A104="","",TEXT(A104,"ddd"))</f>
        <v/>
      </c>
      <c r="C104" s="27" t="n"/>
      <c r="D104" s="28">
        <f>IF(OR(A104="",C104=""),"",MAX(0,NETWORKDAYS(A104,C104)-1))</f>
        <v/>
      </c>
      <c r="E104" s="29" t="n"/>
      <c r="F104" s="29" t="n"/>
      <c r="G104" s="29" t="n"/>
      <c r="H104" s="29" t="n"/>
      <c r="I104" s="30">
        <f>IF(OR(H104="",G104=""),"",H104-G104)</f>
        <v/>
      </c>
      <c r="J104" s="31">
        <f>IF(I104="","",I104/G104)</f>
        <v/>
      </c>
      <c r="K104" s="32" t="n"/>
      <c r="L104" s="33">
        <f>IF(OR(K104="",G104=""),"",G104*K104/100/SQRT(252))</f>
        <v/>
      </c>
      <c r="M104" s="33">
        <f>IF(OR(L104="",H104=""),"",H104-L104)</f>
        <v/>
      </c>
      <c r="N104" s="33">
        <f>IF(OR(L104="",H104=""),"",H104+L104)</f>
        <v/>
      </c>
      <c r="O104" s="34">
        <f>IF(OR(E104="",F104="",G104=""),"",(E104+F104+G104)/3)</f>
        <v/>
      </c>
      <c r="P104" s="34">
        <f>IF(O104="","",(E104+F104)/2)</f>
        <v/>
      </c>
      <c r="Q104" s="34">
        <f>IF(O104="","",2*O104-P104)</f>
        <v/>
      </c>
      <c r="R104" s="35">
        <f>IF(O104="","",ABS(Q104-P104)/O104)</f>
        <v/>
      </c>
      <c r="S104" s="34">
        <f>IF(O104="","",2*O104-F104)</f>
        <v/>
      </c>
      <c r="T104" s="34">
        <f>IF(O104="","",2*O104-E104)</f>
        <v/>
      </c>
      <c r="U104" s="36" t="n"/>
      <c r="V104" s="36" t="n"/>
      <c r="W104" s="36" t="n"/>
      <c r="X104" s="37" t="n"/>
      <c r="Y104" s="37" t="n"/>
      <c r="Z104" s="36" t="n"/>
      <c r="AA104" s="38" t="n"/>
      <c r="AB104" s="36" t="n"/>
      <c r="AC104" s="37" t="n"/>
      <c r="AD104" s="39">
        <f>IF(A104="","",IFERROR(SUMIFS(TL_Net,TL_Date,_xlfn.MAXIFS(TL_Date,TL_Date,"&lt;"&amp;A104)),0))</f>
        <v/>
      </c>
      <c r="AE104" s="5">
        <f>IF(A104="","",IF(OR(AC104="Y",AND(Z104&lt;&gt;"",N(Z104)&lt;=2),AND(AA104&lt;&gt;"",N(AA104)&lt;6),N(AB104)&gt;=4),"NO TRADE / HALF SIZE","GO"))</f>
        <v/>
      </c>
    </row>
    <row r="105">
      <c r="A105" s="27" t="n"/>
      <c r="B105" s="5">
        <f>IF(A105="","",TEXT(A105,"ddd"))</f>
        <v/>
      </c>
      <c r="C105" s="27" t="n"/>
      <c r="D105" s="28">
        <f>IF(OR(A105="",C105=""),"",MAX(0,NETWORKDAYS(A105,C105)-1))</f>
        <v/>
      </c>
      <c r="E105" s="29" t="n"/>
      <c r="F105" s="29" t="n"/>
      <c r="G105" s="29" t="n"/>
      <c r="H105" s="29" t="n"/>
      <c r="I105" s="30">
        <f>IF(OR(H105="",G105=""),"",H105-G105)</f>
        <v/>
      </c>
      <c r="J105" s="31">
        <f>IF(I105="","",I105/G105)</f>
        <v/>
      </c>
      <c r="K105" s="32" t="n"/>
      <c r="L105" s="33">
        <f>IF(OR(K105="",G105=""),"",G105*K105/100/SQRT(252))</f>
        <v/>
      </c>
      <c r="M105" s="33">
        <f>IF(OR(L105="",H105=""),"",H105-L105)</f>
        <v/>
      </c>
      <c r="N105" s="33">
        <f>IF(OR(L105="",H105=""),"",H105+L105)</f>
        <v/>
      </c>
      <c r="O105" s="34">
        <f>IF(OR(E105="",F105="",G105=""),"",(E105+F105+G105)/3)</f>
        <v/>
      </c>
      <c r="P105" s="34">
        <f>IF(O105="","",(E105+F105)/2)</f>
        <v/>
      </c>
      <c r="Q105" s="34">
        <f>IF(O105="","",2*O105-P105)</f>
        <v/>
      </c>
      <c r="R105" s="35">
        <f>IF(O105="","",ABS(Q105-P105)/O105)</f>
        <v/>
      </c>
      <c r="S105" s="34">
        <f>IF(O105="","",2*O105-F105)</f>
        <v/>
      </c>
      <c r="T105" s="34">
        <f>IF(O105="","",2*O105-E105)</f>
        <v/>
      </c>
      <c r="U105" s="36" t="n"/>
      <c r="V105" s="36" t="n"/>
      <c r="W105" s="36" t="n"/>
      <c r="X105" s="37" t="n"/>
      <c r="Y105" s="37" t="n"/>
      <c r="Z105" s="36" t="n"/>
      <c r="AA105" s="38" t="n"/>
      <c r="AB105" s="36" t="n"/>
      <c r="AC105" s="37" t="n"/>
      <c r="AD105" s="39">
        <f>IF(A105="","",IFERROR(SUMIFS(TL_Net,TL_Date,_xlfn.MAXIFS(TL_Date,TL_Date,"&lt;"&amp;A105)),0))</f>
        <v/>
      </c>
      <c r="AE105" s="5">
        <f>IF(A105="","",IF(OR(AC105="Y",AND(Z105&lt;&gt;"",N(Z105)&lt;=2),AND(AA105&lt;&gt;"",N(AA105)&lt;6),N(AB105)&gt;=4),"NO TRADE / HALF SIZE","GO"))</f>
        <v/>
      </c>
    </row>
  </sheetData>
  <conditionalFormatting sqref="AE6:AE105">
    <cfRule type="expression" priority="1" dxfId="0">
      <formula>AE6="NO TRADE / HALF SIZE"</formula>
    </cfRule>
    <cfRule type="expression" priority="2" dxfId="1">
      <formula>AE6="GO"</formula>
    </cfRule>
  </conditionalFormatting>
  <conditionalFormatting sqref="AC6:AC105">
    <cfRule type="expression" priority="3" dxfId="2">
      <formula>AC6="Y"</formula>
    </cfRule>
  </conditionalFormatting>
  <dataValidations count="4">
    <dataValidation sqref="X6:X105" showDropDown="0" showInputMessage="0" showErrorMessage="1" allowBlank="1" errorTitle="Pick from list" error="Choose a value from the dropdown (edit choices on LISTS)." type="list">
      <formula1>=List_Bias</formula1>
    </dataValidation>
    <dataValidation sqref="Z6:Z105" showDropDown="0" showInputMessage="1" showErrorMessage="1" allowBlank="1" errorTitle="Pick from list" error="Choose a value from the dropdown (edit choices on LISTS)." promptTitle="Input" prompt="1 = very poor … 5 = excellent" type="list">
      <formula1>=List_Scale</formula1>
    </dataValidation>
    <dataValidation sqref="AB6:AB105" showDropDown="0" showInputMessage="1" showErrorMessage="1" allowBlank="1" errorTitle="Pick from list" error="Choose a value from the dropdown (edit choices on LISTS)." promptTitle="Input" prompt="1 = none … 5 = extreme" type="list">
      <formula1>=List_Scale</formula1>
    </dataValidation>
    <dataValidation sqref="AC6:AC105" showDropDown="0" showInputMessage="1" showErrorMessage="1" allowBlank="1" errorTitle="Pick from list" error="Choose a value from the dropdown (edit choices on LISTS)." promptTitle="Input" prompt="Be honest. Y = NO TRADE / HALF SIZE." type="list">
      <formula1>=List_YN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/>
  </sheetPr>
  <dimension ref="A1:BQ305"/>
  <sheetViews>
    <sheetView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6" customWidth="1" min="3" max="3"/>
    <col width="11" customWidth="1" min="4" max="4"/>
    <col width="6" customWidth="1" min="5" max="5"/>
    <col width="10" customWidth="1" min="6" max="6"/>
    <col width="9" customWidth="1" min="7" max="7"/>
    <col width="7" customWidth="1" min="8" max="8"/>
    <col width="8" customWidth="1" min="9" max="9"/>
    <col width="17" customWidth="1" min="10" max="10"/>
    <col width="9" customWidth="1" min="11" max="11"/>
    <col width="6" customWidth="1" min="12" max="12"/>
    <col width="6" customWidth="1" min="13" max="13"/>
    <col width="9" customWidth="1" min="14" max="14"/>
    <col width="8" customWidth="1" min="15" max="15"/>
    <col width="9" customWidth="1" min="16" max="16"/>
    <col width="10" customWidth="1" min="17" max="17"/>
    <col width="10" customWidth="1" min="18" max="18"/>
    <col width="9" customWidth="1" min="19" max="19"/>
    <col width="8" customWidth="1" min="20" max="20"/>
    <col width="8" customWidth="1" min="21" max="21"/>
    <col width="11" customWidth="1" min="22" max="22"/>
    <col width="9" customWidth="1" min="23" max="23"/>
    <col width="9" customWidth="1" min="24" max="24"/>
    <col width="9" customWidth="1" min="25" max="25"/>
    <col width="11" customWidth="1" min="26" max="26"/>
    <col width="9" customWidth="1" min="27" max="27"/>
    <col width="9" customWidth="1" min="28" max="28"/>
    <col width="11" customWidth="1" min="29" max="29"/>
    <col width="8" customWidth="1" min="30" max="30"/>
    <col width="9" customWidth="1" min="31" max="31"/>
    <col width="11" customWidth="1" min="32" max="32"/>
    <col width="9" customWidth="1" min="33" max="33"/>
    <col width="9" customWidth="1" min="34" max="34"/>
    <col width="10" customWidth="1" min="35" max="35"/>
    <col width="10" customWidth="1" min="36" max="36"/>
    <col width="11" customWidth="1" min="37" max="37"/>
    <col width="11" customWidth="1" min="38" max="38"/>
    <col outlineLevel="1" width="11" customWidth="1" min="39" max="39"/>
    <col outlineLevel="1" width="9" customWidth="1" min="40" max="40"/>
    <col outlineLevel="1" width="9" customWidth="1" min="41" max="41"/>
    <col outlineLevel="1" width="9" customWidth="1" min="42" max="42"/>
    <col outlineLevel="1" width="8" customWidth="1" min="43" max="43"/>
    <col outlineLevel="1" width="8" customWidth="1" min="44" max="44"/>
    <col outlineLevel="1" width="8" customWidth="1" min="45" max="45"/>
    <col width="10" customWidth="1" min="46" max="46"/>
    <col width="11" customWidth="1" min="47" max="47"/>
    <col width="8" customWidth="1" min="48" max="48"/>
    <col width="8" customWidth="1" min="49" max="49"/>
    <col width="9" customWidth="1" min="50" max="50"/>
    <col width="24" customWidth="1" min="51" max="51"/>
    <col width="12" customWidth="1" min="52" max="52"/>
    <col width="12" customWidth="1" min="53" max="53"/>
    <col width="8" customWidth="1" min="54" max="54"/>
    <col width="14" customWidth="1" min="55" max="55"/>
    <col width="44" customWidth="1" min="56" max="56"/>
    <col width="7" customWidth="1" min="57" max="57"/>
    <col width="16" customWidth="1" min="58" max="58"/>
    <col width="10" customWidth="1" min="59" max="59"/>
    <col width="7" customWidth="1" min="60" max="60"/>
    <col width="11" customWidth="1" min="61" max="61"/>
    <col width="10" customWidth="1" min="62" max="62"/>
    <col width="10" customWidth="1" min="63" max="63"/>
    <col width="11" customWidth="1" min="64" max="64"/>
    <col width="11" customWidth="1" min="65" max="65"/>
    <col width="11" customWidth="1" min="66" max="66"/>
    <col width="10" customWidth="1" min="67" max="67"/>
    <col width="9" customWidth="1" min="68" max="68"/>
    <col width="7" customWidth="1" min="69" max="69"/>
  </cols>
  <sheetData>
    <row r="1">
      <c r="A1" s="1" t="inlineStr">
        <is>
          <t>TRADE LOG – one row per trade (or per net-credit spread)</t>
        </is>
      </c>
    </row>
    <row r="2">
      <c r="A2" s="2" t="inlineStr">
        <is>
          <t>Fill BLUE-header columns only. Dark-grey headers are automatic. 300 rows pre-built; rows 6-10 are samples (incl. the 51 → 30 → 70 expiry-day short call).</t>
        </is>
      </c>
    </row>
    <row r="3">
      <c r="A3" s="2" t="inlineStr">
        <is>
          <t>MAE = worst price seen against you; MFE = best price seen in your favour (for a short: MAE is the HIGHEST premium, MFE the LOWEST). R-multiple uses Planned Risk; if no SL was set it uses your rule 1R (RULES).</t>
        </is>
      </c>
    </row>
    <row r="4">
      <c r="A4" s="40" t="inlineStr">
        <is>
          <t>BASICS</t>
        </is>
      </c>
      <c r="O4" s="41" t="inlineStr">
        <is>
          <t>ENTRY</t>
        </is>
      </c>
      <c r="X4" s="42" t="inlineStr">
        <is>
          <t>RISK</t>
        </is>
      </c>
      <c r="AD4" s="43" t="inlineStr">
        <is>
          <t>EXIT</t>
        </is>
      </c>
      <c r="AG4" s="44" t="inlineStr">
        <is>
          <t>PATH</t>
        </is>
      </c>
      <c r="AK4" s="45" t="inlineStr">
        <is>
          <t>RESULTS</t>
        </is>
      </c>
      <c r="AM4" s="46" t="inlineStr">
        <is>
          <t>CHARGES</t>
        </is>
      </c>
      <c r="AT4" s="47" t="inlineStr">
        <is>
          <t>RESULTS</t>
        </is>
      </c>
      <c r="AX4" s="48" t="inlineStr">
        <is>
          <t>BEHAVIOUR</t>
        </is>
      </c>
      <c r="BE4" s="40" t="inlineStr">
        <is>
          <t>AUTO</t>
        </is>
      </c>
    </row>
    <row r="5" ht="42" customHeight="1">
      <c r="A5" s="49" t="inlineStr">
        <is>
          <t>Trade #</t>
        </is>
      </c>
      <c r="B5" s="50" t="inlineStr">
        <is>
          <t>Date</t>
        </is>
      </c>
      <c r="C5" s="49" t="inlineStr">
        <is>
          <t>Day</t>
        </is>
      </c>
      <c r="D5" s="50" t="inlineStr">
        <is>
          <t>Expiry Date</t>
        </is>
      </c>
      <c r="E5" s="49" t="inlineStr">
        <is>
          <t>DTE</t>
        </is>
      </c>
      <c r="F5" s="50" t="inlineStr">
        <is>
          <t>Instrument</t>
        </is>
      </c>
      <c r="G5" s="50" t="inlineStr">
        <is>
          <t>Strike</t>
        </is>
      </c>
      <c r="H5" s="50" t="inlineStr">
        <is>
          <t>CE/PE</t>
        </is>
      </c>
      <c r="I5" s="50" t="inlineStr">
        <is>
          <t>Buy/Sell</t>
        </is>
      </c>
      <c r="J5" s="50" t="inlineStr">
        <is>
          <t>Strategy</t>
        </is>
      </c>
      <c r="K5" s="50" t="inlineStr">
        <is>
          <t>Position ID</t>
        </is>
      </c>
      <c r="L5" s="50" t="inlineStr">
        <is>
          <t>Legs</t>
        </is>
      </c>
      <c r="M5" s="50" t="inlineStr">
        <is>
          <t>Lots</t>
        </is>
      </c>
      <c r="N5" s="49" t="inlineStr">
        <is>
          <t>Quantity</t>
        </is>
      </c>
      <c r="O5" s="50" t="inlineStr">
        <is>
          <t>Entry Time</t>
        </is>
      </c>
      <c r="P5" s="50" t="inlineStr">
        <is>
          <t>Entry Price</t>
        </is>
      </c>
      <c r="Q5" s="50" t="inlineStr">
        <is>
          <t>NIFTY Spot at Entry</t>
        </is>
      </c>
      <c r="R5" s="49" t="inlineStr">
        <is>
          <t>Distance from Spot (pts)</t>
        </is>
      </c>
      <c r="S5" s="49" t="inlineStr">
        <is>
          <t>Distance %</t>
        </is>
      </c>
      <c r="T5" s="50" t="inlineStr">
        <is>
          <t>IV at Entry %</t>
        </is>
      </c>
      <c r="U5" s="50" t="inlineStr">
        <is>
          <t>Delta at Entry</t>
        </is>
      </c>
      <c r="V5" s="50" t="inlineStr">
        <is>
          <t>Margin Used ₹</t>
        </is>
      </c>
      <c r="W5" s="50" t="inlineStr">
        <is>
          <t>Max Loss Defined? (Y/N)</t>
        </is>
      </c>
      <c r="X5" s="50" t="inlineStr">
        <is>
          <t>Stop-Loss Price</t>
        </is>
      </c>
      <c r="Y5" s="50" t="inlineStr">
        <is>
          <t>Target Price</t>
        </is>
      </c>
      <c r="Z5" s="49" t="inlineStr">
        <is>
          <t>Planned Risk ₹ (1R)</t>
        </is>
      </c>
      <c r="AA5" s="49" t="inlineStr">
        <is>
          <t>Planned Reward:Risk</t>
        </is>
      </c>
      <c r="AB5" s="49" t="inlineStr">
        <is>
          <t>Risk % of Capital</t>
        </is>
      </c>
      <c r="AC5" s="49" t="inlineStr">
        <is>
          <t>Size Check</t>
        </is>
      </c>
      <c r="AD5" s="50" t="inlineStr">
        <is>
          <t>Exit Time</t>
        </is>
      </c>
      <c r="AE5" s="50" t="inlineStr">
        <is>
          <t>Exit Price</t>
        </is>
      </c>
      <c r="AF5" s="50" t="inlineStr">
        <is>
          <t>Exit Reason</t>
        </is>
      </c>
      <c r="AG5" s="50" t="inlineStr">
        <is>
          <t>MAE Price (worst seen)</t>
        </is>
      </c>
      <c r="AH5" s="50" t="inlineStr">
        <is>
          <t>MFE Price (best seen)</t>
        </is>
      </c>
      <c r="AI5" s="49" t="inlineStr">
        <is>
          <t>MAE ₹</t>
        </is>
      </c>
      <c r="AJ5" s="49" t="inlineStr">
        <is>
          <t>MFE ₹</t>
        </is>
      </c>
      <c r="AK5" s="49" t="inlineStr">
        <is>
          <t>Gross P&amp;L ₹</t>
        </is>
      </c>
      <c r="AL5" s="49" t="inlineStr">
        <is>
          <t>Profit Given Back ₹ (MFE - Gross)</t>
        </is>
      </c>
      <c r="AM5" s="49" t="inlineStr">
        <is>
          <t>Premium Turnover ₹</t>
        </is>
      </c>
      <c r="AN5" s="49" t="inlineStr">
        <is>
          <t>Brokerage ₹</t>
        </is>
      </c>
      <c r="AO5" s="49" t="inlineStr">
        <is>
          <t>STT ₹</t>
        </is>
      </c>
      <c r="AP5" s="49" t="inlineStr">
        <is>
          <t>Exchange Txn ₹</t>
        </is>
      </c>
      <c r="AQ5" s="49" t="inlineStr">
        <is>
          <t>SEBI Fee ₹</t>
        </is>
      </c>
      <c r="AR5" s="49" t="inlineStr">
        <is>
          <t>Stamp Duty ₹</t>
        </is>
      </c>
      <c r="AS5" s="49" t="inlineStr">
        <is>
          <t>GST ₹</t>
        </is>
      </c>
      <c r="AT5" s="49" t="inlineStr">
        <is>
          <t>Total Charges ₹</t>
        </is>
      </c>
      <c r="AU5" s="49" t="inlineStr">
        <is>
          <t>Net P&amp;L ₹</t>
        </is>
      </c>
      <c r="AV5" s="49" t="inlineStr">
        <is>
          <t>R-Multiple</t>
        </is>
      </c>
      <c r="AW5" s="49" t="inlineStr">
        <is>
          <t>% of Capital</t>
        </is>
      </c>
      <c r="AX5" s="50" t="inlineStr">
        <is>
          <t>Followed Rules? (Y/N)</t>
        </is>
      </c>
      <c r="AY5" s="50" t="inlineStr">
        <is>
          <t>Rule Broken</t>
        </is>
      </c>
      <c r="AZ5" s="50" t="inlineStr">
        <is>
          <t>Emotion Before</t>
        </is>
      </c>
      <c r="BA5" s="50" t="inlineStr">
        <is>
          <t>Emotion After</t>
        </is>
      </c>
      <c r="BB5" s="50" t="inlineStr">
        <is>
          <t>Setup Grade (A/B/C)</t>
        </is>
      </c>
      <c r="BC5" s="50" t="inlineStr">
        <is>
          <t>Screenshot Link</t>
        </is>
      </c>
      <c r="BD5" s="50" t="inlineStr">
        <is>
          <t>Lesson</t>
        </is>
      </c>
      <c r="BE5" s="49" t="inlineStr">
        <is>
          <t>Win/Loss</t>
        </is>
      </c>
      <c r="BF5" s="49" t="inlineStr">
        <is>
          <t>Entry-Time Bucket</t>
        </is>
      </c>
      <c r="BG5" s="49" t="inlineStr">
        <is>
          <t>Week Start (Mon)</t>
        </is>
      </c>
      <c r="BH5" s="49" t="inlineStr">
        <is>
          <t>Trade # of Day</t>
        </is>
      </c>
      <c r="BI5" s="49" t="inlineStr">
        <is>
          <t>Day P&amp;L Before This Trade ₹</t>
        </is>
      </c>
      <c r="BJ5" s="49" t="inlineStr">
        <is>
          <t>Expiry Cutoff Check</t>
        </is>
      </c>
      <c r="BK5" s="49" t="inlineStr">
        <is>
          <t>Auto Rule Check</t>
        </is>
      </c>
      <c r="BL5" s="49" t="inlineStr">
        <is>
          <t>Cumulative Net ₹</t>
        </is>
      </c>
      <c r="BM5" s="49" t="inlineStr">
        <is>
          <t>Equity ₹</t>
        </is>
      </c>
      <c r="BN5" s="49" t="inlineStr">
        <is>
          <t>Peak Equity ₹</t>
        </is>
      </c>
      <c r="BO5" s="49" t="inlineStr">
        <is>
          <t>Drawdown ₹</t>
        </is>
      </c>
      <c r="BP5" s="49" t="inlineStr">
        <is>
          <t>Drawdown %</t>
        </is>
      </c>
      <c r="BQ5" s="49" t="inlineStr">
        <is>
          <t>Loss Streak</t>
        </is>
      </c>
    </row>
    <row r="6">
      <c r="A6" s="28">
        <f>IF(B6="","",COUNT($B$6:B6))</f>
        <v/>
      </c>
      <c r="B6" s="27" t="n">
        <v>46289</v>
      </c>
      <c r="C6" s="5">
        <f>IF(B6="","",TEXT(B6,"ddd"))</f>
        <v/>
      </c>
      <c r="D6" s="27" t="n">
        <v>46294</v>
      </c>
      <c r="E6" s="28">
        <f>IF(OR(B6="",D6=""),"",MAX(0,NETWORKDAYS(B6,D6)-1))</f>
        <v/>
      </c>
      <c r="F6" s="37" t="inlineStr">
        <is>
          <t>NIFTY</t>
        </is>
      </c>
      <c r="G6" s="36" t="n">
        <v>26000</v>
      </c>
      <c r="H6" s="37" t="inlineStr">
        <is>
          <t>CE</t>
        </is>
      </c>
      <c r="I6" s="37" t="inlineStr">
        <is>
          <t>Sell</t>
        </is>
      </c>
      <c r="J6" s="37" t="inlineStr">
        <is>
          <t>Bear Call Spread</t>
        </is>
      </c>
      <c r="K6" s="37" t="inlineStr">
        <is>
          <t>P001</t>
        </is>
      </c>
      <c r="L6" s="36" t="n">
        <v>2</v>
      </c>
      <c r="M6" s="36" t="n">
        <v>2</v>
      </c>
      <c r="N6" s="33">
        <f>IF(M6="","",M6*LotSize)</f>
        <v/>
      </c>
      <c r="O6" s="51" t="n">
        <v>0.4083333333333333</v>
      </c>
      <c r="P6" s="32" t="n">
        <v>24.5</v>
      </c>
      <c r="Q6" s="29" t="n">
        <v>25812</v>
      </c>
      <c r="R6" s="30">
        <f>IF(OR(G6="",Q6="",H6=""),"",IF(H6="CE",G6-Q6,Q6-G6))</f>
        <v/>
      </c>
      <c r="S6" s="31">
        <f>IF(R6="","",R6/Q6)</f>
        <v/>
      </c>
      <c r="T6" s="38" t="n">
        <v>11.8</v>
      </c>
      <c r="U6" s="32" t="n">
        <v>0.16</v>
      </c>
      <c r="V6" s="52" t="n">
        <v>62000</v>
      </c>
      <c r="W6" s="37" t="inlineStr">
        <is>
          <t>Y</t>
        </is>
      </c>
      <c r="X6" s="32" t="n">
        <v>36</v>
      </c>
      <c r="Y6" s="32" t="n">
        <v>8</v>
      </c>
      <c r="Z6" s="39">
        <f>IF(OR(X6="",P6="",N6=""),"",ABS(X6-P6)*N6)</f>
        <v/>
      </c>
      <c r="AA6" s="53">
        <f>IF(OR(Z6="",Y6=""),"",IF(Z6=0,"",ABS(P6-Y6)*N6/Z6))</f>
        <v/>
      </c>
      <c r="AB6" s="54">
        <f>IF(Z6="","",Z6/Capital)</f>
        <v/>
      </c>
      <c r="AC6" s="5">
        <f>IF(B6="","",IF(X6="","NO SL",IF(OR(N(M6)&gt;MaxLots,N(AB6)&gt;RiskPct),"OVERSIZED","OK")))</f>
        <v/>
      </c>
      <c r="AD6" s="51" t="n">
        <v>0.5486111111111112</v>
      </c>
      <c r="AE6" s="32" t="n">
        <v>8.199999999999999</v>
      </c>
      <c r="AF6" s="37" t="inlineStr">
        <is>
          <t>Target</t>
        </is>
      </c>
      <c r="AG6" s="32" t="n">
        <v>27</v>
      </c>
      <c r="AH6" s="32" t="n">
        <v>7.9</v>
      </c>
      <c r="AI6" s="39">
        <f>IF(OR(AG6="",P6="",N6=""),"",ABS(AG6-P6)*N6)</f>
        <v/>
      </c>
      <c r="AJ6" s="39">
        <f>IF(OR(AH6="",P6="",N6=""),"",ABS(P6-AH6)*N6)</f>
        <v/>
      </c>
      <c r="AK6" s="39">
        <f>IF(OR(AE6="",P6="",N6=""),"",IF(I6="Buy",AE6-P6,P6-AE6)*N6)</f>
        <v/>
      </c>
      <c r="AL6" s="39">
        <f>IF(OR(AJ6="",AK6=""),"",MAX(0,AJ6-AK6))</f>
        <v/>
      </c>
      <c r="AM6" s="39">
        <f>IF(AK6="","",(P6+AE6)*N6)</f>
        <v/>
      </c>
      <c r="AN6" s="55">
        <f>IF(AK6="","",BrokeragePerOrder*2*MAX(1,N(L6)))</f>
        <v/>
      </c>
      <c r="AO6" s="55">
        <f>IF(AK6="","",STTRate*IF(I6="Buy",AE6,P6)*N6)</f>
        <v/>
      </c>
      <c r="AP6" s="55">
        <f>IF(AK6="","",ExchRate*AM6)</f>
        <v/>
      </c>
      <c r="AQ6" s="55">
        <f>IF(AK6="","",SEBIRate*AM6)</f>
        <v/>
      </c>
      <c r="AR6" s="55">
        <f>IF(AK6="","",StampRate*IF(I6="Buy",P6,AE6)*N6)</f>
        <v/>
      </c>
      <c r="AS6" s="55">
        <f>IF(AK6="","",GSTRate*(AN6+AP6+AQ6))</f>
        <v/>
      </c>
      <c r="AT6" s="55">
        <f>IF(AK6="","",AN6+AO6+AP6+AQ6+AR6+AS6)</f>
        <v/>
      </c>
      <c r="AU6" s="39">
        <f>IF(AK6="","",AK6-AT6)</f>
        <v/>
      </c>
      <c r="AV6" s="56">
        <f>IF(AU6="","",AU6/IF(N(Z6)&gt;0,Z6,RiskPerTrade))</f>
        <v/>
      </c>
      <c r="AW6" s="31">
        <f>IF(AU6="","",AU6/Capital)</f>
        <v/>
      </c>
      <c r="AX6" s="37" t="inlineStr">
        <is>
          <t>Y</t>
        </is>
      </c>
      <c r="AY6" s="37" t="inlineStr">
        <is>
          <t>None</t>
        </is>
      </c>
      <c r="AZ6" s="37" t="inlineStr">
        <is>
          <t>Calm</t>
        </is>
      </c>
      <c r="BA6" s="37" t="inlineStr">
        <is>
          <t>Confident</t>
        </is>
      </c>
      <c r="BB6" s="37" t="inlineStr">
        <is>
          <t>A</t>
        </is>
      </c>
      <c r="BC6" s="37" t="n"/>
      <c r="BD6" s="37" t="inlineStr">
        <is>
          <t>26000/26200 CE spread, net credit. Plan executed; booked 67% of credit.</t>
        </is>
      </c>
      <c r="BE6" s="5">
        <f>IF(AU6="","",IF(AU6&gt;0,"Win",IF(AU6&lt;0,"Loss","BE")))</f>
        <v/>
      </c>
      <c r="BF6" s="5">
        <f>IF(O6="","",LOOKUP(O6,List_BucketStart,List_BucketLabel))</f>
        <v/>
      </c>
      <c r="BG6" s="57">
        <f>IF(B6="","",B6-WEEKDAY(B6,3))</f>
        <v/>
      </c>
      <c r="BH6" s="28">
        <f>IF(B6="","",COUNTIF($B$6:B6,B6))</f>
        <v/>
      </c>
      <c r="BI6" s="39">
        <f>IF(B6="","",SUMIFS($AU$6:AU6,$B$6:B6,B6)-N(AU6))</f>
        <v/>
      </c>
      <c r="BJ6" s="5">
        <f>IF(OR(B6="",E6=""),"",IF(AND(E6=0,I6="Sell",MAX(N(O6),N(AD6))&gt;ExpiryCutoff),"BREACH","OK"))</f>
        <v/>
      </c>
      <c r="BK6" s="5">
        <f>IF(B6="","",IF(OR(AC6&lt;&gt;"OK",BJ6="BREACH",BH6&gt;MaxTradesDay,BI6&lt;=-DailyLossLimit,OR(AF6="Panic",AF6="Revenge",AF6="Rule break")),"CHECK","OK"))</f>
        <v/>
      </c>
      <c r="BL6" s="39">
        <f>IF(AU6="","",SUM($AU$6:AU6))</f>
        <v/>
      </c>
      <c r="BM6" s="39">
        <f>IF(BL6="","",Capital+BL6)</f>
        <v/>
      </c>
      <c r="BN6" s="39">
        <f>IF(BM6="","",MAX(Capital,MAX($BM$6:BM6)))</f>
        <v/>
      </c>
      <c r="BO6" s="39">
        <f>IF(BM6="","",BN6-BM6)</f>
        <v/>
      </c>
      <c r="BP6" s="58">
        <f>IF(BO6="","",BO6/BN6)</f>
        <v/>
      </c>
      <c r="BQ6" s="28">
        <f>IF(AU6="","",IF(AU6&lt;0,N(BQ5)+1,0))</f>
        <v/>
      </c>
    </row>
    <row r="7">
      <c r="A7" s="28">
        <f>IF(B7="","",COUNT($B$6:B7))</f>
        <v/>
      </c>
      <c r="B7" s="27" t="n">
        <v>46290</v>
      </c>
      <c r="C7" s="5">
        <f>IF(B7="","",TEXT(B7,"ddd"))</f>
        <v/>
      </c>
      <c r="D7" s="27" t="n">
        <v>46294</v>
      </c>
      <c r="E7" s="28">
        <f>IF(OR(B7="",D7=""),"",MAX(0,NETWORKDAYS(B7,D7)-1))</f>
        <v/>
      </c>
      <c r="F7" s="37" t="inlineStr">
        <is>
          <t>NIFTY</t>
        </is>
      </c>
      <c r="G7" s="36" t="n">
        <v>25650</v>
      </c>
      <c r="H7" s="37" t="inlineStr">
        <is>
          <t>PE</t>
        </is>
      </c>
      <c r="I7" s="37" t="inlineStr">
        <is>
          <t>Sell</t>
        </is>
      </c>
      <c r="J7" s="37" t="inlineStr">
        <is>
          <t>Naked Short Put</t>
        </is>
      </c>
      <c r="K7" s="37" t="inlineStr">
        <is>
          <t>P002</t>
        </is>
      </c>
      <c r="L7" s="36" t="n">
        <v>1</v>
      </c>
      <c r="M7" s="36" t="n">
        <v>1</v>
      </c>
      <c r="N7" s="33">
        <f>IF(M7="","",M7*LotSize)</f>
        <v/>
      </c>
      <c r="O7" s="51" t="n">
        <v>0.4201388888888889</v>
      </c>
      <c r="P7" s="32" t="n">
        <v>38</v>
      </c>
      <c r="Q7" s="29" t="n">
        <v>25790</v>
      </c>
      <c r="R7" s="30">
        <f>IF(OR(G7="",Q7="",H7=""),"",IF(H7="CE",G7-Q7,Q7-G7))</f>
        <v/>
      </c>
      <c r="S7" s="31">
        <f>IF(R7="","",R7/Q7)</f>
        <v/>
      </c>
      <c r="T7" s="38" t="n">
        <v>12.4</v>
      </c>
      <c r="U7" s="32" t="n">
        <v>0.22</v>
      </c>
      <c r="V7" s="52" t="n">
        <v>198000</v>
      </c>
      <c r="W7" s="37" t="inlineStr">
        <is>
          <t>N</t>
        </is>
      </c>
      <c r="X7" s="32" t="n">
        <v>57</v>
      </c>
      <c r="Y7" s="32" t="n">
        <v>15</v>
      </c>
      <c r="Z7" s="39">
        <f>IF(OR(X7="",P7="",N7=""),"",ABS(X7-P7)*N7)</f>
        <v/>
      </c>
      <c r="AA7" s="53">
        <f>IF(OR(Z7="",Y7=""),"",IF(Z7=0,"",ABS(P7-Y7)*N7/Z7))</f>
        <v/>
      </c>
      <c r="AB7" s="54">
        <f>IF(Z7="","",Z7/Capital)</f>
        <v/>
      </c>
      <c r="AC7" s="5">
        <f>IF(B7="","",IF(X7="","NO SL",IF(OR(N(M7)&gt;MaxLots,N(AB7)&gt;RiskPct),"OVERSIZED","OK")))</f>
        <v/>
      </c>
      <c r="AD7" s="51" t="n">
        <v>0.4722222222222222</v>
      </c>
      <c r="AE7" s="32" t="n">
        <v>57.5</v>
      </c>
      <c r="AF7" s="37" t="inlineStr">
        <is>
          <t>SL</t>
        </is>
      </c>
      <c r="AG7" s="32" t="n">
        <v>58</v>
      </c>
      <c r="AH7" s="32" t="n">
        <v>33</v>
      </c>
      <c r="AI7" s="39">
        <f>IF(OR(AG7="",P7="",N7=""),"",ABS(AG7-P7)*N7)</f>
        <v/>
      </c>
      <c r="AJ7" s="39">
        <f>IF(OR(AH7="",P7="",N7=""),"",ABS(P7-AH7)*N7)</f>
        <v/>
      </c>
      <c r="AK7" s="39">
        <f>IF(OR(AE7="",P7="",N7=""),"",IF(I7="Buy",AE7-P7,P7-AE7)*N7)</f>
        <v/>
      </c>
      <c r="AL7" s="39">
        <f>IF(OR(AJ7="",AK7=""),"",MAX(0,AJ7-AK7))</f>
        <v/>
      </c>
      <c r="AM7" s="39">
        <f>IF(AK7="","",(P7+AE7)*N7)</f>
        <v/>
      </c>
      <c r="AN7" s="55">
        <f>IF(AK7="","",BrokeragePerOrder*2*MAX(1,N(L7)))</f>
        <v/>
      </c>
      <c r="AO7" s="55">
        <f>IF(AK7="","",STTRate*IF(I7="Buy",AE7,P7)*N7)</f>
        <v/>
      </c>
      <c r="AP7" s="55">
        <f>IF(AK7="","",ExchRate*AM7)</f>
        <v/>
      </c>
      <c r="AQ7" s="55">
        <f>IF(AK7="","",SEBIRate*AM7)</f>
        <v/>
      </c>
      <c r="AR7" s="55">
        <f>IF(AK7="","",StampRate*IF(I7="Buy",P7,AE7)*N7)</f>
        <v/>
      </c>
      <c r="AS7" s="55">
        <f>IF(AK7="","",GSTRate*(AN7+AP7+AQ7))</f>
        <v/>
      </c>
      <c r="AT7" s="55">
        <f>IF(AK7="","",AN7+AO7+AP7+AQ7+AR7+AS7)</f>
        <v/>
      </c>
      <c r="AU7" s="39">
        <f>IF(AK7="","",AK7-AT7)</f>
        <v/>
      </c>
      <c r="AV7" s="56">
        <f>IF(AU7="","",AU7/IF(N(Z7)&gt;0,Z7,RiskPerTrade))</f>
        <v/>
      </c>
      <c r="AW7" s="31">
        <f>IF(AU7="","",AU7/Capital)</f>
        <v/>
      </c>
      <c r="AX7" s="37" t="inlineStr">
        <is>
          <t>Y</t>
        </is>
      </c>
      <c r="AY7" s="37" t="inlineStr">
        <is>
          <t>None</t>
        </is>
      </c>
      <c r="AZ7" s="37" t="inlineStr">
        <is>
          <t>Calm</t>
        </is>
      </c>
      <c r="BA7" s="37" t="inlineStr">
        <is>
          <t>Frustrated</t>
        </is>
      </c>
      <c r="BB7" s="37" t="inlineStr">
        <is>
          <t>B</t>
        </is>
      </c>
      <c r="BC7" s="37" t="n"/>
      <c r="BD7" s="37" t="inlineStr">
        <is>
          <t>Valid setup, SL order filled. A good loss = -1R.</t>
        </is>
      </c>
      <c r="BE7" s="5">
        <f>IF(AU7="","",IF(AU7&gt;0,"Win",IF(AU7&lt;0,"Loss","BE")))</f>
        <v/>
      </c>
      <c r="BF7" s="5">
        <f>IF(O7="","",LOOKUP(O7,List_BucketStart,List_BucketLabel))</f>
        <v/>
      </c>
      <c r="BG7" s="57">
        <f>IF(B7="","",B7-WEEKDAY(B7,3))</f>
        <v/>
      </c>
      <c r="BH7" s="28">
        <f>IF(B7="","",COUNTIF($B$6:B7,B7))</f>
        <v/>
      </c>
      <c r="BI7" s="39">
        <f>IF(B7="","",SUMIFS($AU$6:AU7,$B$6:B7,B7)-N(AU7))</f>
        <v/>
      </c>
      <c r="BJ7" s="5">
        <f>IF(OR(B7="",E7=""),"",IF(AND(E7=0,I7="Sell",MAX(N(O7),N(AD7))&gt;ExpiryCutoff),"BREACH","OK"))</f>
        <v/>
      </c>
      <c r="BK7" s="5">
        <f>IF(B7="","",IF(OR(AC7&lt;&gt;"OK",BJ7="BREACH",BH7&gt;MaxTradesDay,BI7&lt;=-DailyLossLimit,OR(AF7="Panic",AF7="Revenge",AF7="Rule break")),"CHECK","OK"))</f>
        <v/>
      </c>
      <c r="BL7" s="39">
        <f>IF(AU7="","",SUM($AU$6:AU7))</f>
        <v/>
      </c>
      <c r="BM7" s="39">
        <f>IF(BL7="","",Capital+BL7)</f>
        <v/>
      </c>
      <c r="BN7" s="39">
        <f>IF(BM7="","",MAX(Capital,MAX($BM$6:BM7)))</f>
        <v/>
      </c>
      <c r="BO7" s="39">
        <f>IF(BM7="","",BN7-BM7)</f>
        <v/>
      </c>
      <c r="BP7" s="58">
        <f>IF(BO7="","",BO7/BN7)</f>
        <v/>
      </c>
      <c r="BQ7" s="28">
        <f>IF(AU7="","",IF(AU7&lt;0,N(BQ6)+1,0))</f>
        <v/>
      </c>
    </row>
    <row r="8">
      <c r="A8" s="28">
        <f>IF(B8="","",COUNT($B$6:B8))</f>
        <v/>
      </c>
      <c r="B8" s="27" t="n">
        <v>46290</v>
      </c>
      <c r="C8" s="5">
        <f>IF(B8="","",TEXT(B8,"ddd"))</f>
        <v/>
      </c>
      <c r="D8" s="27" t="n">
        <v>46294</v>
      </c>
      <c r="E8" s="28">
        <f>IF(OR(B8="",D8=""),"",MAX(0,NETWORKDAYS(B8,D8)-1))</f>
        <v/>
      </c>
      <c r="F8" s="37" t="inlineStr">
        <is>
          <t>NIFTY</t>
        </is>
      </c>
      <c r="G8" s="36" t="n">
        <v>25600</v>
      </c>
      <c r="H8" s="37" t="inlineStr">
        <is>
          <t>PE</t>
        </is>
      </c>
      <c r="I8" s="37" t="inlineStr">
        <is>
          <t>Sell</t>
        </is>
      </c>
      <c r="J8" s="37" t="inlineStr">
        <is>
          <t>Naked Short Put</t>
        </is>
      </c>
      <c r="K8" s="37" t="inlineStr">
        <is>
          <t>P003</t>
        </is>
      </c>
      <c r="L8" s="36" t="n">
        <v>1</v>
      </c>
      <c r="M8" s="36" t="n">
        <v>1</v>
      </c>
      <c r="N8" s="33">
        <f>IF(M8="","",M8*LotSize)</f>
        <v/>
      </c>
      <c r="O8" s="51" t="n">
        <v>0.4805555555555556</v>
      </c>
      <c r="P8" s="32" t="n">
        <v>44</v>
      </c>
      <c r="Q8" s="29" t="n">
        <v>25735</v>
      </c>
      <c r="R8" s="30">
        <f>IF(OR(G8="",Q8="",H8=""),"",IF(H8="CE",G8-Q8,Q8-G8))</f>
        <v/>
      </c>
      <c r="S8" s="31">
        <f>IF(R8="","",R8/Q8)</f>
        <v/>
      </c>
      <c r="T8" s="38" t="n">
        <v>13.1</v>
      </c>
      <c r="U8" s="32" t="n">
        <v>0.27</v>
      </c>
      <c r="V8" s="52" t="n">
        <v>201000</v>
      </c>
      <c r="W8" s="37" t="inlineStr">
        <is>
          <t>N</t>
        </is>
      </c>
      <c r="X8" s="32" t="n"/>
      <c r="Y8" s="32" t="n">
        <v>10</v>
      </c>
      <c r="Z8" s="39">
        <f>IF(OR(X8="",P8="",N8=""),"",ABS(X8-P8)*N8)</f>
        <v/>
      </c>
      <c r="AA8" s="53">
        <f>IF(OR(Z8="",Y8=""),"",IF(Z8=0,"",ABS(P8-Y8)*N8/Z8))</f>
        <v/>
      </c>
      <c r="AB8" s="54">
        <f>IF(Z8="","",Z8/Capital)</f>
        <v/>
      </c>
      <c r="AC8" s="5">
        <f>IF(B8="","",IF(X8="","NO SL",IF(OR(N(M8)&gt;MaxLots,N(AB8)&gt;RiskPct),"OVERSIZED","OK")))</f>
        <v/>
      </c>
      <c r="AD8" s="51" t="n">
        <v>0.6215277777777778</v>
      </c>
      <c r="AE8" s="32" t="n">
        <v>112</v>
      </c>
      <c r="AF8" s="37" t="inlineStr">
        <is>
          <t>Revenge</t>
        </is>
      </c>
      <c r="AG8" s="32" t="n">
        <v>118</v>
      </c>
      <c r="AH8" s="32" t="n">
        <v>41</v>
      </c>
      <c r="AI8" s="39">
        <f>IF(OR(AG8="",P8="",N8=""),"",ABS(AG8-P8)*N8)</f>
        <v/>
      </c>
      <c r="AJ8" s="39">
        <f>IF(OR(AH8="",P8="",N8=""),"",ABS(P8-AH8)*N8)</f>
        <v/>
      </c>
      <c r="AK8" s="39">
        <f>IF(OR(AE8="",P8="",N8=""),"",IF(I8="Buy",AE8-P8,P8-AE8)*N8)</f>
        <v/>
      </c>
      <c r="AL8" s="39">
        <f>IF(OR(AJ8="",AK8=""),"",MAX(0,AJ8-AK8))</f>
        <v/>
      </c>
      <c r="AM8" s="39">
        <f>IF(AK8="","",(P8+AE8)*N8)</f>
        <v/>
      </c>
      <c r="AN8" s="55">
        <f>IF(AK8="","",BrokeragePerOrder*2*MAX(1,N(L8)))</f>
        <v/>
      </c>
      <c r="AO8" s="55">
        <f>IF(AK8="","",STTRate*IF(I8="Buy",AE8,P8)*N8)</f>
        <v/>
      </c>
      <c r="AP8" s="55">
        <f>IF(AK8="","",ExchRate*AM8)</f>
        <v/>
      </c>
      <c r="AQ8" s="55">
        <f>IF(AK8="","",SEBIRate*AM8)</f>
        <v/>
      </c>
      <c r="AR8" s="55">
        <f>IF(AK8="","",StampRate*IF(I8="Buy",P8,AE8)*N8)</f>
        <v/>
      </c>
      <c r="AS8" s="55">
        <f>IF(AK8="","",GSTRate*(AN8+AP8+AQ8))</f>
        <v/>
      </c>
      <c r="AT8" s="55">
        <f>IF(AK8="","",AN8+AO8+AP8+AQ8+AR8+AS8)</f>
        <v/>
      </c>
      <c r="AU8" s="39">
        <f>IF(AK8="","",AK8-AT8)</f>
        <v/>
      </c>
      <c r="AV8" s="56">
        <f>IF(AU8="","",AU8/IF(N(Z8)&gt;0,Z8,RiskPerTrade))</f>
        <v/>
      </c>
      <c r="AW8" s="31">
        <f>IF(AU8="","",AU8/Capital)</f>
        <v/>
      </c>
      <c r="AX8" s="37" t="inlineStr">
        <is>
          <t>N</t>
        </is>
      </c>
      <c r="AY8" s="37" t="inlineStr">
        <is>
          <t>R5 Revenge trade</t>
        </is>
      </c>
      <c r="AZ8" s="37" t="inlineStr">
        <is>
          <t>Angry / Revenge</t>
        </is>
      </c>
      <c r="BA8" s="37" t="inlineStr">
        <is>
          <t>Frustrated</t>
        </is>
      </c>
      <c r="BB8" s="37" t="inlineStr">
        <is>
          <t>C</t>
        </is>
      </c>
      <c r="BC8" s="37" t="n"/>
      <c r="BD8" s="37" t="inlineStr">
        <is>
          <t>Re-entered 12 min after SL to 'get it back'. No SL. Lost 3.4x the first loss.</t>
        </is>
      </c>
      <c r="BE8" s="5">
        <f>IF(AU8="","",IF(AU8&gt;0,"Win",IF(AU8&lt;0,"Loss","BE")))</f>
        <v/>
      </c>
      <c r="BF8" s="5">
        <f>IF(O8="","",LOOKUP(O8,List_BucketStart,List_BucketLabel))</f>
        <v/>
      </c>
      <c r="BG8" s="57">
        <f>IF(B8="","",B8-WEEKDAY(B8,3))</f>
        <v/>
      </c>
      <c r="BH8" s="28">
        <f>IF(B8="","",COUNTIF($B$6:B8,B8))</f>
        <v/>
      </c>
      <c r="BI8" s="39">
        <f>IF(B8="","",SUMIFS($AU$6:AU8,$B$6:B8,B8)-N(AU8))</f>
        <v/>
      </c>
      <c r="BJ8" s="5">
        <f>IF(OR(B8="",E8=""),"",IF(AND(E8=0,I8="Sell",MAX(N(O8),N(AD8))&gt;ExpiryCutoff),"BREACH","OK"))</f>
        <v/>
      </c>
      <c r="BK8" s="5">
        <f>IF(B8="","",IF(OR(AC8&lt;&gt;"OK",BJ8="BREACH",BH8&gt;MaxTradesDay,BI8&lt;=-DailyLossLimit,OR(AF8="Panic",AF8="Revenge",AF8="Rule break")),"CHECK","OK"))</f>
        <v/>
      </c>
      <c r="BL8" s="39">
        <f>IF(AU8="","",SUM($AU$6:AU8))</f>
        <v/>
      </c>
      <c r="BM8" s="39">
        <f>IF(BL8="","",Capital+BL8)</f>
        <v/>
      </c>
      <c r="BN8" s="39">
        <f>IF(BM8="","",MAX(Capital,MAX($BM$6:BM8)))</f>
        <v/>
      </c>
      <c r="BO8" s="39">
        <f>IF(BM8="","",BN8-BM8)</f>
        <v/>
      </c>
      <c r="BP8" s="58">
        <f>IF(BO8="","",BO8/BN8)</f>
        <v/>
      </c>
      <c r="BQ8" s="28">
        <f>IF(AU8="","",IF(AU8&lt;0,N(BQ7)+1,0))</f>
        <v/>
      </c>
    </row>
    <row r="9">
      <c r="A9" s="28">
        <f>IF(B9="","",COUNT($B$6:B9))</f>
        <v/>
      </c>
      <c r="B9" s="27" t="n">
        <v>46293</v>
      </c>
      <c r="C9" s="5">
        <f>IF(B9="","",TEXT(B9,"ddd"))</f>
        <v/>
      </c>
      <c r="D9" s="27" t="n">
        <v>46294</v>
      </c>
      <c r="E9" s="28">
        <f>IF(OR(B9="",D9=""),"",MAX(0,NETWORKDAYS(B9,D9)-1))</f>
        <v/>
      </c>
      <c r="F9" s="37" t="inlineStr">
        <is>
          <t>NIFTY</t>
        </is>
      </c>
      <c r="G9" s="36" t="n">
        <v>25500</v>
      </c>
      <c r="H9" s="37" t="inlineStr">
        <is>
          <t>PE</t>
        </is>
      </c>
      <c r="I9" s="37" t="inlineStr">
        <is>
          <t>Sell</t>
        </is>
      </c>
      <c r="J9" s="37" t="inlineStr">
        <is>
          <t>Bull Put Spread</t>
        </is>
      </c>
      <c r="K9" s="37" t="inlineStr">
        <is>
          <t>P004</t>
        </is>
      </c>
      <c r="L9" s="36" t="n">
        <v>2</v>
      </c>
      <c r="M9" s="36" t="n">
        <v>2</v>
      </c>
      <c r="N9" s="33">
        <f>IF(M9="","",M9*LotSize)</f>
        <v/>
      </c>
      <c r="O9" s="51" t="n">
        <v>0.4305555555555556</v>
      </c>
      <c r="P9" s="32" t="n">
        <v>18</v>
      </c>
      <c r="Q9" s="29" t="n">
        <v>25705</v>
      </c>
      <c r="R9" s="30">
        <f>IF(OR(G9="",Q9="",H9=""),"",IF(H9="CE",G9-Q9,Q9-G9))</f>
        <v/>
      </c>
      <c r="S9" s="31">
        <f>IF(R9="","",R9/Q9)</f>
        <v/>
      </c>
      <c r="T9" s="38" t="n">
        <v>12</v>
      </c>
      <c r="U9" s="32" t="n">
        <v>0.14</v>
      </c>
      <c r="V9" s="52" t="n">
        <v>58000</v>
      </c>
      <c r="W9" s="37" t="inlineStr">
        <is>
          <t>Y</t>
        </is>
      </c>
      <c r="X9" s="32" t="n">
        <v>27</v>
      </c>
      <c r="Y9" s="32" t="n">
        <v>6</v>
      </c>
      <c r="Z9" s="39">
        <f>IF(OR(X9="",P9="",N9=""),"",ABS(X9-P9)*N9)</f>
        <v/>
      </c>
      <c r="AA9" s="53">
        <f>IF(OR(Z9="",Y9=""),"",IF(Z9=0,"",ABS(P9-Y9)*N9/Z9))</f>
        <v/>
      </c>
      <c r="AB9" s="54">
        <f>IF(Z9="","",Z9/Capital)</f>
        <v/>
      </c>
      <c r="AC9" s="5">
        <f>IF(B9="","",IF(X9="","NO SL",IF(OR(N(M9)&gt;MaxLots,N(AB9)&gt;RiskPct),"OVERSIZED","OK")))</f>
        <v/>
      </c>
      <c r="AD9" s="51" t="n">
        <v>0.6041666666666666</v>
      </c>
      <c r="AE9" s="32" t="n">
        <v>7.5</v>
      </c>
      <c r="AF9" s="37" t="inlineStr">
        <is>
          <t>Time exit</t>
        </is>
      </c>
      <c r="AG9" s="32" t="n">
        <v>21.5</v>
      </c>
      <c r="AH9" s="32" t="n">
        <v>6.8</v>
      </c>
      <c r="AI9" s="39">
        <f>IF(OR(AG9="",P9="",N9=""),"",ABS(AG9-P9)*N9)</f>
        <v/>
      </c>
      <c r="AJ9" s="39">
        <f>IF(OR(AH9="",P9="",N9=""),"",ABS(P9-AH9)*N9)</f>
        <v/>
      </c>
      <c r="AK9" s="39">
        <f>IF(OR(AE9="",P9="",N9=""),"",IF(I9="Buy",AE9-P9,P9-AE9)*N9)</f>
        <v/>
      </c>
      <c r="AL9" s="39">
        <f>IF(OR(AJ9="",AK9=""),"",MAX(0,AJ9-AK9))</f>
        <v/>
      </c>
      <c r="AM9" s="39">
        <f>IF(AK9="","",(P9+AE9)*N9)</f>
        <v/>
      </c>
      <c r="AN9" s="55">
        <f>IF(AK9="","",BrokeragePerOrder*2*MAX(1,N(L9)))</f>
        <v/>
      </c>
      <c r="AO9" s="55">
        <f>IF(AK9="","",STTRate*IF(I9="Buy",AE9,P9)*N9)</f>
        <v/>
      </c>
      <c r="AP9" s="55">
        <f>IF(AK9="","",ExchRate*AM9)</f>
        <v/>
      </c>
      <c r="AQ9" s="55">
        <f>IF(AK9="","",SEBIRate*AM9)</f>
        <v/>
      </c>
      <c r="AR9" s="55">
        <f>IF(AK9="","",StampRate*IF(I9="Buy",P9,AE9)*N9)</f>
        <v/>
      </c>
      <c r="AS9" s="55">
        <f>IF(AK9="","",GSTRate*(AN9+AP9+AQ9))</f>
        <v/>
      </c>
      <c r="AT9" s="55">
        <f>IF(AK9="","",AN9+AO9+AP9+AQ9+AR9+AS9)</f>
        <v/>
      </c>
      <c r="AU9" s="39">
        <f>IF(AK9="","",AK9-AT9)</f>
        <v/>
      </c>
      <c r="AV9" s="56">
        <f>IF(AU9="","",AU9/IF(N(Z9)&gt;0,Z9,RiskPerTrade))</f>
        <v/>
      </c>
      <c r="AW9" s="31">
        <f>IF(AU9="","",AU9/Capital)</f>
        <v/>
      </c>
      <c r="AX9" s="37" t="inlineStr">
        <is>
          <t>Y</t>
        </is>
      </c>
      <c r="AY9" s="37" t="inlineStr">
        <is>
          <t>None</t>
        </is>
      </c>
      <c r="AZ9" s="37" t="inlineStr">
        <is>
          <t>Focused</t>
        </is>
      </c>
      <c r="BA9" s="37" t="inlineStr">
        <is>
          <t>Calm</t>
        </is>
      </c>
      <c r="BB9" s="37" t="inlineStr">
        <is>
          <t>A</t>
        </is>
      </c>
      <c r="BC9" s="37" t="n"/>
      <c r="BD9" s="37" t="inlineStr">
        <is>
          <t>25500/25300 PE spread. Time exit before close as per plan.</t>
        </is>
      </c>
      <c r="BE9" s="5">
        <f>IF(AU9="","",IF(AU9&gt;0,"Win",IF(AU9&lt;0,"Loss","BE")))</f>
        <v/>
      </c>
      <c r="BF9" s="5">
        <f>IF(O9="","",LOOKUP(O9,List_BucketStart,List_BucketLabel))</f>
        <v/>
      </c>
      <c r="BG9" s="57">
        <f>IF(B9="","",B9-WEEKDAY(B9,3))</f>
        <v/>
      </c>
      <c r="BH9" s="28">
        <f>IF(B9="","",COUNTIF($B$6:B9,B9))</f>
        <v/>
      </c>
      <c r="BI9" s="39">
        <f>IF(B9="","",SUMIFS($AU$6:AU9,$B$6:B9,B9)-N(AU9))</f>
        <v/>
      </c>
      <c r="BJ9" s="5">
        <f>IF(OR(B9="",E9=""),"",IF(AND(E9=0,I9="Sell",MAX(N(O9),N(AD9))&gt;ExpiryCutoff),"BREACH","OK"))</f>
        <v/>
      </c>
      <c r="BK9" s="5">
        <f>IF(B9="","",IF(OR(AC9&lt;&gt;"OK",BJ9="BREACH",BH9&gt;MaxTradesDay,BI9&lt;=-DailyLossLimit,OR(AF9="Panic",AF9="Revenge",AF9="Rule break")),"CHECK","OK"))</f>
        <v/>
      </c>
      <c r="BL9" s="39">
        <f>IF(AU9="","",SUM($AU$6:AU9))</f>
        <v/>
      </c>
      <c r="BM9" s="39">
        <f>IF(BL9="","",Capital+BL9)</f>
        <v/>
      </c>
      <c r="BN9" s="39">
        <f>IF(BM9="","",MAX(Capital,MAX($BM$6:BM9)))</f>
        <v/>
      </c>
      <c r="BO9" s="39">
        <f>IF(BM9="","",BN9-BM9)</f>
        <v/>
      </c>
      <c r="BP9" s="58">
        <f>IF(BO9="","",BO9/BN9)</f>
        <v/>
      </c>
      <c r="BQ9" s="28">
        <f>IF(AU9="","",IF(AU9&lt;0,N(BQ8)+1,0))</f>
        <v/>
      </c>
    </row>
    <row r="10">
      <c r="A10" s="28">
        <f>IF(B10="","",COUNT($B$6:B10))</f>
        <v/>
      </c>
      <c r="B10" s="27" t="n">
        <v>46294</v>
      </c>
      <c r="C10" s="5">
        <f>IF(B10="","",TEXT(B10,"ddd"))</f>
        <v/>
      </c>
      <c r="D10" s="27" t="n">
        <v>46294</v>
      </c>
      <c r="E10" s="28">
        <f>IF(OR(B10="",D10=""),"",MAX(0,NETWORKDAYS(B10,D10)-1))</f>
        <v/>
      </c>
      <c r="F10" s="37" t="inlineStr">
        <is>
          <t>NIFTY</t>
        </is>
      </c>
      <c r="G10" s="36" t="n">
        <v>25850</v>
      </c>
      <c r="H10" s="37" t="inlineStr">
        <is>
          <t>CE</t>
        </is>
      </c>
      <c r="I10" s="37" t="inlineStr">
        <is>
          <t>Sell</t>
        </is>
      </c>
      <c r="J10" s="37" t="inlineStr">
        <is>
          <t>Bear Call Spread</t>
        </is>
      </c>
      <c r="K10" s="37" t="inlineStr">
        <is>
          <t>P005</t>
        </is>
      </c>
      <c r="L10" s="36" t="n">
        <v>2</v>
      </c>
      <c r="M10" s="36" t="n">
        <v>5</v>
      </c>
      <c r="N10" s="33">
        <f>IF(M10="","",M10*LotSize)</f>
        <v/>
      </c>
      <c r="O10" s="51" t="n">
        <v>0.4444444444444444</v>
      </c>
      <c r="P10" s="32" t="n">
        <v>51</v>
      </c>
      <c r="Q10" s="29" t="n">
        <v>25815</v>
      </c>
      <c r="R10" s="30">
        <f>IF(OR(G10="",Q10="",H10=""),"",IF(H10="CE",G10-Q10,Q10-G10))</f>
        <v/>
      </c>
      <c r="S10" s="31">
        <f>IF(R10="","",R10/Q10)</f>
        <v/>
      </c>
      <c r="T10" s="38" t="n">
        <v>14.2</v>
      </c>
      <c r="U10" s="32" t="n">
        <v>0.38</v>
      </c>
      <c r="V10" s="52" t="n">
        <v>182000</v>
      </c>
      <c r="W10" s="37" t="inlineStr">
        <is>
          <t>Y</t>
        </is>
      </c>
      <c r="X10" s="32" t="n">
        <v>66</v>
      </c>
      <c r="Y10" s="32" t="n">
        <v>15</v>
      </c>
      <c r="Z10" s="39">
        <f>IF(OR(X10="",P10="",N10=""),"",ABS(X10-P10)*N10)</f>
        <v/>
      </c>
      <c r="AA10" s="53">
        <f>IF(OR(Z10="",Y10=""),"",IF(Z10=0,"",ABS(P10-Y10)*N10/Z10))</f>
        <v/>
      </c>
      <c r="AB10" s="54">
        <f>IF(Z10="","",Z10/Capital)</f>
        <v/>
      </c>
      <c r="AC10" s="5">
        <f>IF(B10="","",IF(X10="","NO SL",IF(OR(N(M10)&gt;MaxLots,N(AB10)&gt;RiskPct),"OVERSIZED","OK")))</f>
        <v/>
      </c>
      <c r="AD10" s="51" t="n">
        <v>0.6305555555555555</v>
      </c>
      <c r="AE10" s="32" t="n">
        <v>70</v>
      </c>
      <c r="AF10" s="37" t="inlineStr">
        <is>
          <t>Panic</t>
        </is>
      </c>
      <c r="AG10" s="32" t="n">
        <v>74</v>
      </c>
      <c r="AH10" s="32" t="n">
        <v>30</v>
      </c>
      <c r="AI10" s="39">
        <f>IF(OR(AG10="",P10="",N10=""),"",ABS(AG10-P10)*N10)</f>
        <v/>
      </c>
      <c r="AJ10" s="39">
        <f>IF(OR(AH10="",P10="",N10=""),"",ABS(P10-AH10)*N10)</f>
        <v/>
      </c>
      <c r="AK10" s="39">
        <f>IF(OR(AE10="",P10="",N10=""),"",IF(I10="Buy",AE10-P10,P10-AE10)*N10)</f>
        <v/>
      </c>
      <c r="AL10" s="39">
        <f>IF(OR(AJ10="",AK10=""),"",MAX(0,AJ10-AK10))</f>
        <v/>
      </c>
      <c r="AM10" s="39">
        <f>IF(AK10="","",(P10+AE10)*N10)</f>
        <v/>
      </c>
      <c r="AN10" s="55">
        <f>IF(AK10="","",BrokeragePerOrder*2*MAX(1,N(L10)))</f>
        <v/>
      </c>
      <c r="AO10" s="55">
        <f>IF(AK10="","",STTRate*IF(I10="Buy",AE10,P10)*N10)</f>
        <v/>
      </c>
      <c r="AP10" s="55">
        <f>IF(AK10="","",ExchRate*AM10)</f>
        <v/>
      </c>
      <c r="AQ10" s="55">
        <f>IF(AK10="","",SEBIRate*AM10)</f>
        <v/>
      </c>
      <c r="AR10" s="55">
        <f>IF(AK10="","",StampRate*IF(I10="Buy",P10,AE10)*N10)</f>
        <v/>
      </c>
      <c r="AS10" s="55">
        <f>IF(AK10="","",GSTRate*(AN10+AP10+AQ10))</f>
        <v/>
      </c>
      <c r="AT10" s="55">
        <f>IF(AK10="","",AN10+AO10+AP10+AQ10+AR10+AS10)</f>
        <v/>
      </c>
      <c r="AU10" s="39">
        <f>IF(AK10="","",AK10-AT10)</f>
        <v/>
      </c>
      <c r="AV10" s="56">
        <f>IF(AU10="","",AU10/IF(N(Z10)&gt;0,Z10,RiskPerTrade))</f>
        <v/>
      </c>
      <c r="AW10" s="31">
        <f>IF(AU10="","",AU10/Capital)</f>
        <v/>
      </c>
      <c r="AX10" s="37" t="inlineStr">
        <is>
          <t>N</t>
        </is>
      </c>
      <c r="AY10" s="37" t="inlineStr">
        <is>
          <t>R4 Held short past expiry cutoff</t>
        </is>
      </c>
      <c r="AZ10" s="37" t="inlineStr">
        <is>
          <t>Greedy</t>
        </is>
      </c>
      <c r="BA10" s="37" t="inlineStr">
        <is>
          <t>Fearful</t>
        </is>
      </c>
      <c r="BB10" s="37" t="inlineStr">
        <is>
          <t>B</t>
        </is>
      </c>
      <c r="BC10" s="37" t="n"/>
      <c r="BD10" s="37" t="inlineStr">
        <is>
          <t>Expiry day: 51 → 30 (41% captured) → 70. No trail, SL only mental, 5 lots (cap 2), held past 14:45 into gamma spike. Booking/trailing near 30-40 = +₹3,400 to +₹6,800 instead of -₹6,175.</t>
        </is>
      </c>
      <c r="BE10" s="5">
        <f>IF(AU10="","",IF(AU10&gt;0,"Win",IF(AU10&lt;0,"Loss","BE")))</f>
        <v/>
      </c>
      <c r="BF10" s="5">
        <f>IF(O10="","",LOOKUP(O10,List_BucketStart,List_BucketLabel))</f>
        <v/>
      </c>
      <c r="BG10" s="57">
        <f>IF(B10="","",B10-WEEKDAY(B10,3))</f>
        <v/>
      </c>
      <c r="BH10" s="28">
        <f>IF(B10="","",COUNTIF($B$6:B10,B10))</f>
        <v/>
      </c>
      <c r="BI10" s="39">
        <f>IF(B10="","",SUMIFS($AU$6:AU10,$B$6:B10,B10)-N(AU10))</f>
        <v/>
      </c>
      <c r="BJ10" s="5">
        <f>IF(OR(B10="",E10=""),"",IF(AND(E10=0,I10="Sell",MAX(N(O10),N(AD10))&gt;ExpiryCutoff),"BREACH","OK"))</f>
        <v/>
      </c>
      <c r="BK10" s="5">
        <f>IF(B10="","",IF(OR(AC10&lt;&gt;"OK",BJ10="BREACH",BH10&gt;MaxTradesDay,BI10&lt;=-DailyLossLimit,OR(AF10="Panic",AF10="Revenge",AF10="Rule break")),"CHECK","OK"))</f>
        <v/>
      </c>
      <c r="BL10" s="39">
        <f>IF(AU10="","",SUM($AU$6:AU10))</f>
        <v/>
      </c>
      <c r="BM10" s="39">
        <f>IF(BL10="","",Capital+BL10)</f>
        <v/>
      </c>
      <c r="BN10" s="39">
        <f>IF(BM10="","",MAX(Capital,MAX($BM$6:BM10)))</f>
        <v/>
      </c>
      <c r="BO10" s="39">
        <f>IF(BM10="","",BN10-BM10)</f>
        <v/>
      </c>
      <c r="BP10" s="58">
        <f>IF(BO10="","",BO10/BN10)</f>
        <v/>
      </c>
      <c r="BQ10" s="28">
        <f>IF(AU10="","",IF(AU10&lt;0,N(BQ9)+1,0))</f>
        <v/>
      </c>
    </row>
    <row r="11">
      <c r="A11" s="28">
        <f>IF(B11="","",COUNT($B$6:B11))</f>
        <v/>
      </c>
      <c r="B11" s="27" t="n"/>
      <c r="C11" s="5">
        <f>IF(B11="","",TEXT(B11,"ddd"))</f>
        <v/>
      </c>
      <c r="D11" s="27" t="n"/>
      <c r="E11" s="28">
        <f>IF(OR(B11="",D11=""),"",MAX(0,NETWORKDAYS(B11,D11)-1))</f>
        <v/>
      </c>
      <c r="F11" s="37" t="n"/>
      <c r="G11" s="36" t="n"/>
      <c r="H11" s="37" t="n"/>
      <c r="I11" s="37" t="n"/>
      <c r="J11" s="37" t="n"/>
      <c r="K11" s="37" t="n"/>
      <c r="L11" s="36" t="n"/>
      <c r="M11" s="36" t="n"/>
      <c r="N11" s="33">
        <f>IF(M11="","",M11*LotSize)</f>
        <v/>
      </c>
      <c r="O11" s="51" t="n"/>
      <c r="P11" s="32" t="n"/>
      <c r="Q11" s="29" t="n"/>
      <c r="R11" s="30">
        <f>IF(OR(G11="",Q11="",H11=""),"",IF(H11="CE",G11-Q11,Q11-G11))</f>
        <v/>
      </c>
      <c r="S11" s="31">
        <f>IF(R11="","",R11/Q11)</f>
        <v/>
      </c>
      <c r="T11" s="38" t="n"/>
      <c r="U11" s="32" t="n"/>
      <c r="V11" s="52" t="n"/>
      <c r="W11" s="37" t="n"/>
      <c r="X11" s="32" t="n"/>
      <c r="Y11" s="32" t="n"/>
      <c r="Z11" s="39">
        <f>IF(OR(X11="",P11="",N11=""),"",ABS(X11-P11)*N11)</f>
        <v/>
      </c>
      <c r="AA11" s="53">
        <f>IF(OR(Z11="",Y11=""),"",IF(Z11=0,"",ABS(P11-Y11)*N11/Z11))</f>
        <v/>
      </c>
      <c r="AB11" s="54">
        <f>IF(Z11="","",Z11/Capital)</f>
        <v/>
      </c>
      <c r="AC11" s="5">
        <f>IF(B11="","",IF(X11="","NO SL",IF(OR(N(M11)&gt;MaxLots,N(AB11)&gt;RiskPct),"OVERSIZED","OK")))</f>
        <v/>
      </c>
      <c r="AD11" s="51" t="n"/>
      <c r="AE11" s="32" t="n"/>
      <c r="AF11" s="37" t="n"/>
      <c r="AG11" s="32" t="n"/>
      <c r="AH11" s="32" t="n"/>
      <c r="AI11" s="39">
        <f>IF(OR(AG11="",P11="",N11=""),"",ABS(AG11-P11)*N11)</f>
        <v/>
      </c>
      <c r="AJ11" s="39">
        <f>IF(OR(AH11="",P11="",N11=""),"",ABS(P11-AH11)*N11)</f>
        <v/>
      </c>
      <c r="AK11" s="39">
        <f>IF(OR(AE11="",P11="",N11=""),"",IF(I11="Buy",AE11-P11,P11-AE11)*N11)</f>
        <v/>
      </c>
      <c r="AL11" s="39">
        <f>IF(OR(AJ11="",AK11=""),"",MAX(0,AJ11-AK11))</f>
        <v/>
      </c>
      <c r="AM11" s="39">
        <f>IF(AK11="","",(P11+AE11)*N11)</f>
        <v/>
      </c>
      <c r="AN11" s="55">
        <f>IF(AK11="","",BrokeragePerOrder*2*MAX(1,N(L11)))</f>
        <v/>
      </c>
      <c r="AO11" s="55">
        <f>IF(AK11="","",STTRate*IF(I11="Buy",AE11,P11)*N11)</f>
        <v/>
      </c>
      <c r="AP11" s="55">
        <f>IF(AK11="","",ExchRate*AM11)</f>
        <v/>
      </c>
      <c r="AQ11" s="55">
        <f>IF(AK11="","",SEBIRate*AM11)</f>
        <v/>
      </c>
      <c r="AR11" s="55">
        <f>IF(AK11="","",StampRate*IF(I11="Buy",P11,AE11)*N11)</f>
        <v/>
      </c>
      <c r="AS11" s="55">
        <f>IF(AK11="","",GSTRate*(AN11+AP11+AQ11))</f>
        <v/>
      </c>
      <c r="AT11" s="55">
        <f>IF(AK11="","",AN11+AO11+AP11+AQ11+AR11+AS11)</f>
        <v/>
      </c>
      <c r="AU11" s="39">
        <f>IF(AK11="","",AK11-AT11)</f>
        <v/>
      </c>
      <c r="AV11" s="56">
        <f>IF(AU11="","",AU11/IF(N(Z11)&gt;0,Z11,RiskPerTrade))</f>
        <v/>
      </c>
      <c r="AW11" s="31">
        <f>IF(AU11="","",AU11/Capital)</f>
        <v/>
      </c>
      <c r="AX11" s="37" t="n"/>
      <c r="AY11" s="37" t="n"/>
      <c r="AZ11" s="37" t="n"/>
      <c r="BA11" s="37" t="n"/>
      <c r="BB11" s="37" t="n"/>
      <c r="BC11" s="37" t="n"/>
      <c r="BD11" s="37" t="n"/>
      <c r="BE11" s="5">
        <f>IF(AU11="","",IF(AU11&gt;0,"Win",IF(AU11&lt;0,"Loss","BE")))</f>
        <v/>
      </c>
      <c r="BF11" s="5">
        <f>IF(O11="","",LOOKUP(O11,List_BucketStart,List_BucketLabel))</f>
        <v/>
      </c>
      <c r="BG11" s="57">
        <f>IF(B11="","",B11-WEEKDAY(B11,3))</f>
        <v/>
      </c>
      <c r="BH11" s="28">
        <f>IF(B11="","",COUNTIF($B$6:B11,B11))</f>
        <v/>
      </c>
      <c r="BI11" s="39">
        <f>IF(B11="","",SUMIFS($AU$6:AU11,$B$6:B11,B11)-N(AU11))</f>
        <v/>
      </c>
      <c r="BJ11" s="5">
        <f>IF(OR(B11="",E11=""),"",IF(AND(E11=0,I11="Sell",MAX(N(O11),N(AD11))&gt;ExpiryCutoff),"BREACH","OK"))</f>
        <v/>
      </c>
      <c r="BK11" s="5">
        <f>IF(B11="","",IF(OR(AC11&lt;&gt;"OK",BJ11="BREACH",BH11&gt;MaxTradesDay,BI11&lt;=-DailyLossLimit,OR(AF11="Panic",AF11="Revenge",AF11="Rule break")),"CHECK","OK"))</f>
        <v/>
      </c>
      <c r="BL11" s="39">
        <f>IF(AU11="","",SUM($AU$6:AU11))</f>
        <v/>
      </c>
      <c r="BM11" s="39">
        <f>IF(BL11="","",Capital+BL11)</f>
        <v/>
      </c>
      <c r="BN11" s="39">
        <f>IF(BM11="","",MAX(Capital,MAX($BM$6:BM11)))</f>
        <v/>
      </c>
      <c r="BO11" s="39">
        <f>IF(BM11="","",BN11-BM11)</f>
        <v/>
      </c>
      <c r="BP11" s="58">
        <f>IF(BO11="","",BO11/BN11)</f>
        <v/>
      </c>
      <c r="BQ11" s="28">
        <f>IF(AU11="","",IF(AU11&lt;0,N(BQ10)+1,0))</f>
        <v/>
      </c>
    </row>
    <row r="12">
      <c r="A12" s="28">
        <f>IF(B12="","",COUNT($B$6:B12))</f>
        <v/>
      </c>
      <c r="B12" s="27" t="n"/>
      <c r="C12" s="5">
        <f>IF(B12="","",TEXT(B12,"ddd"))</f>
        <v/>
      </c>
      <c r="D12" s="27" t="n"/>
      <c r="E12" s="28">
        <f>IF(OR(B12="",D12=""),"",MAX(0,NETWORKDAYS(B12,D12)-1))</f>
        <v/>
      </c>
      <c r="F12" s="37" t="n"/>
      <c r="G12" s="36" t="n"/>
      <c r="H12" s="37" t="n"/>
      <c r="I12" s="37" t="n"/>
      <c r="J12" s="37" t="n"/>
      <c r="K12" s="37" t="n"/>
      <c r="L12" s="36" t="n"/>
      <c r="M12" s="36" t="n"/>
      <c r="N12" s="33">
        <f>IF(M12="","",M12*LotSize)</f>
        <v/>
      </c>
      <c r="O12" s="51" t="n"/>
      <c r="P12" s="32" t="n"/>
      <c r="Q12" s="29" t="n"/>
      <c r="R12" s="30">
        <f>IF(OR(G12="",Q12="",H12=""),"",IF(H12="CE",G12-Q12,Q12-G12))</f>
        <v/>
      </c>
      <c r="S12" s="31">
        <f>IF(R12="","",R12/Q12)</f>
        <v/>
      </c>
      <c r="T12" s="38" t="n"/>
      <c r="U12" s="32" t="n"/>
      <c r="V12" s="52" t="n"/>
      <c r="W12" s="37" t="n"/>
      <c r="X12" s="32" t="n"/>
      <c r="Y12" s="32" t="n"/>
      <c r="Z12" s="39">
        <f>IF(OR(X12="",P12="",N12=""),"",ABS(X12-P12)*N12)</f>
        <v/>
      </c>
      <c r="AA12" s="53">
        <f>IF(OR(Z12="",Y12=""),"",IF(Z12=0,"",ABS(P12-Y12)*N12/Z12))</f>
        <v/>
      </c>
      <c r="AB12" s="54">
        <f>IF(Z12="","",Z12/Capital)</f>
        <v/>
      </c>
      <c r="AC12" s="5">
        <f>IF(B12="","",IF(X12="","NO SL",IF(OR(N(M12)&gt;MaxLots,N(AB12)&gt;RiskPct),"OVERSIZED","OK")))</f>
        <v/>
      </c>
      <c r="AD12" s="51" t="n"/>
      <c r="AE12" s="32" t="n"/>
      <c r="AF12" s="37" t="n"/>
      <c r="AG12" s="32" t="n"/>
      <c r="AH12" s="32" t="n"/>
      <c r="AI12" s="39">
        <f>IF(OR(AG12="",P12="",N12=""),"",ABS(AG12-P12)*N12)</f>
        <v/>
      </c>
      <c r="AJ12" s="39">
        <f>IF(OR(AH12="",P12="",N12=""),"",ABS(P12-AH12)*N12)</f>
        <v/>
      </c>
      <c r="AK12" s="39">
        <f>IF(OR(AE12="",P12="",N12=""),"",IF(I12="Buy",AE12-P12,P12-AE12)*N12)</f>
        <v/>
      </c>
      <c r="AL12" s="39">
        <f>IF(OR(AJ12="",AK12=""),"",MAX(0,AJ12-AK12))</f>
        <v/>
      </c>
      <c r="AM12" s="39">
        <f>IF(AK12="","",(P12+AE12)*N12)</f>
        <v/>
      </c>
      <c r="AN12" s="55">
        <f>IF(AK12="","",BrokeragePerOrder*2*MAX(1,N(L12)))</f>
        <v/>
      </c>
      <c r="AO12" s="55">
        <f>IF(AK12="","",STTRate*IF(I12="Buy",AE12,P12)*N12)</f>
        <v/>
      </c>
      <c r="AP12" s="55">
        <f>IF(AK12="","",ExchRate*AM12)</f>
        <v/>
      </c>
      <c r="AQ12" s="55">
        <f>IF(AK12="","",SEBIRate*AM12)</f>
        <v/>
      </c>
      <c r="AR12" s="55">
        <f>IF(AK12="","",StampRate*IF(I12="Buy",P12,AE12)*N12)</f>
        <v/>
      </c>
      <c r="AS12" s="55">
        <f>IF(AK12="","",GSTRate*(AN12+AP12+AQ12))</f>
        <v/>
      </c>
      <c r="AT12" s="55">
        <f>IF(AK12="","",AN12+AO12+AP12+AQ12+AR12+AS12)</f>
        <v/>
      </c>
      <c r="AU12" s="39">
        <f>IF(AK12="","",AK12-AT12)</f>
        <v/>
      </c>
      <c r="AV12" s="56">
        <f>IF(AU12="","",AU12/IF(N(Z12)&gt;0,Z12,RiskPerTrade))</f>
        <v/>
      </c>
      <c r="AW12" s="31">
        <f>IF(AU12="","",AU12/Capital)</f>
        <v/>
      </c>
      <c r="AX12" s="37" t="n"/>
      <c r="AY12" s="37" t="n"/>
      <c r="AZ12" s="37" t="n"/>
      <c r="BA12" s="37" t="n"/>
      <c r="BB12" s="37" t="n"/>
      <c r="BC12" s="37" t="n"/>
      <c r="BD12" s="37" t="n"/>
      <c r="BE12" s="5">
        <f>IF(AU12="","",IF(AU12&gt;0,"Win",IF(AU12&lt;0,"Loss","BE")))</f>
        <v/>
      </c>
      <c r="BF12" s="5">
        <f>IF(O12="","",LOOKUP(O12,List_BucketStart,List_BucketLabel))</f>
        <v/>
      </c>
      <c r="BG12" s="57">
        <f>IF(B12="","",B12-WEEKDAY(B12,3))</f>
        <v/>
      </c>
      <c r="BH12" s="28">
        <f>IF(B12="","",COUNTIF($B$6:B12,B12))</f>
        <v/>
      </c>
      <c r="BI12" s="39">
        <f>IF(B12="","",SUMIFS($AU$6:AU12,$B$6:B12,B12)-N(AU12))</f>
        <v/>
      </c>
      <c r="BJ12" s="5">
        <f>IF(OR(B12="",E12=""),"",IF(AND(E12=0,I12="Sell",MAX(N(O12),N(AD12))&gt;ExpiryCutoff),"BREACH","OK"))</f>
        <v/>
      </c>
      <c r="BK12" s="5">
        <f>IF(B12="","",IF(OR(AC12&lt;&gt;"OK",BJ12="BREACH",BH12&gt;MaxTradesDay,BI12&lt;=-DailyLossLimit,OR(AF12="Panic",AF12="Revenge",AF12="Rule break")),"CHECK","OK"))</f>
        <v/>
      </c>
      <c r="BL12" s="39">
        <f>IF(AU12="","",SUM($AU$6:AU12))</f>
        <v/>
      </c>
      <c r="BM12" s="39">
        <f>IF(BL12="","",Capital+BL12)</f>
        <v/>
      </c>
      <c r="BN12" s="39">
        <f>IF(BM12="","",MAX(Capital,MAX($BM$6:BM12)))</f>
        <v/>
      </c>
      <c r="BO12" s="39">
        <f>IF(BM12="","",BN12-BM12)</f>
        <v/>
      </c>
      <c r="BP12" s="58">
        <f>IF(BO12="","",BO12/BN12)</f>
        <v/>
      </c>
      <c r="BQ12" s="28">
        <f>IF(AU12="","",IF(AU12&lt;0,N(BQ11)+1,0))</f>
        <v/>
      </c>
    </row>
    <row r="13">
      <c r="A13" s="28">
        <f>IF(B13="","",COUNT($B$6:B13))</f>
        <v/>
      </c>
      <c r="B13" s="27" t="n"/>
      <c r="C13" s="5">
        <f>IF(B13="","",TEXT(B13,"ddd"))</f>
        <v/>
      </c>
      <c r="D13" s="27" t="n"/>
      <c r="E13" s="28">
        <f>IF(OR(B13="",D13=""),"",MAX(0,NETWORKDAYS(B13,D13)-1))</f>
        <v/>
      </c>
      <c r="F13" s="37" t="n"/>
      <c r="G13" s="36" t="n"/>
      <c r="H13" s="37" t="n"/>
      <c r="I13" s="37" t="n"/>
      <c r="J13" s="37" t="n"/>
      <c r="K13" s="37" t="n"/>
      <c r="L13" s="36" t="n"/>
      <c r="M13" s="36" t="n"/>
      <c r="N13" s="33">
        <f>IF(M13="","",M13*LotSize)</f>
        <v/>
      </c>
      <c r="O13" s="51" t="n"/>
      <c r="P13" s="32" t="n"/>
      <c r="Q13" s="29" t="n"/>
      <c r="R13" s="30">
        <f>IF(OR(G13="",Q13="",H13=""),"",IF(H13="CE",G13-Q13,Q13-G13))</f>
        <v/>
      </c>
      <c r="S13" s="31">
        <f>IF(R13="","",R13/Q13)</f>
        <v/>
      </c>
      <c r="T13" s="38" t="n"/>
      <c r="U13" s="32" t="n"/>
      <c r="V13" s="52" t="n"/>
      <c r="W13" s="37" t="n"/>
      <c r="X13" s="32" t="n"/>
      <c r="Y13" s="32" t="n"/>
      <c r="Z13" s="39">
        <f>IF(OR(X13="",P13="",N13=""),"",ABS(X13-P13)*N13)</f>
        <v/>
      </c>
      <c r="AA13" s="53">
        <f>IF(OR(Z13="",Y13=""),"",IF(Z13=0,"",ABS(P13-Y13)*N13/Z13))</f>
        <v/>
      </c>
      <c r="AB13" s="54">
        <f>IF(Z13="","",Z13/Capital)</f>
        <v/>
      </c>
      <c r="AC13" s="5">
        <f>IF(B13="","",IF(X13="","NO SL",IF(OR(N(M13)&gt;MaxLots,N(AB13)&gt;RiskPct),"OVERSIZED","OK")))</f>
        <v/>
      </c>
      <c r="AD13" s="51" t="n"/>
      <c r="AE13" s="32" t="n"/>
      <c r="AF13" s="37" t="n"/>
      <c r="AG13" s="32" t="n"/>
      <c r="AH13" s="32" t="n"/>
      <c r="AI13" s="39">
        <f>IF(OR(AG13="",P13="",N13=""),"",ABS(AG13-P13)*N13)</f>
        <v/>
      </c>
      <c r="AJ13" s="39">
        <f>IF(OR(AH13="",P13="",N13=""),"",ABS(P13-AH13)*N13)</f>
        <v/>
      </c>
      <c r="AK13" s="39">
        <f>IF(OR(AE13="",P13="",N13=""),"",IF(I13="Buy",AE13-P13,P13-AE13)*N13)</f>
        <v/>
      </c>
      <c r="AL13" s="39">
        <f>IF(OR(AJ13="",AK13=""),"",MAX(0,AJ13-AK13))</f>
        <v/>
      </c>
      <c r="AM13" s="39">
        <f>IF(AK13="","",(P13+AE13)*N13)</f>
        <v/>
      </c>
      <c r="AN13" s="55">
        <f>IF(AK13="","",BrokeragePerOrder*2*MAX(1,N(L13)))</f>
        <v/>
      </c>
      <c r="AO13" s="55">
        <f>IF(AK13="","",STTRate*IF(I13="Buy",AE13,P13)*N13)</f>
        <v/>
      </c>
      <c r="AP13" s="55">
        <f>IF(AK13="","",ExchRate*AM13)</f>
        <v/>
      </c>
      <c r="AQ13" s="55">
        <f>IF(AK13="","",SEBIRate*AM13)</f>
        <v/>
      </c>
      <c r="AR13" s="55">
        <f>IF(AK13="","",StampRate*IF(I13="Buy",P13,AE13)*N13)</f>
        <v/>
      </c>
      <c r="AS13" s="55">
        <f>IF(AK13="","",GSTRate*(AN13+AP13+AQ13))</f>
        <v/>
      </c>
      <c r="AT13" s="55">
        <f>IF(AK13="","",AN13+AO13+AP13+AQ13+AR13+AS13)</f>
        <v/>
      </c>
      <c r="AU13" s="39">
        <f>IF(AK13="","",AK13-AT13)</f>
        <v/>
      </c>
      <c r="AV13" s="56">
        <f>IF(AU13="","",AU13/IF(N(Z13)&gt;0,Z13,RiskPerTrade))</f>
        <v/>
      </c>
      <c r="AW13" s="31">
        <f>IF(AU13="","",AU13/Capital)</f>
        <v/>
      </c>
      <c r="AX13" s="37" t="n"/>
      <c r="AY13" s="37" t="n"/>
      <c r="AZ13" s="37" t="n"/>
      <c r="BA13" s="37" t="n"/>
      <c r="BB13" s="37" t="n"/>
      <c r="BC13" s="37" t="n"/>
      <c r="BD13" s="37" t="n"/>
      <c r="BE13" s="5">
        <f>IF(AU13="","",IF(AU13&gt;0,"Win",IF(AU13&lt;0,"Loss","BE")))</f>
        <v/>
      </c>
      <c r="BF13" s="5">
        <f>IF(O13="","",LOOKUP(O13,List_BucketStart,List_BucketLabel))</f>
        <v/>
      </c>
      <c r="BG13" s="57">
        <f>IF(B13="","",B13-WEEKDAY(B13,3))</f>
        <v/>
      </c>
      <c r="BH13" s="28">
        <f>IF(B13="","",COUNTIF($B$6:B13,B13))</f>
        <v/>
      </c>
      <c r="BI13" s="39">
        <f>IF(B13="","",SUMIFS($AU$6:AU13,$B$6:B13,B13)-N(AU13))</f>
        <v/>
      </c>
      <c r="BJ13" s="5">
        <f>IF(OR(B13="",E13=""),"",IF(AND(E13=0,I13="Sell",MAX(N(O13),N(AD13))&gt;ExpiryCutoff),"BREACH","OK"))</f>
        <v/>
      </c>
      <c r="BK13" s="5">
        <f>IF(B13="","",IF(OR(AC13&lt;&gt;"OK",BJ13="BREACH",BH13&gt;MaxTradesDay,BI13&lt;=-DailyLossLimit,OR(AF13="Panic",AF13="Revenge",AF13="Rule break")),"CHECK","OK"))</f>
        <v/>
      </c>
      <c r="BL13" s="39">
        <f>IF(AU13="","",SUM($AU$6:AU13))</f>
        <v/>
      </c>
      <c r="BM13" s="39">
        <f>IF(BL13="","",Capital+BL13)</f>
        <v/>
      </c>
      <c r="BN13" s="39">
        <f>IF(BM13="","",MAX(Capital,MAX($BM$6:BM13)))</f>
        <v/>
      </c>
      <c r="BO13" s="39">
        <f>IF(BM13="","",BN13-BM13)</f>
        <v/>
      </c>
      <c r="BP13" s="58">
        <f>IF(BO13="","",BO13/BN13)</f>
        <v/>
      </c>
      <c r="BQ13" s="28">
        <f>IF(AU13="","",IF(AU13&lt;0,N(BQ12)+1,0))</f>
        <v/>
      </c>
    </row>
    <row r="14">
      <c r="A14" s="28">
        <f>IF(B14="","",COUNT($B$6:B14))</f>
        <v/>
      </c>
      <c r="B14" s="27" t="n"/>
      <c r="C14" s="5">
        <f>IF(B14="","",TEXT(B14,"ddd"))</f>
        <v/>
      </c>
      <c r="D14" s="27" t="n"/>
      <c r="E14" s="28">
        <f>IF(OR(B14="",D14=""),"",MAX(0,NETWORKDAYS(B14,D14)-1))</f>
        <v/>
      </c>
      <c r="F14" s="37" t="n"/>
      <c r="G14" s="36" t="n"/>
      <c r="H14" s="37" t="n"/>
      <c r="I14" s="37" t="n"/>
      <c r="J14" s="37" t="n"/>
      <c r="K14" s="37" t="n"/>
      <c r="L14" s="36" t="n"/>
      <c r="M14" s="36" t="n"/>
      <c r="N14" s="33">
        <f>IF(M14="","",M14*LotSize)</f>
        <v/>
      </c>
      <c r="O14" s="51" t="n"/>
      <c r="P14" s="32" t="n"/>
      <c r="Q14" s="29" t="n"/>
      <c r="R14" s="30">
        <f>IF(OR(G14="",Q14="",H14=""),"",IF(H14="CE",G14-Q14,Q14-G14))</f>
        <v/>
      </c>
      <c r="S14" s="31">
        <f>IF(R14="","",R14/Q14)</f>
        <v/>
      </c>
      <c r="T14" s="38" t="n"/>
      <c r="U14" s="32" t="n"/>
      <c r="V14" s="52" t="n"/>
      <c r="W14" s="37" t="n"/>
      <c r="X14" s="32" t="n"/>
      <c r="Y14" s="32" t="n"/>
      <c r="Z14" s="39">
        <f>IF(OR(X14="",P14="",N14=""),"",ABS(X14-P14)*N14)</f>
        <v/>
      </c>
      <c r="AA14" s="53">
        <f>IF(OR(Z14="",Y14=""),"",IF(Z14=0,"",ABS(P14-Y14)*N14/Z14))</f>
        <v/>
      </c>
      <c r="AB14" s="54">
        <f>IF(Z14="","",Z14/Capital)</f>
        <v/>
      </c>
      <c r="AC14" s="5">
        <f>IF(B14="","",IF(X14="","NO SL",IF(OR(N(M14)&gt;MaxLots,N(AB14)&gt;RiskPct),"OVERSIZED","OK")))</f>
        <v/>
      </c>
      <c r="AD14" s="51" t="n"/>
      <c r="AE14" s="32" t="n"/>
      <c r="AF14" s="37" t="n"/>
      <c r="AG14" s="32" t="n"/>
      <c r="AH14" s="32" t="n"/>
      <c r="AI14" s="39">
        <f>IF(OR(AG14="",P14="",N14=""),"",ABS(AG14-P14)*N14)</f>
        <v/>
      </c>
      <c r="AJ14" s="39">
        <f>IF(OR(AH14="",P14="",N14=""),"",ABS(P14-AH14)*N14)</f>
        <v/>
      </c>
      <c r="AK14" s="39">
        <f>IF(OR(AE14="",P14="",N14=""),"",IF(I14="Buy",AE14-P14,P14-AE14)*N14)</f>
        <v/>
      </c>
      <c r="AL14" s="39">
        <f>IF(OR(AJ14="",AK14=""),"",MAX(0,AJ14-AK14))</f>
        <v/>
      </c>
      <c r="AM14" s="39">
        <f>IF(AK14="","",(P14+AE14)*N14)</f>
        <v/>
      </c>
      <c r="AN14" s="55">
        <f>IF(AK14="","",BrokeragePerOrder*2*MAX(1,N(L14)))</f>
        <v/>
      </c>
      <c r="AO14" s="55">
        <f>IF(AK14="","",STTRate*IF(I14="Buy",AE14,P14)*N14)</f>
        <v/>
      </c>
      <c r="AP14" s="55">
        <f>IF(AK14="","",ExchRate*AM14)</f>
        <v/>
      </c>
      <c r="AQ14" s="55">
        <f>IF(AK14="","",SEBIRate*AM14)</f>
        <v/>
      </c>
      <c r="AR14" s="55">
        <f>IF(AK14="","",StampRate*IF(I14="Buy",P14,AE14)*N14)</f>
        <v/>
      </c>
      <c r="AS14" s="55">
        <f>IF(AK14="","",GSTRate*(AN14+AP14+AQ14))</f>
        <v/>
      </c>
      <c r="AT14" s="55">
        <f>IF(AK14="","",AN14+AO14+AP14+AQ14+AR14+AS14)</f>
        <v/>
      </c>
      <c r="AU14" s="39">
        <f>IF(AK14="","",AK14-AT14)</f>
        <v/>
      </c>
      <c r="AV14" s="56">
        <f>IF(AU14="","",AU14/IF(N(Z14)&gt;0,Z14,RiskPerTrade))</f>
        <v/>
      </c>
      <c r="AW14" s="31">
        <f>IF(AU14="","",AU14/Capital)</f>
        <v/>
      </c>
      <c r="AX14" s="37" t="n"/>
      <c r="AY14" s="37" t="n"/>
      <c r="AZ14" s="37" t="n"/>
      <c r="BA14" s="37" t="n"/>
      <c r="BB14" s="37" t="n"/>
      <c r="BC14" s="37" t="n"/>
      <c r="BD14" s="37" t="n"/>
      <c r="BE14" s="5">
        <f>IF(AU14="","",IF(AU14&gt;0,"Win",IF(AU14&lt;0,"Loss","BE")))</f>
        <v/>
      </c>
      <c r="BF14" s="5">
        <f>IF(O14="","",LOOKUP(O14,List_BucketStart,List_BucketLabel))</f>
        <v/>
      </c>
      <c r="BG14" s="57">
        <f>IF(B14="","",B14-WEEKDAY(B14,3))</f>
        <v/>
      </c>
      <c r="BH14" s="28">
        <f>IF(B14="","",COUNTIF($B$6:B14,B14))</f>
        <v/>
      </c>
      <c r="BI14" s="39">
        <f>IF(B14="","",SUMIFS($AU$6:AU14,$B$6:B14,B14)-N(AU14))</f>
        <v/>
      </c>
      <c r="BJ14" s="5">
        <f>IF(OR(B14="",E14=""),"",IF(AND(E14=0,I14="Sell",MAX(N(O14),N(AD14))&gt;ExpiryCutoff),"BREACH","OK"))</f>
        <v/>
      </c>
      <c r="BK14" s="5">
        <f>IF(B14="","",IF(OR(AC14&lt;&gt;"OK",BJ14="BREACH",BH14&gt;MaxTradesDay,BI14&lt;=-DailyLossLimit,OR(AF14="Panic",AF14="Revenge",AF14="Rule break")),"CHECK","OK"))</f>
        <v/>
      </c>
      <c r="BL14" s="39">
        <f>IF(AU14="","",SUM($AU$6:AU14))</f>
        <v/>
      </c>
      <c r="BM14" s="39">
        <f>IF(BL14="","",Capital+BL14)</f>
        <v/>
      </c>
      <c r="BN14" s="39">
        <f>IF(BM14="","",MAX(Capital,MAX($BM$6:BM14)))</f>
        <v/>
      </c>
      <c r="BO14" s="39">
        <f>IF(BM14="","",BN14-BM14)</f>
        <v/>
      </c>
      <c r="BP14" s="58">
        <f>IF(BO14="","",BO14/BN14)</f>
        <v/>
      </c>
      <c r="BQ14" s="28">
        <f>IF(AU14="","",IF(AU14&lt;0,N(BQ13)+1,0))</f>
        <v/>
      </c>
    </row>
    <row r="15">
      <c r="A15" s="28">
        <f>IF(B15="","",COUNT($B$6:B15))</f>
        <v/>
      </c>
      <c r="B15" s="27" t="n"/>
      <c r="C15" s="5">
        <f>IF(B15="","",TEXT(B15,"ddd"))</f>
        <v/>
      </c>
      <c r="D15" s="27" t="n"/>
      <c r="E15" s="28">
        <f>IF(OR(B15="",D15=""),"",MAX(0,NETWORKDAYS(B15,D15)-1))</f>
        <v/>
      </c>
      <c r="F15" s="37" t="n"/>
      <c r="G15" s="36" t="n"/>
      <c r="H15" s="37" t="n"/>
      <c r="I15" s="37" t="n"/>
      <c r="J15" s="37" t="n"/>
      <c r="K15" s="37" t="n"/>
      <c r="L15" s="36" t="n"/>
      <c r="M15" s="36" t="n"/>
      <c r="N15" s="33">
        <f>IF(M15="","",M15*LotSize)</f>
        <v/>
      </c>
      <c r="O15" s="51" t="n"/>
      <c r="P15" s="32" t="n"/>
      <c r="Q15" s="29" t="n"/>
      <c r="R15" s="30">
        <f>IF(OR(G15="",Q15="",H15=""),"",IF(H15="CE",G15-Q15,Q15-G15))</f>
        <v/>
      </c>
      <c r="S15" s="31">
        <f>IF(R15="","",R15/Q15)</f>
        <v/>
      </c>
      <c r="T15" s="38" t="n"/>
      <c r="U15" s="32" t="n"/>
      <c r="V15" s="52" t="n"/>
      <c r="W15" s="37" t="n"/>
      <c r="X15" s="32" t="n"/>
      <c r="Y15" s="32" t="n"/>
      <c r="Z15" s="39">
        <f>IF(OR(X15="",P15="",N15=""),"",ABS(X15-P15)*N15)</f>
        <v/>
      </c>
      <c r="AA15" s="53">
        <f>IF(OR(Z15="",Y15=""),"",IF(Z15=0,"",ABS(P15-Y15)*N15/Z15))</f>
        <v/>
      </c>
      <c r="AB15" s="54">
        <f>IF(Z15="","",Z15/Capital)</f>
        <v/>
      </c>
      <c r="AC15" s="5">
        <f>IF(B15="","",IF(X15="","NO SL",IF(OR(N(M15)&gt;MaxLots,N(AB15)&gt;RiskPct),"OVERSIZED","OK")))</f>
        <v/>
      </c>
      <c r="AD15" s="51" t="n"/>
      <c r="AE15" s="32" t="n"/>
      <c r="AF15" s="37" t="n"/>
      <c r="AG15" s="32" t="n"/>
      <c r="AH15" s="32" t="n"/>
      <c r="AI15" s="39">
        <f>IF(OR(AG15="",P15="",N15=""),"",ABS(AG15-P15)*N15)</f>
        <v/>
      </c>
      <c r="AJ15" s="39">
        <f>IF(OR(AH15="",P15="",N15=""),"",ABS(P15-AH15)*N15)</f>
        <v/>
      </c>
      <c r="AK15" s="39">
        <f>IF(OR(AE15="",P15="",N15=""),"",IF(I15="Buy",AE15-P15,P15-AE15)*N15)</f>
        <v/>
      </c>
      <c r="AL15" s="39">
        <f>IF(OR(AJ15="",AK15=""),"",MAX(0,AJ15-AK15))</f>
        <v/>
      </c>
      <c r="AM15" s="39">
        <f>IF(AK15="","",(P15+AE15)*N15)</f>
        <v/>
      </c>
      <c r="AN15" s="55">
        <f>IF(AK15="","",BrokeragePerOrder*2*MAX(1,N(L15)))</f>
        <v/>
      </c>
      <c r="AO15" s="55">
        <f>IF(AK15="","",STTRate*IF(I15="Buy",AE15,P15)*N15)</f>
        <v/>
      </c>
      <c r="AP15" s="55">
        <f>IF(AK15="","",ExchRate*AM15)</f>
        <v/>
      </c>
      <c r="AQ15" s="55">
        <f>IF(AK15="","",SEBIRate*AM15)</f>
        <v/>
      </c>
      <c r="AR15" s="55">
        <f>IF(AK15="","",StampRate*IF(I15="Buy",P15,AE15)*N15)</f>
        <v/>
      </c>
      <c r="AS15" s="55">
        <f>IF(AK15="","",GSTRate*(AN15+AP15+AQ15))</f>
        <v/>
      </c>
      <c r="AT15" s="55">
        <f>IF(AK15="","",AN15+AO15+AP15+AQ15+AR15+AS15)</f>
        <v/>
      </c>
      <c r="AU15" s="39">
        <f>IF(AK15="","",AK15-AT15)</f>
        <v/>
      </c>
      <c r="AV15" s="56">
        <f>IF(AU15="","",AU15/IF(N(Z15)&gt;0,Z15,RiskPerTrade))</f>
        <v/>
      </c>
      <c r="AW15" s="31">
        <f>IF(AU15="","",AU15/Capital)</f>
        <v/>
      </c>
      <c r="AX15" s="37" t="n"/>
      <c r="AY15" s="37" t="n"/>
      <c r="AZ15" s="37" t="n"/>
      <c r="BA15" s="37" t="n"/>
      <c r="BB15" s="37" t="n"/>
      <c r="BC15" s="37" t="n"/>
      <c r="BD15" s="37" t="n"/>
      <c r="BE15" s="5">
        <f>IF(AU15="","",IF(AU15&gt;0,"Win",IF(AU15&lt;0,"Loss","BE")))</f>
        <v/>
      </c>
      <c r="BF15" s="5">
        <f>IF(O15="","",LOOKUP(O15,List_BucketStart,List_BucketLabel))</f>
        <v/>
      </c>
      <c r="BG15" s="57">
        <f>IF(B15="","",B15-WEEKDAY(B15,3))</f>
        <v/>
      </c>
      <c r="BH15" s="28">
        <f>IF(B15="","",COUNTIF($B$6:B15,B15))</f>
        <v/>
      </c>
      <c r="BI15" s="39">
        <f>IF(B15="","",SUMIFS($AU$6:AU15,$B$6:B15,B15)-N(AU15))</f>
        <v/>
      </c>
      <c r="BJ15" s="5">
        <f>IF(OR(B15="",E15=""),"",IF(AND(E15=0,I15="Sell",MAX(N(O15),N(AD15))&gt;ExpiryCutoff),"BREACH","OK"))</f>
        <v/>
      </c>
      <c r="BK15" s="5">
        <f>IF(B15="","",IF(OR(AC15&lt;&gt;"OK",BJ15="BREACH",BH15&gt;MaxTradesDay,BI15&lt;=-DailyLossLimit,OR(AF15="Panic",AF15="Revenge",AF15="Rule break")),"CHECK","OK"))</f>
        <v/>
      </c>
      <c r="BL15" s="39">
        <f>IF(AU15="","",SUM($AU$6:AU15))</f>
        <v/>
      </c>
      <c r="BM15" s="39">
        <f>IF(BL15="","",Capital+BL15)</f>
        <v/>
      </c>
      <c r="BN15" s="39">
        <f>IF(BM15="","",MAX(Capital,MAX($BM$6:BM15)))</f>
        <v/>
      </c>
      <c r="BO15" s="39">
        <f>IF(BM15="","",BN15-BM15)</f>
        <v/>
      </c>
      <c r="BP15" s="58">
        <f>IF(BO15="","",BO15/BN15)</f>
        <v/>
      </c>
      <c r="BQ15" s="28">
        <f>IF(AU15="","",IF(AU15&lt;0,N(BQ14)+1,0))</f>
        <v/>
      </c>
    </row>
    <row r="16">
      <c r="A16" s="28">
        <f>IF(B16="","",COUNT($B$6:B16))</f>
        <v/>
      </c>
      <c r="B16" s="27" t="n"/>
      <c r="C16" s="5">
        <f>IF(B16="","",TEXT(B16,"ddd"))</f>
        <v/>
      </c>
      <c r="D16" s="27" t="n"/>
      <c r="E16" s="28">
        <f>IF(OR(B16="",D16=""),"",MAX(0,NETWORKDAYS(B16,D16)-1))</f>
        <v/>
      </c>
      <c r="F16" s="37" t="n"/>
      <c r="G16" s="36" t="n"/>
      <c r="H16" s="37" t="n"/>
      <c r="I16" s="37" t="n"/>
      <c r="J16" s="37" t="n"/>
      <c r="K16" s="37" t="n"/>
      <c r="L16" s="36" t="n"/>
      <c r="M16" s="36" t="n"/>
      <c r="N16" s="33">
        <f>IF(M16="","",M16*LotSize)</f>
        <v/>
      </c>
      <c r="O16" s="51" t="n"/>
      <c r="P16" s="32" t="n"/>
      <c r="Q16" s="29" t="n"/>
      <c r="R16" s="30">
        <f>IF(OR(G16="",Q16="",H16=""),"",IF(H16="CE",G16-Q16,Q16-G16))</f>
        <v/>
      </c>
      <c r="S16" s="31">
        <f>IF(R16="","",R16/Q16)</f>
        <v/>
      </c>
      <c r="T16" s="38" t="n"/>
      <c r="U16" s="32" t="n"/>
      <c r="V16" s="52" t="n"/>
      <c r="W16" s="37" t="n"/>
      <c r="X16" s="32" t="n"/>
      <c r="Y16" s="32" t="n"/>
      <c r="Z16" s="39">
        <f>IF(OR(X16="",P16="",N16=""),"",ABS(X16-P16)*N16)</f>
        <v/>
      </c>
      <c r="AA16" s="53">
        <f>IF(OR(Z16="",Y16=""),"",IF(Z16=0,"",ABS(P16-Y16)*N16/Z16))</f>
        <v/>
      </c>
      <c r="AB16" s="54">
        <f>IF(Z16="","",Z16/Capital)</f>
        <v/>
      </c>
      <c r="AC16" s="5">
        <f>IF(B16="","",IF(X16="","NO SL",IF(OR(N(M16)&gt;MaxLots,N(AB16)&gt;RiskPct),"OVERSIZED","OK")))</f>
        <v/>
      </c>
      <c r="AD16" s="51" t="n"/>
      <c r="AE16" s="32" t="n"/>
      <c r="AF16" s="37" t="n"/>
      <c r="AG16" s="32" t="n"/>
      <c r="AH16" s="32" t="n"/>
      <c r="AI16" s="39">
        <f>IF(OR(AG16="",P16="",N16=""),"",ABS(AG16-P16)*N16)</f>
        <v/>
      </c>
      <c r="AJ16" s="39">
        <f>IF(OR(AH16="",P16="",N16=""),"",ABS(P16-AH16)*N16)</f>
        <v/>
      </c>
      <c r="AK16" s="39">
        <f>IF(OR(AE16="",P16="",N16=""),"",IF(I16="Buy",AE16-P16,P16-AE16)*N16)</f>
        <v/>
      </c>
      <c r="AL16" s="39">
        <f>IF(OR(AJ16="",AK16=""),"",MAX(0,AJ16-AK16))</f>
        <v/>
      </c>
      <c r="AM16" s="39">
        <f>IF(AK16="","",(P16+AE16)*N16)</f>
        <v/>
      </c>
      <c r="AN16" s="55">
        <f>IF(AK16="","",BrokeragePerOrder*2*MAX(1,N(L16)))</f>
        <v/>
      </c>
      <c r="AO16" s="55">
        <f>IF(AK16="","",STTRate*IF(I16="Buy",AE16,P16)*N16)</f>
        <v/>
      </c>
      <c r="AP16" s="55">
        <f>IF(AK16="","",ExchRate*AM16)</f>
        <v/>
      </c>
      <c r="AQ16" s="55">
        <f>IF(AK16="","",SEBIRate*AM16)</f>
        <v/>
      </c>
      <c r="AR16" s="55">
        <f>IF(AK16="","",StampRate*IF(I16="Buy",P16,AE16)*N16)</f>
        <v/>
      </c>
      <c r="AS16" s="55">
        <f>IF(AK16="","",GSTRate*(AN16+AP16+AQ16))</f>
        <v/>
      </c>
      <c r="AT16" s="55">
        <f>IF(AK16="","",AN16+AO16+AP16+AQ16+AR16+AS16)</f>
        <v/>
      </c>
      <c r="AU16" s="39">
        <f>IF(AK16="","",AK16-AT16)</f>
        <v/>
      </c>
      <c r="AV16" s="56">
        <f>IF(AU16="","",AU16/IF(N(Z16)&gt;0,Z16,RiskPerTrade))</f>
        <v/>
      </c>
      <c r="AW16" s="31">
        <f>IF(AU16="","",AU16/Capital)</f>
        <v/>
      </c>
      <c r="AX16" s="37" t="n"/>
      <c r="AY16" s="37" t="n"/>
      <c r="AZ16" s="37" t="n"/>
      <c r="BA16" s="37" t="n"/>
      <c r="BB16" s="37" t="n"/>
      <c r="BC16" s="37" t="n"/>
      <c r="BD16" s="37" t="n"/>
      <c r="BE16" s="5">
        <f>IF(AU16="","",IF(AU16&gt;0,"Win",IF(AU16&lt;0,"Loss","BE")))</f>
        <v/>
      </c>
      <c r="BF16" s="5">
        <f>IF(O16="","",LOOKUP(O16,List_BucketStart,List_BucketLabel))</f>
        <v/>
      </c>
      <c r="BG16" s="57">
        <f>IF(B16="","",B16-WEEKDAY(B16,3))</f>
        <v/>
      </c>
      <c r="BH16" s="28">
        <f>IF(B16="","",COUNTIF($B$6:B16,B16))</f>
        <v/>
      </c>
      <c r="BI16" s="39">
        <f>IF(B16="","",SUMIFS($AU$6:AU16,$B$6:B16,B16)-N(AU16))</f>
        <v/>
      </c>
      <c r="BJ16" s="5">
        <f>IF(OR(B16="",E16=""),"",IF(AND(E16=0,I16="Sell",MAX(N(O16),N(AD16))&gt;ExpiryCutoff),"BREACH","OK"))</f>
        <v/>
      </c>
      <c r="BK16" s="5">
        <f>IF(B16="","",IF(OR(AC16&lt;&gt;"OK",BJ16="BREACH",BH16&gt;MaxTradesDay,BI16&lt;=-DailyLossLimit,OR(AF16="Panic",AF16="Revenge",AF16="Rule break")),"CHECK","OK"))</f>
        <v/>
      </c>
      <c r="BL16" s="39">
        <f>IF(AU16="","",SUM($AU$6:AU16))</f>
        <v/>
      </c>
      <c r="BM16" s="39">
        <f>IF(BL16="","",Capital+BL16)</f>
        <v/>
      </c>
      <c r="BN16" s="39">
        <f>IF(BM16="","",MAX(Capital,MAX($BM$6:BM16)))</f>
        <v/>
      </c>
      <c r="BO16" s="39">
        <f>IF(BM16="","",BN16-BM16)</f>
        <v/>
      </c>
      <c r="BP16" s="58">
        <f>IF(BO16="","",BO16/BN16)</f>
        <v/>
      </c>
      <c r="BQ16" s="28">
        <f>IF(AU16="","",IF(AU16&lt;0,N(BQ15)+1,0))</f>
        <v/>
      </c>
    </row>
    <row r="17">
      <c r="A17" s="28">
        <f>IF(B17="","",COUNT($B$6:B17))</f>
        <v/>
      </c>
      <c r="B17" s="27" t="n"/>
      <c r="C17" s="5">
        <f>IF(B17="","",TEXT(B17,"ddd"))</f>
        <v/>
      </c>
      <c r="D17" s="27" t="n"/>
      <c r="E17" s="28">
        <f>IF(OR(B17="",D17=""),"",MAX(0,NETWORKDAYS(B17,D17)-1))</f>
        <v/>
      </c>
      <c r="F17" s="37" t="n"/>
      <c r="G17" s="36" t="n"/>
      <c r="H17" s="37" t="n"/>
      <c r="I17" s="37" t="n"/>
      <c r="J17" s="37" t="n"/>
      <c r="K17" s="37" t="n"/>
      <c r="L17" s="36" t="n"/>
      <c r="M17" s="36" t="n"/>
      <c r="N17" s="33">
        <f>IF(M17="","",M17*LotSize)</f>
        <v/>
      </c>
      <c r="O17" s="51" t="n"/>
      <c r="P17" s="32" t="n"/>
      <c r="Q17" s="29" t="n"/>
      <c r="R17" s="30">
        <f>IF(OR(G17="",Q17="",H17=""),"",IF(H17="CE",G17-Q17,Q17-G17))</f>
        <v/>
      </c>
      <c r="S17" s="31">
        <f>IF(R17="","",R17/Q17)</f>
        <v/>
      </c>
      <c r="T17" s="38" t="n"/>
      <c r="U17" s="32" t="n"/>
      <c r="V17" s="52" t="n"/>
      <c r="W17" s="37" t="n"/>
      <c r="X17" s="32" t="n"/>
      <c r="Y17" s="32" t="n"/>
      <c r="Z17" s="39">
        <f>IF(OR(X17="",P17="",N17=""),"",ABS(X17-P17)*N17)</f>
        <v/>
      </c>
      <c r="AA17" s="53">
        <f>IF(OR(Z17="",Y17=""),"",IF(Z17=0,"",ABS(P17-Y17)*N17/Z17))</f>
        <v/>
      </c>
      <c r="AB17" s="54">
        <f>IF(Z17="","",Z17/Capital)</f>
        <v/>
      </c>
      <c r="AC17" s="5">
        <f>IF(B17="","",IF(X17="","NO SL",IF(OR(N(M17)&gt;MaxLots,N(AB17)&gt;RiskPct),"OVERSIZED","OK")))</f>
        <v/>
      </c>
      <c r="AD17" s="51" t="n"/>
      <c r="AE17" s="32" t="n"/>
      <c r="AF17" s="37" t="n"/>
      <c r="AG17" s="32" t="n"/>
      <c r="AH17" s="32" t="n"/>
      <c r="AI17" s="39">
        <f>IF(OR(AG17="",P17="",N17=""),"",ABS(AG17-P17)*N17)</f>
        <v/>
      </c>
      <c r="AJ17" s="39">
        <f>IF(OR(AH17="",P17="",N17=""),"",ABS(P17-AH17)*N17)</f>
        <v/>
      </c>
      <c r="AK17" s="39">
        <f>IF(OR(AE17="",P17="",N17=""),"",IF(I17="Buy",AE17-P17,P17-AE17)*N17)</f>
        <v/>
      </c>
      <c r="AL17" s="39">
        <f>IF(OR(AJ17="",AK17=""),"",MAX(0,AJ17-AK17))</f>
        <v/>
      </c>
      <c r="AM17" s="39">
        <f>IF(AK17="","",(P17+AE17)*N17)</f>
        <v/>
      </c>
      <c r="AN17" s="55">
        <f>IF(AK17="","",BrokeragePerOrder*2*MAX(1,N(L17)))</f>
        <v/>
      </c>
      <c r="AO17" s="55">
        <f>IF(AK17="","",STTRate*IF(I17="Buy",AE17,P17)*N17)</f>
        <v/>
      </c>
      <c r="AP17" s="55">
        <f>IF(AK17="","",ExchRate*AM17)</f>
        <v/>
      </c>
      <c r="AQ17" s="55">
        <f>IF(AK17="","",SEBIRate*AM17)</f>
        <v/>
      </c>
      <c r="AR17" s="55">
        <f>IF(AK17="","",StampRate*IF(I17="Buy",P17,AE17)*N17)</f>
        <v/>
      </c>
      <c r="AS17" s="55">
        <f>IF(AK17="","",GSTRate*(AN17+AP17+AQ17))</f>
        <v/>
      </c>
      <c r="AT17" s="55">
        <f>IF(AK17="","",AN17+AO17+AP17+AQ17+AR17+AS17)</f>
        <v/>
      </c>
      <c r="AU17" s="39">
        <f>IF(AK17="","",AK17-AT17)</f>
        <v/>
      </c>
      <c r="AV17" s="56">
        <f>IF(AU17="","",AU17/IF(N(Z17)&gt;0,Z17,RiskPerTrade))</f>
        <v/>
      </c>
      <c r="AW17" s="31">
        <f>IF(AU17="","",AU17/Capital)</f>
        <v/>
      </c>
      <c r="AX17" s="37" t="n"/>
      <c r="AY17" s="37" t="n"/>
      <c r="AZ17" s="37" t="n"/>
      <c r="BA17" s="37" t="n"/>
      <c r="BB17" s="37" t="n"/>
      <c r="BC17" s="37" t="n"/>
      <c r="BD17" s="37" t="n"/>
      <c r="BE17" s="5">
        <f>IF(AU17="","",IF(AU17&gt;0,"Win",IF(AU17&lt;0,"Loss","BE")))</f>
        <v/>
      </c>
      <c r="BF17" s="5">
        <f>IF(O17="","",LOOKUP(O17,List_BucketStart,List_BucketLabel))</f>
        <v/>
      </c>
      <c r="BG17" s="57">
        <f>IF(B17="","",B17-WEEKDAY(B17,3))</f>
        <v/>
      </c>
      <c r="BH17" s="28">
        <f>IF(B17="","",COUNTIF($B$6:B17,B17))</f>
        <v/>
      </c>
      <c r="BI17" s="39">
        <f>IF(B17="","",SUMIFS($AU$6:AU17,$B$6:B17,B17)-N(AU17))</f>
        <v/>
      </c>
      <c r="BJ17" s="5">
        <f>IF(OR(B17="",E17=""),"",IF(AND(E17=0,I17="Sell",MAX(N(O17),N(AD17))&gt;ExpiryCutoff),"BREACH","OK"))</f>
        <v/>
      </c>
      <c r="BK17" s="5">
        <f>IF(B17="","",IF(OR(AC17&lt;&gt;"OK",BJ17="BREACH",BH17&gt;MaxTradesDay,BI17&lt;=-DailyLossLimit,OR(AF17="Panic",AF17="Revenge",AF17="Rule break")),"CHECK","OK"))</f>
        <v/>
      </c>
      <c r="BL17" s="39">
        <f>IF(AU17="","",SUM($AU$6:AU17))</f>
        <v/>
      </c>
      <c r="BM17" s="39">
        <f>IF(BL17="","",Capital+BL17)</f>
        <v/>
      </c>
      <c r="BN17" s="39">
        <f>IF(BM17="","",MAX(Capital,MAX($BM$6:BM17)))</f>
        <v/>
      </c>
      <c r="BO17" s="39">
        <f>IF(BM17="","",BN17-BM17)</f>
        <v/>
      </c>
      <c r="BP17" s="58">
        <f>IF(BO17="","",BO17/BN17)</f>
        <v/>
      </c>
      <c r="BQ17" s="28">
        <f>IF(AU17="","",IF(AU17&lt;0,N(BQ16)+1,0))</f>
        <v/>
      </c>
    </row>
    <row r="18">
      <c r="A18" s="28">
        <f>IF(B18="","",COUNT($B$6:B18))</f>
        <v/>
      </c>
      <c r="B18" s="27" t="n"/>
      <c r="C18" s="5">
        <f>IF(B18="","",TEXT(B18,"ddd"))</f>
        <v/>
      </c>
      <c r="D18" s="27" t="n"/>
      <c r="E18" s="28">
        <f>IF(OR(B18="",D18=""),"",MAX(0,NETWORKDAYS(B18,D18)-1))</f>
        <v/>
      </c>
      <c r="F18" s="37" t="n"/>
      <c r="G18" s="36" t="n"/>
      <c r="H18" s="37" t="n"/>
      <c r="I18" s="37" t="n"/>
      <c r="J18" s="37" t="n"/>
      <c r="K18" s="37" t="n"/>
      <c r="L18" s="36" t="n"/>
      <c r="M18" s="36" t="n"/>
      <c r="N18" s="33">
        <f>IF(M18="","",M18*LotSize)</f>
        <v/>
      </c>
      <c r="O18" s="51" t="n"/>
      <c r="P18" s="32" t="n"/>
      <c r="Q18" s="29" t="n"/>
      <c r="R18" s="30">
        <f>IF(OR(G18="",Q18="",H18=""),"",IF(H18="CE",G18-Q18,Q18-G18))</f>
        <v/>
      </c>
      <c r="S18" s="31">
        <f>IF(R18="","",R18/Q18)</f>
        <v/>
      </c>
      <c r="T18" s="38" t="n"/>
      <c r="U18" s="32" t="n"/>
      <c r="V18" s="52" t="n"/>
      <c r="W18" s="37" t="n"/>
      <c r="X18" s="32" t="n"/>
      <c r="Y18" s="32" t="n"/>
      <c r="Z18" s="39">
        <f>IF(OR(X18="",P18="",N18=""),"",ABS(X18-P18)*N18)</f>
        <v/>
      </c>
      <c r="AA18" s="53">
        <f>IF(OR(Z18="",Y18=""),"",IF(Z18=0,"",ABS(P18-Y18)*N18/Z18))</f>
        <v/>
      </c>
      <c r="AB18" s="54">
        <f>IF(Z18="","",Z18/Capital)</f>
        <v/>
      </c>
      <c r="AC18" s="5">
        <f>IF(B18="","",IF(X18="","NO SL",IF(OR(N(M18)&gt;MaxLots,N(AB18)&gt;RiskPct),"OVERSIZED","OK")))</f>
        <v/>
      </c>
      <c r="AD18" s="51" t="n"/>
      <c r="AE18" s="32" t="n"/>
      <c r="AF18" s="37" t="n"/>
      <c r="AG18" s="32" t="n"/>
      <c r="AH18" s="32" t="n"/>
      <c r="AI18" s="39">
        <f>IF(OR(AG18="",P18="",N18=""),"",ABS(AG18-P18)*N18)</f>
        <v/>
      </c>
      <c r="AJ18" s="39">
        <f>IF(OR(AH18="",P18="",N18=""),"",ABS(P18-AH18)*N18)</f>
        <v/>
      </c>
      <c r="AK18" s="39">
        <f>IF(OR(AE18="",P18="",N18=""),"",IF(I18="Buy",AE18-P18,P18-AE18)*N18)</f>
        <v/>
      </c>
      <c r="AL18" s="39">
        <f>IF(OR(AJ18="",AK18=""),"",MAX(0,AJ18-AK18))</f>
        <v/>
      </c>
      <c r="AM18" s="39">
        <f>IF(AK18="","",(P18+AE18)*N18)</f>
        <v/>
      </c>
      <c r="AN18" s="55">
        <f>IF(AK18="","",BrokeragePerOrder*2*MAX(1,N(L18)))</f>
        <v/>
      </c>
      <c r="AO18" s="55">
        <f>IF(AK18="","",STTRate*IF(I18="Buy",AE18,P18)*N18)</f>
        <v/>
      </c>
      <c r="AP18" s="55">
        <f>IF(AK18="","",ExchRate*AM18)</f>
        <v/>
      </c>
      <c r="AQ18" s="55">
        <f>IF(AK18="","",SEBIRate*AM18)</f>
        <v/>
      </c>
      <c r="AR18" s="55">
        <f>IF(AK18="","",StampRate*IF(I18="Buy",P18,AE18)*N18)</f>
        <v/>
      </c>
      <c r="AS18" s="55">
        <f>IF(AK18="","",GSTRate*(AN18+AP18+AQ18))</f>
        <v/>
      </c>
      <c r="AT18" s="55">
        <f>IF(AK18="","",AN18+AO18+AP18+AQ18+AR18+AS18)</f>
        <v/>
      </c>
      <c r="AU18" s="39">
        <f>IF(AK18="","",AK18-AT18)</f>
        <v/>
      </c>
      <c r="AV18" s="56">
        <f>IF(AU18="","",AU18/IF(N(Z18)&gt;0,Z18,RiskPerTrade))</f>
        <v/>
      </c>
      <c r="AW18" s="31">
        <f>IF(AU18="","",AU18/Capital)</f>
        <v/>
      </c>
      <c r="AX18" s="37" t="n"/>
      <c r="AY18" s="37" t="n"/>
      <c r="AZ18" s="37" t="n"/>
      <c r="BA18" s="37" t="n"/>
      <c r="BB18" s="37" t="n"/>
      <c r="BC18" s="37" t="n"/>
      <c r="BD18" s="37" t="n"/>
      <c r="BE18" s="5">
        <f>IF(AU18="","",IF(AU18&gt;0,"Win",IF(AU18&lt;0,"Loss","BE")))</f>
        <v/>
      </c>
      <c r="BF18" s="5">
        <f>IF(O18="","",LOOKUP(O18,List_BucketStart,List_BucketLabel))</f>
        <v/>
      </c>
      <c r="BG18" s="57">
        <f>IF(B18="","",B18-WEEKDAY(B18,3))</f>
        <v/>
      </c>
      <c r="BH18" s="28">
        <f>IF(B18="","",COUNTIF($B$6:B18,B18))</f>
        <v/>
      </c>
      <c r="BI18" s="39">
        <f>IF(B18="","",SUMIFS($AU$6:AU18,$B$6:B18,B18)-N(AU18))</f>
        <v/>
      </c>
      <c r="BJ18" s="5">
        <f>IF(OR(B18="",E18=""),"",IF(AND(E18=0,I18="Sell",MAX(N(O18),N(AD18))&gt;ExpiryCutoff),"BREACH","OK"))</f>
        <v/>
      </c>
      <c r="BK18" s="5">
        <f>IF(B18="","",IF(OR(AC18&lt;&gt;"OK",BJ18="BREACH",BH18&gt;MaxTradesDay,BI18&lt;=-DailyLossLimit,OR(AF18="Panic",AF18="Revenge",AF18="Rule break")),"CHECK","OK"))</f>
        <v/>
      </c>
      <c r="BL18" s="39">
        <f>IF(AU18="","",SUM($AU$6:AU18))</f>
        <v/>
      </c>
      <c r="BM18" s="39">
        <f>IF(BL18="","",Capital+BL18)</f>
        <v/>
      </c>
      <c r="BN18" s="39">
        <f>IF(BM18="","",MAX(Capital,MAX($BM$6:BM18)))</f>
        <v/>
      </c>
      <c r="BO18" s="39">
        <f>IF(BM18="","",BN18-BM18)</f>
        <v/>
      </c>
      <c r="BP18" s="58">
        <f>IF(BO18="","",BO18/BN18)</f>
        <v/>
      </c>
      <c r="BQ18" s="28">
        <f>IF(AU18="","",IF(AU18&lt;0,N(BQ17)+1,0))</f>
        <v/>
      </c>
    </row>
    <row r="19">
      <c r="A19" s="28">
        <f>IF(B19="","",COUNT($B$6:B19))</f>
        <v/>
      </c>
      <c r="B19" s="27" t="n"/>
      <c r="C19" s="5">
        <f>IF(B19="","",TEXT(B19,"ddd"))</f>
        <v/>
      </c>
      <c r="D19" s="27" t="n"/>
      <c r="E19" s="28">
        <f>IF(OR(B19="",D19=""),"",MAX(0,NETWORKDAYS(B19,D19)-1))</f>
        <v/>
      </c>
      <c r="F19" s="37" t="n"/>
      <c r="G19" s="36" t="n"/>
      <c r="H19" s="37" t="n"/>
      <c r="I19" s="37" t="n"/>
      <c r="J19" s="37" t="n"/>
      <c r="K19" s="37" t="n"/>
      <c r="L19" s="36" t="n"/>
      <c r="M19" s="36" t="n"/>
      <c r="N19" s="33">
        <f>IF(M19="","",M19*LotSize)</f>
        <v/>
      </c>
      <c r="O19" s="51" t="n"/>
      <c r="P19" s="32" t="n"/>
      <c r="Q19" s="29" t="n"/>
      <c r="R19" s="30">
        <f>IF(OR(G19="",Q19="",H19=""),"",IF(H19="CE",G19-Q19,Q19-G19))</f>
        <v/>
      </c>
      <c r="S19" s="31">
        <f>IF(R19="","",R19/Q19)</f>
        <v/>
      </c>
      <c r="T19" s="38" t="n"/>
      <c r="U19" s="32" t="n"/>
      <c r="V19" s="52" t="n"/>
      <c r="W19" s="37" t="n"/>
      <c r="X19" s="32" t="n"/>
      <c r="Y19" s="32" t="n"/>
      <c r="Z19" s="39">
        <f>IF(OR(X19="",P19="",N19=""),"",ABS(X19-P19)*N19)</f>
        <v/>
      </c>
      <c r="AA19" s="53">
        <f>IF(OR(Z19="",Y19=""),"",IF(Z19=0,"",ABS(P19-Y19)*N19/Z19))</f>
        <v/>
      </c>
      <c r="AB19" s="54">
        <f>IF(Z19="","",Z19/Capital)</f>
        <v/>
      </c>
      <c r="AC19" s="5">
        <f>IF(B19="","",IF(X19="","NO SL",IF(OR(N(M19)&gt;MaxLots,N(AB19)&gt;RiskPct),"OVERSIZED","OK")))</f>
        <v/>
      </c>
      <c r="AD19" s="51" t="n"/>
      <c r="AE19" s="32" t="n"/>
      <c r="AF19" s="37" t="n"/>
      <c r="AG19" s="32" t="n"/>
      <c r="AH19" s="32" t="n"/>
      <c r="AI19" s="39">
        <f>IF(OR(AG19="",P19="",N19=""),"",ABS(AG19-P19)*N19)</f>
        <v/>
      </c>
      <c r="AJ19" s="39">
        <f>IF(OR(AH19="",P19="",N19=""),"",ABS(P19-AH19)*N19)</f>
        <v/>
      </c>
      <c r="AK19" s="39">
        <f>IF(OR(AE19="",P19="",N19=""),"",IF(I19="Buy",AE19-P19,P19-AE19)*N19)</f>
        <v/>
      </c>
      <c r="AL19" s="39">
        <f>IF(OR(AJ19="",AK19=""),"",MAX(0,AJ19-AK19))</f>
        <v/>
      </c>
      <c r="AM19" s="39">
        <f>IF(AK19="","",(P19+AE19)*N19)</f>
        <v/>
      </c>
      <c r="AN19" s="55">
        <f>IF(AK19="","",BrokeragePerOrder*2*MAX(1,N(L19)))</f>
        <v/>
      </c>
      <c r="AO19" s="55">
        <f>IF(AK19="","",STTRate*IF(I19="Buy",AE19,P19)*N19)</f>
        <v/>
      </c>
      <c r="AP19" s="55">
        <f>IF(AK19="","",ExchRate*AM19)</f>
        <v/>
      </c>
      <c r="AQ19" s="55">
        <f>IF(AK19="","",SEBIRate*AM19)</f>
        <v/>
      </c>
      <c r="AR19" s="55">
        <f>IF(AK19="","",StampRate*IF(I19="Buy",P19,AE19)*N19)</f>
        <v/>
      </c>
      <c r="AS19" s="55">
        <f>IF(AK19="","",GSTRate*(AN19+AP19+AQ19))</f>
        <v/>
      </c>
      <c r="AT19" s="55">
        <f>IF(AK19="","",AN19+AO19+AP19+AQ19+AR19+AS19)</f>
        <v/>
      </c>
      <c r="AU19" s="39">
        <f>IF(AK19="","",AK19-AT19)</f>
        <v/>
      </c>
      <c r="AV19" s="56">
        <f>IF(AU19="","",AU19/IF(N(Z19)&gt;0,Z19,RiskPerTrade))</f>
        <v/>
      </c>
      <c r="AW19" s="31">
        <f>IF(AU19="","",AU19/Capital)</f>
        <v/>
      </c>
      <c r="AX19" s="37" t="n"/>
      <c r="AY19" s="37" t="n"/>
      <c r="AZ19" s="37" t="n"/>
      <c r="BA19" s="37" t="n"/>
      <c r="BB19" s="37" t="n"/>
      <c r="BC19" s="37" t="n"/>
      <c r="BD19" s="37" t="n"/>
      <c r="BE19" s="5">
        <f>IF(AU19="","",IF(AU19&gt;0,"Win",IF(AU19&lt;0,"Loss","BE")))</f>
        <v/>
      </c>
      <c r="BF19" s="5">
        <f>IF(O19="","",LOOKUP(O19,List_BucketStart,List_BucketLabel))</f>
        <v/>
      </c>
      <c r="BG19" s="57">
        <f>IF(B19="","",B19-WEEKDAY(B19,3))</f>
        <v/>
      </c>
      <c r="BH19" s="28">
        <f>IF(B19="","",COUNTIF($B$6:B19,B19))</f>
        <v/>
      </c>
      <c r="BI19" s="39">
        <f>IF(B19="","",SUMIFS($AU$6:AU19,$B$6:B19,B19)-N(AU19))</f>
        <v/>
      </c>
      <c r="BJ19" s="5">
        <f>IF(OR(B19="",E19=""),"",IF(AND(E19=0,I19="Sell",MAX(N(O19),N(AD19))&gt;ExpiryCutoff),"BREACH","OK"))</f>
        <v/>
      </c>
      <c r="BK19" s="5">
        <f>IF(B19="","",IF(OR(AC19&lt;&gt;"OK",BJ19="BREACH",BH19&gt;MaxTradesDay,BI19&lt;=-DailyLossLimit,OR(AF19="Panic",AF19="Revenge",AF19="Rule break")),"CHECK","OK"))</f>
        <v/>
      </c>
      <c r="BL19" s="39">
        <f>IF(AU19="","",SUM($AU$6:AU19))</f>
        <v/>
      </c>
      <c r="BM19" s="39">
        <f>IF(BL19="","",Capital+BL19)</f>
        <v/>
      </c>
      <c r="BN19" s="39">
        <f>IF(BM19="","",MAX(Capital,MAX($BM$6:BM19)))</f>
        <v/>
      </c>
      <c r="BO19" s="39">
        <f>IF(BM19="","",BN19-BM19)</f>
        <v/>
      </c>
      <c r="BP19" s="58">
        <f>IF(BO19="","",BO19/BN19)</f>
        <v/>
      </c>
      <c r="BQ19" s="28">
        <f>IF(AU19="","",IF(AU19&lt;0,N(BQ18)+1,0))</f>
        <v/>
      </c>
    </row>
    <row r="20">
      <c r="A20" s="28">
        <f>IF(B20="","",COUNT($B$6:B20))</f>
        <v/>
      </c>
      <c r="B20" s="27" t="n"/>
      <c r="C20" s="5">
        <f>IF(B20="","",TEXT(B20,"ddd"))</f>
        <v/>
      </c>
      <c r="D20" s="27" t="n"/>
      <c r="E20" s="28">
        <f>IF(OR(B20="",D20=""),"",MAX(0,NETWORKDAYS(B20,D20)-1))</f>
        <v/>
      </c>
      <c r="F20" s="37" t="n"/>
      <c r="G20" s="36" t="n"/>
      <c r="H20" s="37" t="n"/>
      <c r="I20" s="37" t="n"/>
      <c r="J20" s="37" t="n"/>
      <c r="K20" s="37" t="n"/>
      <c r="L20" s="36" t="n"/>
      <c r="M20" s="36" t="n"/>
      <c r="N20" s="33">
        <f>IF(M20="","",M20*LotSize)</f>
        <v/>
      </c>
      <c r="O20" s="51" t="n"/>
      <c r="P20" s="32" t="n"/>
      <c r="Q20" s="29" t="n"/>
      <c r="R20" s="30">
        <f>IF(OR(G20="",Q20="",H20=""),"",IF(H20="CE",G20-Q20,Q20-G20))</f>
        <v/>
      </c>
      <c r="S20" s="31">
        <f>IF(R20="","",R20/Q20)</f>
        <v/>
      </c>
      <c r="T20" s="38" t="n"/>
      <c r="U20" s="32" t="n"/>
      <c r="V20" s="52" t="n"/>
      <c r="W20" s="37" t="n"/>
      <c r="X20" s="32" t="n"/>
      <c r="Y20" s="32" t="n"/>
      <c r="Z20" s="39">
        <f>IF(OR(X20="",P20="",N20=""),"",ABS(X20-P20)*N20)</f>
        <v/>
      </c>
      <c r="AA20" s="53">
        <f>IF(OR(Z20="",Y20=""),"",IF(Z20=0,"",ABS(P20-Y20)*N20/Z20))</f>
        <v/>
      </c>
      <c r="AB20" s="54">
        <f>IF(Z20="","",Z20/Capital)</f>
        <v/>
      </c>
      <c r="AC20" s="5">
        <f>IF(B20="","",IF(X20="","NO SL",IF(OR(N(M20)&gt;MaxLots,N(AB20)&gt;RiskPct),"OVERSIZED","OK")))</f>
        <v/>
      </c>
      <c r="AD20" s="51" t="n"/>
      <c r="AE20" s="32" t="n"/>
      <c r="AF20" s="37" t="n"/>
      <c r="AG20" s="32" t="n"/>
      <c r="AH20" s="32" t="n"/>
      <c r="AI20" s="39">
        <f>IF(OR(AG20="",P20="",N20=""),"",ABS(AG20-P20)*N20)</f>
        <v/>
      </c>
      <c r="AJ20" s="39">
        <f>IF(OR(AH20="",P20="",N20=""),"",ABS(P20-AH20)*N20)</f>
        <v/>
      </c>
      <c r="AK20" s="39">
        <f>IF(OR(AE20="",P20="",N20=""),"",IF(I20="Buy",AE20-P20,P20-AE20)*N20)</f>
        <v/>
      </c>
      <c r="AL20" s="39">
        <f>IF(OR(AJ20="",AK20=""),"",MAX(0,AJ20-AK20))</f>
        <v/>
      </c>
      <c r="AM20" s="39">
        <f>IF(AK20="","",(P20+AE20)*N20)</f>
        <v/>
      </c>
      <c r="AN20" s="55">
        <f>IF(AK20="","",BrokeragePerOrder*2*MAX(1,N(L20)))</f>
        <v/>
      </c>
      <c r="AO20" s="55">
        <f>IF(AK20="","",STTRate*IF(I20="Buy",AE20,P20)*N20)</f>
        <v/>
      </c>
      <c r="AP20" s="55">
        <f>IF(AK20="","",ExchRate*AM20)</f>
        <v/>
      </c>
      <c r="AQ20" s="55">
        <f>IF(AK20="","",SEBIRate*AM20)</f>
        <v/>
      </c>
      <c r="AR20" s="55">
        <f>IF(AK20="","",StampRate*IF(I20="Buy",P20,AE20)*N20)</f>
        <v/>
      </c>
      <c r="AS20" s="55">
        <f>IF(AK20="","",GSTRate*(AN20+AP20+AQ20))</f>
        <v/>
      </c>
      <c r="AT20" s="55">
        <f>IF(AK20="","",AN20+AO20+AP20+AQ20+AR20+AS20)</f>
        <v/>
      </c>
      <c r="AU20" s="39">
        <f>IF(AK20="","",AK20-AT20)</f>
        <v/>
      </c>
      <c r="AV20" s="56">
        <f>IF(AU20="","",AU20/IF(N(Z20)&gt;0,Z20,RiskPerTrade))</f>
        <v/>
      </c>
      <c r="AW20" s="31">
        <f>IF(AU20="","",AU20/Capital)</f>
        <v/>
      </c>
      <c r="AX20" s="37" t="n"/>
      <c r="AY20" s="37" t="n"/>
      <c r="AZ20" s="37" t="n"/>
      <c r="BA20" s="37" t="n"/>
      <c r="BB20" s="37" t="n"/>
      <c r="BC20" s="37" t="n"/>
      <c r="BD20" s="37" t="n"/>
      <c r="BE20" s="5">
        <f>IF(AU20="","",IF(AU20&gt;0,"Win",IF(AU20&lt;0,"Loss","BE")))</f>
        <v/>
      </c>
      <c r="BF20" s="5">
        <f>IF(O20="","",LOOKUP(O20,List_BucketStart,List_BucketLabel))</f>
        <v/>
      </c>
      <c r="BG20" s="57">
        <f>IF(B20="","",B20-WEEKDAY(B20,3))</f>
        <v/>
      </c>
      <c r="BH20" s="28">
        <f>IF(B20="","",COUNTIF($B$6:B20,B20))</f>
        <v/>
      </c>
      <c r="BI20" s="39">
        <f>IF(B20="","",SUMIFS($AU$6:AU20,$B$6:B20,B20)-N(AU20))</f>
        <v/>
      </c>
      <c r="BJ20" s="5">
        <f>IF(OR(B20="",E20=""),"",IF(AND(E20=0,I20="Sell",MAX(N(O20),N(AD20))&gt;ExpiryCutoff),"BREACH","OK"))</f>
        <v/>
      </c>
      <c r="BK20" s="5">
        <f>IF(B20="","",IF(OR(AC20&lt;&gt;"OK",BJ20="BREACH",BH20&gt;MaxTradesDay,BI20&lt;=-DailyLossLimit,OR(AF20="Panic",AF20="Revenge",AF20="Rule break")),"CHECK","OK"))</f>
        <v/>
      </c>
      <c r="BL20" s="39">
        <f>IF(AU20="","",SUM($AU$6:AU20))</f>
        <v/>
      </c>
      <c r="BM20" s="39">
        <f>IF(BL20="","",Capital+BL20)</f>
        <v/>
      </c>
      <c r="BN20" s="39">
        <f>IF(BM20="","",MAX(Capital,MAX($BM$6:BM20)))</f>
        <v/>
      </c>
      <c r="BO20" s="39">
        <f>IF(BM20="","",BN20-BM20)</f>
        <v/>
      </c>
      <c r="BP20" s="58">
        <f>IF(BO20="","",BO20/BN20)</f>
        <v/>
      </c>
      <c r="BQ20" s="28">
        <f>IF(AU20="","",IF(AU20&lt;0,N(BQ19)+1,0))</f>
        <v/>
      </c>
    </row>
    <row r="21">
      <c r="A21" s="28">
        <f>IF(B21="","",COUNT($B$6:B21))</f>
        <v/>
      </c>
      <c r="B21" s="27" t="n"/>
      <c r="C21" s="5">
        <f>IF(B21="","",TEXT(B21,"ddd"))</f>
        <v/>
      </c>
      <c r="D21" s="27" t="n"/>
      <c r="E21" s="28">
        <f>IF(OR(B21="",D21=""),"",MAX(0,NETWORKDAYS(B21,D21)-1))</f>
        <v/>
      </c>
      <c r="F21" s="37" t="n"/>
      <c r="G21" s="36" t="n"/>
      <c r="H21" s="37" t="n"/>
      <c r="I21" s="37" t="n"/>
      <c r="J21" s="37" t="n"/>
      <c r="K21" s="37" t="n"/>
      <c r="L21" s="36" t="n"/>
      <c r="M21" s="36" t="n"/>
      <c r="N21" s="33">
        <f>IF(M21="","",M21*LotSize)</f>
        <v/>
      </c>
      <c r="O21" s="51" t="n"/>
      <c r="P21" s="32" t="n"/>
      <c r="Q21" s="29" t="n"/>
      <c r="R21" s="30">
        <f>IF(OR(G21="",Q21="",H21=""),"",IF(H21="CE",G21-Q21,Q21-G21))</f>
        <v/>
      </c>
      <c r="S21" s="31">
        <f>IF(R21="","",R21/Q21)</f>
        <v/>
      </c>
      <c r="T21" s="38" t="n"/>
      <c r="U21" s="32" t="n"/>
      <c r="V21" s="52" t="n"/>
      <c r="W21" s="37" t="n"/>
      <c r="X21" s="32" t="n"/>
      <c r="Y21" s="32" t="n"/>
      <c r="Z21" s="39">
        <f>IF(OR(X21="",P21="",N21=""),"",ABS(X21-P21)*N21)</f>
        <v/>
      </c>
      <c r="AA21" s="53">
        <f>IF(OR(Z21="",Y21=""),"",IF(Z21=0,"",ABS(P21-Y21)*N21/Z21))</f>
        <v/>
      </c>
      <c r="AB21" s="54">
        <f>IF(Z21="","",Z21/Capital)</f>
        <v/>
      </c>
      <c r="AC21" s="5">
        <f>IF(B21="","",IF(X21="","NO SL",IF(OR(N(M21)&gt;MaxLots,N(AB21)&gt;RiskPct),"OVERSIZED","OK")))</f>
        <v/>
      </c>
      <c r="AD21" s="51" t="n"/>
      <c r="AE21" s="32" t="n"/>
      <c r="AF21" s="37" t="n"/>
      <c r="AG21" s="32" t="n"/>
      <c r="AH21" s="32" t="n"/>
      <c r="AI21" s="39">
        <f>IF(OR(AG21="",P21="",N21=""),"",ABS(AG21-P21)*N21)</f>
        <v/>
      </c>
      <c r="AJ21" s="39">
        <f>IF(OR(AH21="",P21="",N21=""),"",ABS(P21-AH21)*N21)</f>
        <v/>
      </c>
      <c r="AK21" s="39">
        <f>IF(OR(AE21="",P21="",N21=""),"",IF(I21="Buy",AE21-P21,P21-AE21)*N21)</f>
        <v/>
      </c>
      <c r="AL21" s="39">
        <f>IF(OR(AJ21="",AK21=""),"",MAX(0,AJ21-AK21))</f>
        <v/>
      </c>
      <c r="AM21" s="39">
        <f>IF(AK21="","",(P21+AE21)*N21)</f>
        <v/>
      </c>
      <c r="AN21" s="55">
        <f>IF(AK21="","",BrokeragePerOrder*2*MAX(1,N(L21)))</f>
        <v/>
      </c>
      <c r="AO21" s="55">
        <f>IF(AK21="","",STTRate*IF(I21="Buy",AE21,P21)*N21)</f>
        <v/>
      </c>
      <c r="AP21" s="55">
        <f>IF(AK21="","",ExchRate*AM21)</f>
        <v/>
      </c>
      <c r="AQ21" s="55">
        <f>IF(AK21="","",SEBIRate*AM21)</f>
        <v/>
      </c>
      <c r="AR21" s="55">
        <f>IF(AK21="","",StampRate*IF(I21="Buy",P21,AE21)*N21)</f>
        <v/>
      </c>
      <c r="AS21" s="55">
        <f>IF(AK21="","",GSTRate*(AN21+AP21+AQ21))</f>
        <v/>
      </c>
      <c r="AT21" s="55">
        <f>IF(AK21="","",AN21+AO21+AP21+AQ21+AR21+AS21)</f>
        <v/>
      </c>
      <c r="AU21" s="39">
        <f>IF(AK21="","",AK21-AT21)</f>
        <v/>
      </c>
      <c r="AV21" s="56">
        <f>IF(AU21="","",AU21/IF(N(Z21)&gt;0,Z21,RiskPerTrade))</f>
        <v/>
      </c>
      <c r="AW21" s="31">
        <f>IF(AU21="","",AU21/Capital)</f>
        <v/>
      </c>
      <c r="AX21" s="37" t="n"/>
      <c r="AY21" s="37" t="n"/>
      <c r="AZ21" s="37" t="n"/>
      <c r="BA21" s="37" t="n"/>
      <c r="BB21" s="37" t="n"/>
      <c r="BC21" s="37" t="n"/>
      <c r="BD21" s="37" t="n"/>
      <c r="BE21" s="5">
        <f>IF(AU21="","",IF(AU21&gt;0,"Win",IF(AU21&lt;0,"Loss","BE")))</f>
        <v/>
      </c>
      <c r="BF21" s="5">
        <f>IF(O21="","",LOOKUP(O21,List_BucketStart,List_BucketLabel))</f>
        <v/>
      </c>
      <c r="BG21" s="57">
        <f>IF(B21="","",B21-WEEKDAY(B21,3))</f>
        <v/>
      </c>
      <c r="BH21" s="28">
        <f>IF(B21="","",COUNTIF($B$6:B21,B21))</f>
        <v/>
      </c>
      <c r="BI21" s="39">
        <f>IF(B21="","",SUMIFS($AU$6:AU21,$B$6:B21,B21)-N(AU21))</f>
        <v/>
      </c>
      <c r="BJ21" s="5">
        <f>IF(OR(B21="",E21=""),"",IF(AND(E21=0,I21="Sell",MAX(N(O21),N(AD21))&gt;ExpiryCutoff),"BREACH","OK"))</f>
        <v/>
      </c>
      <c r="BK21" s="5">
        <f>IF(B21="","",IF(OR(AC21&lt;&gt;"OK",BJ21="BREACH",BH21&gt;MaxTradesDay,BI21&lt;=-DailyLossLimit,OR(AF21="Panic",AF21="Revenge",AF21="Rule break")),"CHECK","OK"))</f>
        <v/>
      </c>
      <c r="BL21" s="39">
        <f>IF(AU21="","",SUM($AU$6:AU21))</f>
        <v/>
      </c>
      <c r="BM21" s="39">
        <f>IF(BL21="","",Capital+BL21)</f>
        <v/>
      </c>
      <c r="BN21" s="39">
        <f>IF(BM21="","",MAX(Capital,MAX($BM$6:BM21)))</f>
        <v/>
      </c>
      <c r="BO21" s="39">
        <f>IF(BM21="","",BN21-BM21)</f>
        <v/>
      </c>
      <c r="BP21" s="58">
        <f>IF(BO21="","",BO21/BN21)</f>
        <v/>
      </c>
      <c r="BQ21" s="28">
        <f>IF(AU21="","",IF(AU21&lt;0,N(BQ20)+1,0))</f>
        <v/>
      </c>
    </row>
    <row r="22">
      <c r="A22" s="28">
        <f>IF(B22="","",COUNT($B$6:B22))</f>
        <v/>
      </c>
      <c r="B22" s="27" t="n"/>
      <c r="C22" s="5">
        <f>IF(B22="","",TEXT(B22,"ddd"))</f>
        <v/>
      </c>
      <c r="D22" s="27" t="n"/>
      <c r="E22" s="28">
        <f>IF(OR(B22="",D22=""),"",MAX(0,NETWORKDAYS(B22,D22)-1))</f>
        <v/>
      </c>
      <c r="F22" s="37" t="n"/>
      <c r="G22" s="36" t="n"/>
      <c r="H22" s="37" t="n"/>
      <c r="I22" s="37" t="n"/>
      <c r="J22" s="37" t="n"/>
      <c r="K22" s="37" t="n"/>
      <c r="L22" s="36" t="n"/>
      <c r="M22" s="36" t="n"/>
      <c r="N22" s="33">
        <f>IF(M22="","",M22*LotSize)</f>
        <v/>
      </c>
      <c r="O22" s="51" t="n"/>
      <c r="P22" s="32" t="n"/>
      <c r="Q22" s="29" t="n"/>
      <c r="R22" s="30">
        <f>IF(OR(G22="",Q22="",H22=""),"",IF(H22="CE",G22-Q22,Q22-G22))</f>
        <v/>
      </c>
      <c r="S22" s="31">
        <f>IF(R22="","",R22/Q22)</f>
        <v/>
      </c>
      <c r="T22" s="38" t="n"/>
      <c r="U22" s="32" t="n"/>
      <c r="V22" s="52" t="n"/>
      <c r="W22" s="37" t="n"/>
      <c r="X22" s="32" t="n"/>
      <c r="Y22" s="32" t="n"/>
      <c r="Z22" s="39">
        <f>IF(OR(X22="",P22="",N22=""),"",ABS(X22-P22)*N22)</f>
        <v/>
      </c>
      <c r="AA22" s="53">
        <f>IF(OR(Z22="",Y22=""),"",IF(Z22=0,"",ABS(P22-Y22)*N22/Z22))</f>
        <v/>
      </c>
      <c r="AB22" s="54">
        <f>IF(Z22="","",Z22/Capital)</f>
        <v/>
      </c>
      <c r="AC22" s="5">
        <f>IF(B22="","",IF(X22="","NO SL",IF(OR(N(M22)&gt;MaxLots,N(AB22)&gt;RiskPct),"OVERSIZED","OK")))</f>
        <v/>
      </c>
      <c r="AD22" s="51" t="n"/>
      <c r="AE22" s="32" t="n"/>
      <c r="AF22" s="37" t="n"/>
      <c r="AG22" s="32" t="n"/>
      <c r="AH22" s="32" t="n"/>
      <c r="AI22" s="39">
        <f>IF(OR(AG22="",P22="",N22=""),"",ABS(AG22-P22)*N22)</f>
        <v/>
      </c>
      <c r="AJ22" s="39">
        <f>IF(OR(AH22="",P22="",N22=""),"",ABS(P22-AH22)*N22)</f>
        <v/>
      </c>
      <c r="AK22" s="39">
        <f>IF(OR(AE22="",P22="",N22=""),"",IF(I22="Buy",AE22-P22,P22-AE22)*N22)</f>
        <v/>
      </c>
      <c r="AL22" s="39">
        <f>IF(OR(AJ22="",AK22=""),"",MAX(0,AJ22-AK22))</f>
        <v/>
      </c>
      <c r="AM22" s="39">
        <f>IF(AK22="","",(P22+AE22)*N22)</f>
        <v/>
      </c>
      <c r="AN22" s="55">
        <f>IF(AK22="","",BrokeragePerOrder*2*MAX(1,N(L22)))</f>
        <v/>
      </c>
      <c r="AO22" s="55">
        <f>IF(AK22="","",STTRate*IF(I22="Buy",AE22,P22)*N22)</f>
        <v/>
      </c>
      <c r="AP22" s="55">
        <f>IF(AK22="","",ExchRate*AM22)</f>
        <v/>
      </c>
      <c r="AQ22" s="55">
        <f>IF(AK22="","",SEBIRate*AM22)</f>
        <v/>
      </c>
      <c r="AR22" s="55">
        <f>IF(AK22="","",StampRate*IF(I22="Buy",P22,AE22)*N22)</f>
        <v/>
      </c>
      <c r="AS22" s="55">
        <f>IF(AK22="","",GSTRate*(AN22+AP22+AQ22))</f>
        <v/>
      </c>
      <c r="AT22" s="55">
        <f>IF(AK22="","",AN22+AO22+AP22+AQ22+AR22+AS22)</f>
        <v/>
      </c>
      <c r="AU22" s="39">
        <f>IF(AK22="","",AK22-AT22)</f>
        <v/>
      </c>
      <c r="AV22" s="56">
        <f>IF(AU22="","",AU22/IF(N(Z22)&gt;0,Z22,RiskPerTrade))</f>
        <v/>
      </c>
      <c r="AW22" s="31">
        <f>IF(AU22="","",AU22/Capital)</f>
        <v/>
      </c>
      <c r="AX22" s="37" t="n"/>
      <c r="AY22" s="37" t="n"/>
      <c r="AZ22" s="37" t="n"/>
      <c r="BA22" s="37" t="n"/>
      <c r="BB22" s="37" t="n"/>
      <c r="BC22" s="37" t="n"/>
      <c r="BD22" s="37" t="n"/>
      <c r="BE22" s="5">
        <f>IF(AU22="","",IF(AU22&gt;0,"Win",IF(AU22&lt;0,"Loss","BE")))</f>
        <v/>
      </c>
      <c r="BF22" s="5">
        <f>IF(O22="","",LOOKUP(O22,List_BucketStart,List_BucketLabel))</f>
        <v/>
      </c>
      <c r="BG22" s="57">
        <f>IF(B22="","",B22-WEEKDAY(B22,3))</f>
        <v/>
      </c>
      <c r="BH22" s="28">
        <f>IF(B22="","",COUNTIF($B$6:B22,B22))</f>
        <v/>
      </c>
      <c r="BI22" s="39">
        <f>IF(B22="","",SUMIFS($AU$6:AU22,$B$6:B22,B22)-N(AU22))</f>
        <v/>
      </c>
      <c r="BJ22" s="5">
        <f>IF(OR(B22="",E22=""),"",IF(AND(E22=0,I22="Sell",MAX(N(O22),N(AD22))&gt;ExpiryCutoff),"BREACH","OK"))</f>
        <v/>
      </c>
      <c r="BK22" s="5">
        <f>IF(B22="","",IF(OR(AC22&lt;&gt;"OK",BJ22="BREACH",BH22&gt;MaxTradesDay,BI22&lt;=-DailyLossLimit,OR(AF22="Panic",AF22="Revenge",AF22="Rule break")),"CHECK","OK"))</f>
        <v/>
      </c>
      <c r="BL22" s="39">
        <f>IF(AU22="","",SUM($AU$6:AU22))</f>
        <v/>
      </c>
      <c r="BM22" s="39">
        <f>IF(BL22="","",Capital+BL22)</f>
        <v/>
      </c>
      <c r="BN22" s="39">
        <f>IF(BM22="","",MAX(Capital,MAX($BM$6:BM22)))</f>
        <v/>
      </c>
      <c r="BO22" s="39">
        <f>IF(BM22="","",BN22-BM22)</f>
        <v/>
      </c>
      <c r="BP22" s="58">
        <f>IF(BO22="","",BO22/BN22)</f>
        <v/>
      </c>
      <c r="BQ22" s="28">
        <f>IF(AU22="","",IF(AU22&lt;0,N(BQ21)+1,0))</f>
        <v/>
      </c>
    </row>
    <row r="23">
      <c r="A23" s="28">
        <f>IF(B23="","",COUNT($B$6:B23))</f>
        <v/>
      </c>
      <c r="B23" s="27" t="n"/>
      <c r="C23" s="5">
        <f>IF(B23="","",TEXT(B23,"ddd"))</f>
        <v/>
      </c>
      <c r="D23" s="27" t="n"/>
      <c r="E23" s="28">
        <f>IF(OR(B23="",D23=""),"",MAX(0,NETWORKDAYS(B23,D23)-1))</f>
        <v/>
      </c>
      <c r="F23" s="37" t="n"/>
      <c r="G23" s="36" t="n"/>
      <c r="H23" s="37" t="n"/>
      <c r="I23" s="37" t="n"/>
      <c r="J23" s="37" t="n"/>
      <c r="K23" s="37" t="n"/>
      <c r="L23" s="36" t="n"/>
      <c r="M23" s="36" t="n"/>
      <c r="N23" s="33">
        <f>IF(M23="","",M23*LotSize)</f>
        <v/>
      </c>
      <c r="O23" s="51" t="n"/>
      <c r="P23" s="32" t="n"/>
      <c r="Q23" s="29" t="n"/>
      <c r="R23" s="30">
        <f>IF(OR(G23="",Q23="",H23=""),"",IF(H23="CE",G23-Q23,Q23-G23))</f>
        <v/>
      </c>
      <c r="S23" s="31">
        <f>IF(R23="","",R23/Q23)</f>
        <v/>
      </c>
      <c r="T23" s="38" t="n"/>
      <c r="U23" s="32" t="n"/>
      <c r="V23" s="52" t="n"/>
      <c r="W23" s="37" t="n"/>
      <c r="X23" s="32" t="n"/>
      <c r="Y23" s="32" t="n"/>
      <c r="Z23" s="39">
        <f>IF(OR(X23="",P23="",N23=""),"",ABS(X23-P23)*N23)</f>
        <v/>
      </c>
      <c r="AA23" s="53">
        <f>IF(OR(Z23="",Y23=""),"",IF(Z23=0,"",ABS(P23-Y23)*N23/Z23))</f>
        <v/>
      </c>
      <c r="AB23" s="54">
        <f>IF(Z23="","",Z23/Capital)</f>
        <v/>
      </c>
      <c r="AC23" s="5">
        <f>IF(B23="","",IF(X23="","NO SL",IF(OR(N(M23)&gt;MaxLots,N(AB23)&gt;RiskPct),"OVERSIZED","OK")))</f>
        <v/>
      </c>
      <c r="AD23" s="51" t="n"/>
      <c r="AE23" s="32" t="n"/>
      <c r="AF23" s="37" t="n"/>
      <c r="AG23" s="32" t="n"/>
      <c r="AH23" s="32" t="n"/>
      <c r="AI23" s="39">
        <f>IF(OR(AG23="",P23="",N23=""),"",ABS(AG23-P23)*N23)</f>
        <v/>
      </c>
      <c r="AJ23" s="39">
        <f>IF(OR(AH23="",P23="",N23=""),"",ABS(P23-AH23)*N23)</f>
        <v/>
      </c>
      <c r="AK23" s="39">
        <f>IF(OR(AE23="",P23="",N23=""),"",IF(I23="Buy",AE23-P23,P23-AE23)*N23)</f>
        <v/>
      </c>
      <c r="AL23" s="39">
        <f>IF(OR(AJ23="",AK23=""),"",MAX(0,AJ23-AK23))</f>
        <v/>
      </c>
      <c r="AM23" s="39">
        <f>IF(AK23="","",(P23+AE23)*N23)</f>
        <v/>
      </c>
      <c r="AN23" s="55">
        <f>IF(AK23="","",BrokeragePerOrder*2*MAX(1,N(L23)))</f>
        <v/>
      </c>
      <c r="AO23" s="55">
        <f>IF(AK23="","",STTRate*IF(I23="Buy",AE23,P23)*N23)</f>
        <v/>
      </c>
      <c r="AP23" s="55">
        <f>IF(AK23="","",ExchRate*AM23)</f>
        <v/>
      </c>
      <c r="AQ23" s="55">
        <f>IF(AK23="","",SEBIRate*AM23)</f>
        <v/>
      </c>
      <c r="AR23" s="55">
        <f>IF(AK23="","",StampRate*IF(I23="Buy",P23,AE23)*N23)</f>
        <v/>
      </c>
      <c r="AS23" s="55">
        <f>IF(AK23="","",GSTRate*(AN23+AP23+AQ23))</f>
        <v/>
      </c>
      <c r="AT23" s="55">
        <f>IF(AK23="","",AN23+AO23+AP23+AQ23+AR23+AS23)</f>
        <v/>
      </c>
      <c r="AU23" s="39">
        <f>IF(AK23="","",AK23-AT23)</f>
        <v/>
      </c>
      <c r="AV23" s="56">
        <f>IF(AU23="","",AU23/IF(N(Z23)&gt;0,Z23,RiskPerTrade))</f>
        <v/>
      </c>
      <c r="AW23" s="31">
        <f>IF(AU23="","",AU23/Capital)</f>
        <v/>
      </c>
      <c r="AX23" s="37" t="n"/>
      <c r="AY23" s="37" t="n"/>
      <c r="AZ23" s="37" t="n"/>
      <c r="BA23" s="37" t="n"/>
      <c r="BB23" s="37" t="n"/>
      <c r="BC23" s="37" t="n"/>
      <c r="BD23" s="37" t="n"/>
      <c r="BE23" s="5">
        <f>IF(AU23="","",IF(AU23&gt;0,"Win",IF(AU23&lt;0,"Loss","BE")))</f>
        <v/>
      </c>
      <c r="BF23" s="5">
        <f>IF(O23="","",LOOKUP(O23,List_BucketStart,List_BucketLabel))</f>
        <v/>
      </c>
      <c r="BG23" s="57">
        <f>IF(B23="","",B23-WEEKDAY(B23,3))</f>
        <v/>
      </c>
      <c r="BH23" s="28">
        <f>IF(B23="","",COUNTIF($B$6:B23,B23))</f>
        <v/>
      </c>
      <c r="BI23" s="39">
        <f>IF(B23="","",SUMIFS($AU$6:AU23,$B$6:B23,B23)-N(AU23))</f>
        <v/>
      </c>
      <c r="BJ23" s="5">
        <f>IF(OR(B23="",E23=""),"",IF(AND(E23=0,I23="Sell",MAX(N(O23),N(AD23))&gt;ExpiryCutoff),"BREACH","OK"))</f>
        <v/>
      </c>
      <c r="BK23" s="5">
        <f>IF(B23="","",IF(OR(AC23&lt;&gt;"OK",BJ23="BREACH",BH23&gt;MaxTradesDay,BI23&lt;=-DailyLossLimit,OR(AF23="Panic",AF23="Revenge",AF23="Rule break")),"CHECK","OK"))</f>
        <v/>
      </c>
      <c r="BL23" s="39">
        <f>IF(AU23="","",SUM($AU$6:AU23))</f>
        <v/>
      </c>
      <c r="BM23" s="39">
        <f>IF(BL23="","",Capital+BL23)</f>
        <v/>
      </c>
      <c r="BN23" s="39">
        <f>IF(BM23="","",MAX(Capital,MAX($BM$6:BM23)))</f>
        <v/>
      </c>
      <c r="BO23" s="39">
        <f>IF(BM23="","",BN23-BM23)</f>
        <v/>
      </c>
      <c r="BP23" s="58">
        <f>IF(BO23="","",BO23/BN23)</f>
        <v/>
      </c>
      <c r="BQ23" s="28">
        <f>IF(AU23="","",IF(AU23&lt;0,N(BQ22)+1,0))</f>
        <v/>
      </c>
    </row>
    <row r="24">
      <c r="A24" s="28">
        <f>IF(B24="","",COUNT($B$6:B24))</f>
        <v/>
      </c>
      <c r="B24" s="27" t="n"/>
      <c r="C24" s="5">
        <f>IF(B24="","",TEXT(B24,"ddd"))</f>
        <v/>
      </c>
      <c r="D24" s="27" t="n"/>
      <c r="E24" s="28">
        <f>IF(OR(B24="",D24=""),"",MAX(0,NETWORKDAYS(B24,D24)-1))</f>
        <v/>
      </c>
      <c r="F24" s="37" t="n"/>
      <c r="G24" s="36" t="n"/>
      <c r="H24" s="37" t="n"/>
      <c r="I24" s="37" t="n"/>
      <c r="J24" s="37" t="n"/>
      <c r="K24" s="37" t="n"/>
      <c r="L24" s="36" t="n"/>
      <c r="M24" s="36" t="n"/>
      <c r="N24" s="33">
        <f>IF(M24="","",M24*LotSize)</f>
        <v/>
      </c>
      <c r="O24" s="51" t="n"/>
      <c r="P24" s="32" t="n"/>
      <c r="Q24" s="29" t="n"/>
      <c r="R24" s="30">
        <f>IF(OR(G24="",Q24="",H24=""),"",IF(H24="CE",G24-Q24,Q24-G24))</f>
        <v/>
      </c>
      <c r="S24" s="31">
        <f>IF(R24="","",R24/Q24)</f>
        <v/>
      </c>
      <c r="T24" s="38" t="n"/>
      <c r="U24" s="32" t="n"/>
      <c r="V24" s="52" t="n"/>
      <c r="W24" s="37" t="n"/>
      <c r="X24" s="32" t="n"/>
      <c r="Y24" s="32" t="n"/>
      <c r="Z24" s="39">
        <f>IF(OR(X24="",P24="",N24=""),"",ABS(X24-P24)*N24)</f>
        <v/>
      </c>
      <c r="AA24" s="53">
        <f>IF(OR(Z24="",Y24=""),"",IF(Z24=0,"",ABS(P24-Y24)*N24/Z24))</f>
        <v/>
      </c>
      <c r="AB24" s="54">
        <f>IF(Z24="","",Z24/Capital)</f>
        <v/>
      </c>
      <c r="AC24" s="5">
        <f>IF(B24="","",IF(X24="","NO SL",IF(OR(N(M24)&gt;MaxLots,N(AB24)&gt;RiskPct),"OVERSIZED","OK")))</f>
        <v/>
      </c>
      <c r="AD24" s="51" t="n"/>
      <c r="AE24" s="32" t="n"/>
      <c r="AF24" s="37" t="n"/>
      <c r="AG24" s="32" t="n"/>
      <c r="AH24" s="32" t="n"/>
      <c r="AI24" s="39">
        <f>IF(OR(AG24="",P24="",N24=""),"",ABS(AG24-P24)*N24)</f>
        <v/>
      </c>
      <c r="AJ24" s="39">
        <f>IF(OR(AH24="",P24="",N24=""),"",ABS(P24-AH24)*N24)</f>
        <v/>
      </c>
      <c r="AK24" s="39">
        <f>IF(OR(AE24="",P24="",N24=""),"",IF(I24="Buy",AE24-P24,P24-AE24)*N24)</f>
        <v/>
      </c>
      <c r="AL24" s="39">
        <f>IF(OR(AJ24="",AK24=""),"",MAX(0,AJ24-AK24))</f>
        <v/>
      </c>
      <c r="AM24" s="39">
        <f>IF(AK24="","",(P24+AE24)*N24)</f>
        <v/>
      </c>
      <c r="AN24" s="55">
        <f>IF(AK24="","",BrokeragePerOrder*2*MAX(1,N(L24)))</f>
        <v/>
      </c>
      <c r="AO24" s="55">
        <f>IF(AK24="","",STTRate*IF(I24="Buy",AE24,P24)*N24)</f>
        <v/>
      </c>
      <c r="AP24" s="55">
        <f>IF(AK24="","",ExchRate*AM24)</f>
        <v/>
      </c>
      <c r="AQ24" s="55">
        <f>IF(AK24="","",SEBIRate*AM24)</f>
        <v/>
      </c>
      <c r="AR24" s="55">
        <f>IF(AK24="","",StampRate*IF(I24="Buy",P24,AE24)*N24)</f>
        <v/>
      </c>
      <c r="AS24" s="55">
        <f>IF(AK24="","",GSTRate*(AN24+AP24+AQ24))</f>
        <v/>
      </c>
      <c r="AT24" s="55">
        <f>IF(AK24="","",AN24+AO24+AP24+AQ24+AR24+AS24)</f>
        <v/>
      </c>
      <c r="AU24" s="39">
        <f>IF(AK24="","",AK24-AT24)</f>
        <v/>
      </c>
      <c r="AV24" s="56">
        <f>IF(AU24="","",AU24/IF(N(Z24)&gt;0,Z24,RiskPerTrade))</f>
        <v/>
      </c>
      <c r="AW24" s="31">
        <f>IF(AU24="","",AU24/Capital)</f>
        <v/>
      </c>
      <c r="AX24" s="37" t="n"/>
      <c r="AY24" s="37" t="n"/>
      <c r="AZ24" s="37" t="n"/>
      <c r="BA24" s="37" t="n"/>
      <c r="BB24" s="37" t="n"/>
      <c r="BC24" s="37" t="n"/>
      <c r="BD24" s="37" t="n"/>
      <c r="BE24" s="5">
        <f>IF(AU24="","",IF(AU24&gt;0,"Win",IF(AU24&lt;0,"Loss","BE")))</f>
        <v/>
      </c>
      <c r="BF24" s="5">
        <f>IF(O24="","",LOOKUP(O24,List_BucketStart,List_BucketLabel))</f>
        <v/>
      </c>
      <c r="BG24" s="57">
        <f>IF(B24="","",B24-WEEKDAY(B24,3))</f>
        <v/>
      </c>
      <c r="BH24" s="28">
        <f>IF(B24="","",COUNTIF($B$6:B24,B24))</f>
        <v/>
      </c>
      <c r="BI24" s="39">
        <f>IF(B24="","",SUMIFS($AU$6:AU24,$B$6:B24,B24)-N(AU24))</f>
        <v/>
      </c>
      <c r="BJ24" s="5">
        <f>IF(OR(B24="",E24=""),"",IF(AND(E24=0,I24="Sell",MAX(N(O24),N(AD24))&gt;ExpiryCutoff),"BREACH","OK"))</f>
        <v/>
      </c>
      <c r="BK24" s="5">
        <f>IF(B24="","",IF(OR(AC24&lt;&gt;"OK",BJ24="BREACH",BH24&gt;MaxTradesDay,BI24&lt;=-DailyLossLimit,OR(AF24="Panic",AF24="Revenge",AF24="Rule break")),"CHECK","OK"))</f>
        <v/>
      </c>
      <c r="BL24" s="39">
        <f>IF(AU24="","",SUM($AU$6:AU24))</f>
        <v/>
      </c>
      <c r="BM24" s="39">
        <f>IF(BL24="","",Capital+BL24)</f>
        <v/>
      </c>
      <c r="BN24" s="39">
        <f>IF(BM24="","",MAX(Capital,MAX($BM$6:BM24)))</f>
        <v/>
      </c>
      <c r="BO24" s="39">
        <f>IF(BM24="","",BN24-BM24)</f>
        <v/>
      </c>
      <c r="BP24" s="58">
        <f>IF(BO24="","",BO24/BN24)</f>
        <v/>
      </c>
      <c r="BQ24" s="28">
        <f>IF(AU24="","",IF(AU24&lt;0,N(BQ23)+1,0))</f>
        <v/>
      </c>
    </row>
    <row r="25">
      <c r="A25" s="28">
        <f>IF(B25="","",COUNT($B$6:B25))</f>
        <v/>
      </c>
      <c r="B25" s="27" t="n"/>
      <c r="C25" s="5">
        <f>IF(B25="","",TEXT(B25,"ddd"))</f>
        <v/>
      </c>
      <c r="D25" s="27" t="n"/>
      <c r="E25" s="28">
        <f>IF(OR(B25="",D25=""),"",MAX(0,NETWORKDAYS(B25,D25)-1))</f>
        <v/>
      </c>
      <c r="F25" s="37" t="n"/>
      <c r="G25" s="36" t="n"/>
      <c r="H25" s="37" t="n"/>
      <c r="I25" s="37" t="n"/>
      <c r="J25" s="37" t="n"/>
      <c r="K25" s="37" t="n"/>
      <c r="L25" s="36" t="n"/>
      <c r="M25" s="36" t="n"/>
      <c r="N25" s="33">
        <f>IF(M25="","",M25*LotSize)</f>
        <v/>
      </c>
      <c r="O25" s="51" t="n"/>
      <c r="P25" s="32" t="n"/>
      <c r="Q25" s="29" t="n"/>
      <c r="R25" s="30">
        <f>IF(OR(G25="",Q25="",H25=""),"",IF(H25="CE",G25-Q25,Q25-G25))</f>
        <v/>
      </c>
      <c r="S25" s="31">
        <f>IF(R25="","",R25/Q25)</f>
        <v/>
      </c>
      <c r="T25" s="38" t="n"/>
      <c r="U25" s="32" t="n"/>
      <c r="V25" s="52" t="n"/>
      <c r="W25" s="37" t="n"/>
      <c r="X25" s="32" t="n"/>
      <c r="Y25" s="32" t="n"/>
      <c r="Z25" s="39">
        <f>IF(OR(X25="",P25="",N25=""),"",ABS(X25-P25)*N25)</f>
        <v/>
      </c>
      <c r="AA25" s="53">
        <f>IF(OR(Z25="",Y25=""),"",IF(Z25=0,"",ABS(P25-Y25)*N25/Z25))</f>
        <v/>
      </c>
      <c r="AB25" s="54">
        <f>IF(Z25="","",Z25/Capital)</f>
        <v/>
      </c>
      <c r="AC25" s="5">
        <f>IF(B25="","",IF(X25="","NO SL",IF(OR(N(M25)&gt;MaxLots,N(AB25)&gt;RiskPct),"OVERSIZED","OK")))</f>
        <v/>
      </c>
      <c r="AD25" s="51" t="n"/>
      <c r="AE25" s="32" t="n"/>
      <c r="AF25" s="37" t="n"/>
      <c r="AG25" s="32" t="n"/>
      <c r="AH25" s="32" t="n"/>
      <c r="AI25" s="39">
        <f>IF(OR(AG25="",P25="",N25=""),"",ABS(AG25-P25)*N25)</f>
        <v/>
      </c>
      <c r="AJ25" s="39">
        <f>IF(OR(AH25="",P25="",N25=""),"",ABS(P25-AH25)*N25)</f>
        <v/>
      </c>
      <c r="AK25" s="39">
        <f>IF(OR(AE25="",P25="",N25=""),"",IF(I25="Buy",AE25-P25,P25-AE25)*N25)</f>
        <v/>
      </c>
      <c r="AL25" s="39">
        <f>IF(OR(AJ25="",AK25=""),"",MAX(0,AJ25-AK25))</f>
        <v/>
      </c>
      <c r="AM25" s="39">
        <f>IF(AK25="","",(P25+AE25)*N25)</f>
        <v/>
      </c>
      <c r="AN25" s="55">
        <f>IF(AK25="","",BrokeragePerOrder*2*MAX(1,N(L25)))</f>
        <v/>
      </c>
      <c r="AO25" s="55">
        <f>IF(AK25="","",STTRate*IF(I25="Buy",AE25,P25)*N25)</f>
        <v/>
      </c>
      <c r="AP25" s="55">
        <f>IF(AK25="","",ExchRate*AM25)</f>
        <v/>
      </c>
      <c r="AQ25" s="55">
        <f>IF(AK25="","",SEBIRate*AM25)</f>
        <v/>
      </c>
      <c r="AR25" s="55">
        <f>IF(AK25="","",StampRate*IF(I25="Buy",P25,AE25)*N25)</f>
        <v/>
      </c>
      <c r="AS25" s="55">
        <f>IF(AK25="","",GSTRate*(AN25+AP25+AQ25))</f>
        <v/>
      </c>
      <c r="AT25" s="55">
        <f>IF(AK25="","",AN25+AO25+AP25+AQ25+AR25+AS25)</f>
        <v/>
      </c>
      <c r="AU25" s="39">
        <f>IF(AK25="","",AK25-AT25)</f>
        <v/>
      </c>
      <c r="AV25" s="56">
        <f>IF(AU25="","",AU25/IF(N(Z25)&gt;0,Z25,RiskPerTrade))</f>
        <v/>
      </c>
      <c r="AW25" s="31">
        <f>IF(AU25="","",AU25/Capital)</f>
        <v/>
      </c>
      <c r="AX25" s="37" t="n"/>
      <c r="AY25" s="37" t="n"/>
      <c r="AZ25" s="37" t="n"/>
      <c r="BA25" s="37" t="n"/>
      <c r="BB25" s="37" t="n"/>
      <c r="BC25" s="37" t="n"/>
      <c r="BD25" s="37" t="n"/>
      <c r="BE25" s="5">
        <f>IF(AU25="","",IF(AU25&gt;0,"Win",IF(AU25&lt;0,"Loss","BE")))</f>
        <v/>
      </c>
      <c r="BF25" s="5">
        <f>IF(O25="","",LOOKUP(O25,List_BucketStart,List_BucketLabel))</f>
        <v/>
      </c>
      <c r="BG25" s="57">
        <f>IF(B25="","",B25-WEEKDAY(B25,3))</f>
        <v/>
      </c>
      <c r="BH25" s="28">
        <f>IF(B25="","",COUNTIF($B$6:B25,B25))</f>
        <v/>
      </c>
      <c r="BI25" s="39">
        <f>IF(B25="","",SUMIFS($AU$6:AU25,$B$6:B25,B25)-N(AU25))</f>
        <v/>
      </c>
      <c r="BJ25" s="5">
        <f>IF(OR(B25="",E25=""),"",IF(AND(E25=0,I25="Sell",MAX(N(O25),N(AD25))&gt;ExpiryCutoff),"BREACH","OK"))</f>
        <v/>
      </c>
      <c r="BK25" s="5">
        <f>IF(B25="","",IF(OR(AC25&lt;&gt;"OK",BJ25="BREACH",BH25&gt;MaxTradesDay,BI25&lt;=-DailyLossLimit,OR(AF25="Panic",AF25="Revenge",AF25="Rule break")),"CHECK","OK"))</f>
        <v/>
      </c>
      <c r="BL25" s="39">
        <f>IF(AU25="","",SUM($AU$6:AU25))</f>
        <v/>
      </c>
      <c r="BM25" s="39">
        <f>IF(BL25="","",Capital+BL25)</f>
        <v/>
      </c>
      <c r="BN25" s="39">
        <f>IF(BM25="","",MAX(Capital,MAX($BM$6:BM25)))</f>
        <v/>
      </c>
      <c r="BO25" s="39">
        <f>IF(BM25="","",BN25-BM25)</f>
        <v/>
      </c>
      <c r="BP25" s="58">
        <f>IF(BO25="","",BO25/BN25)</f>
        <v/>
      </c>
      <c r="BQ25" s="28">
        <f>IF(AU25="","",IF(AU25&lt;0,N(BQ24)+1,0))</f>
        <v/>
      </c>
    </row>
    <row r="26">
      <c r="A26" s="28">
        <f>IF(B26="","",COUNT($B$6:B26))</f>
        <v/>
      </c>
      <c r="B26" s="27" t="n"/>
      <c r="C26" s="5">
        <f>IF(B26="","",TEXT(B26,"ddd"))</f>
        <v/>
      </c>
      <c r="D26" s="27" t="n"/>
      <c r="E26" s="28">
        <f>IF(OR(B26="",D26=""),"",MAX(0,NETWORKDAYS(B26,D26)-1))</f>
        <v/>
      </c>
      <c r="F26" s="37" t="n"/>
      <c r="G26" s="36" t="n"/>
      <c r="H26" s="37" t="n"/>
      <c r="I26" s="37" t="n"/>
      <c r="J26" s="37" t="n"/>
      <c r="K26" s="37" t="n"/>
      <c r="L26" s="36" t="n"/>
      <c r="M26" s="36" t="n"/>
      <c r="N26" s="33">
        <f>IF(M26="","",M26*LotSize)</f>
        <v/>
      </c>
      <c r="O26" s="51" t="n"/>
      <c r="P26" s="32" t="n"/>
      <c r="Q26" s="29" t="n"/>
      <c r="R26" s="30">
        <f>IF(OR(G26="",Q26="",H26=""),"",IF(H26="CE",G26-Q26,Q26-G26))</f>
        <v/>
      </c>
      <c r="S26" s="31">
        <f>IF(R26="","",R26/Q26)</f>
        <v/>
      </c>
      <c r="T26" s="38" t="n"/>
      <c r="U26" s="32" t="n"/>
      <c r="V26" s="52" t="n"/>
      <c r="W26" s="37" t="n"/>
      <c r="X26" s="32" t="n"/>
      <c r="Y26" s="32" t="n"/>
      <c r="Z26" s="39">
        <f>IF(OR(X26="",P26="",N26=""),"",ABS(X26-P26)*N26)</f>
        <v/>
      </c>
      <c r="AA26" s="53">
        <f>IF(OR(Z26="",Y26=""),"",IF(Z26=0,"",ABS(P26-Y26)*N26/Z26))</f>
        <v/>
      </c>
      <c r="AB26" s="54">
        <f>IF(Z26="","",Z26/Capital)</f>
        <v/>
      </c>
      <c r="AC26" s="5">
        <f>IF(B26="","",IF(X26="","NO SL",IF(OR(N(M26)&gt;MaxLots,N(AB26)&gt;RiskPct),"OVERSIZED","OK")))</f>
        <v/>
      </c>
      <c r="AD26" s="51" t="n"/>
      <c r="AE26" s="32" t="n"/>
      <c r="AF26" s="37" t="n"/>
      <c r="AG26" s="32" t="n"/>
      <c r="AH26" s="32" t="n"/>
      <c r="AI26" s="39">
        <f>IF(OR(AG26="",P26="",N26=""),"",ABS(AG26-P26)*N26)</f>
        <v/>
      </c>
      <c r="AJ26" s="39">
        <f>IF(OR(AH26="",P26="",N26=""),"",ABS(P26-AH26)*N26)</f>
        <v/>
      </c>
      <c r="AK26" s="39">
        <f>IF(OR(AE26="",P26="",N26=""),"",IF(I26="Buy",AE26-P26,P26-AE26)*N26)</f>
        <v/>
      </c>
      <c r="AL26" s="39">
        <f>IF(OR(AJ26="",AK26=""),"",MAX(0,AJ26-AK26))</f>
        <v/>
      </c>
      <c r="AM26" s="39">
        <f>IF(AK26="","",(P26+AE26)*N26)</f>
        <v/>
      </c>
      <c r="AN26" s="55">
        <f>IF(AK26="","",BrokeragePerOrder*2*MAX(1,N(L26)))</f>
        <v/>
      </c>
      <c r="AO26" s="55">
        <f>IF(AK26="","",STTRate*IF(I26="Buy",AE26,P26)*N26)</f>
        <v/>
      </c>
      <c r="AP26" s="55">
        <f>IF(AK26="","",ExchRate*AM26)</f>
        <v/>
      </c>
      <c r="AQ26" s="55">
        <f>IF(AK26="","",SEBIRate*AM26)</f>
        <v/>
      </c>
      <c r="AR26" s="55">
        <f>IF(AK26="","",StampRate*IF(I26="Buy",P26,AE26)*N26)</f>
        <v/>
      </c>
      <c r="AS26" s="55">
        <f>IF(AK26="","",GSTRate*(AN26+AP26+AQ26))</f>
        <v/>
      </c>
      <c r="AT26" s="55">
        <f>IF(AK26="","",AN26+AO26+AP26+AQ26+AR26+AS26)</f>
        <v/>
      </c>
      <c r="AU26" s="39">
        <f>IF(AK26="","",AK26-AT26)</f>
        <v/>
      </c>
      <c r="AV26" s="56">
        <f>IF(AU26="","",AU26/IF(N(Z26)&gt;0,Z26,RiskPerTrade))</f>
        <v/>
      </c>
      <c r="AW26" s="31">
        <f>IF(AU26="","",AU26/Capital)</f>
        <v/>
      </c>
      <c r="AX26" s="37" t="n"/>
      <c r="AY26" s="37" t="n"/>
      <c r="AZ26" s="37" t="n"/>
      <c r="BA26" s="37" t="n"/>
      <c r="BB26" s="37" t="n"/>
      <c r="BC26" s="37" t="n"/>
      <c r="BD26" s="37" t="n"/>
      <c r="BE26" s="5">
        <f>IF(AU26="","",IF(AU26&gt;0,"Win",IF(AU26&lt;0,"Loss","BE")))</f>
        <v/>
      </c>
      <c r="BF26" s="5">
        <f>IF(O26="","",LOOKUP(O26,List_BucketStart,List_BucketLabel))</f>
        <v/>
      </c>
      <c r="BG26" s="57">
        <f>IF(B26="","",B26-WEEKDAY(B26,3))</f>
        <v/>
      </c>
      <c r="BH26" s="28">
        <f>IF(B26="","",COUNTIF($B$6:B26,B26))</f>
        <v/>
      </c>
      <c r="BI26" s="39">
        <f>IF(B26="","",SUMIFS($AU$6:AU26,$B$6:B26,B26)-N(AU26))</f>
        <v/>
      </c>
      <c r="BJ26" s="5">
        <f>IF(OR(B26="",E26=""),"",IF(AND(E26=0,I26="Sell",MAX(N(O26),N(AD26))&gt;ExpiryCutoff),"BREACH","OK"))</f>
        <v/>
      </c>
      <c r="BK26" s="5">
        <f>IF(B26="","",IF(OR(AC26&lt;&gt;"OK",BJ26="BREACH",BH26&gt;MaxTradesDay,BI26&lt;=-DailyLossLimit,OR(AF26="Panic",AF26="Revenge",AF26="Rule break")),"CHECK","OK"))</f>
        <v/>
      </c>
      <c r="BL26" s="39">
        <f>IF(AU26="","",SUM($AU$6:AU26))</f>
        <v/>
      </c>
      <c r="BM26" s="39">
        <f>IF(BL26="","",Capital+BL26)</f>
        <v/>
      </c>
      <c r="BN26" s="39">
        <f>IF(BM26="","",MAX(Capital,MAX($BM$6:BM26)))</f>
        <v/>
      </c>
      <c r="BO26" s="39">
        <f>IF(BM26="","",BN26-BM26)</f>
        <v/>
      </c>
      <c r="BP26" s="58">
        <f>IF(BO26="","",BO26/BN26)</f>
        <v/>
      </c>
      <c r="BQ26" s="28">
        <f>IF(AU26="","",IF(AU26&lt;0,N(BQ25)+1,0))</f>
        <v/>
      </c>
    </row>
    <row r="27">
      <c r="A27" s="28">
        <f>IF(B27="","",COUNT($B$6:B27))</f>
        <v/>
      </c>
      <c r="B27" s="27" t="n"/>
      <c r="C27" s="5">
        <f>IF(B27="","",TEXT(B27,"ddd"))</f>
        <v/>
      </c>
      <c r="D27" s="27" t="n"/>
      <c r="E27" s="28">
        <f>IF(OR(B27="",D27=""),"",MAX(0,NETWORKDAYS(B27,D27)-1))</f>
        <v/>
      </c>
      <c r="F27" s="37" t="n"/>
      <c r="G27" s="36" t="n"/>
      <c r="H27" s="37" t="n"/>
      <c r="I27" s="37" t="n"/>
      <c r="J27" s="37" t="n"/>
      <c r="K27" s="37" t="n"/>
      <c r="L27" s="36" t="n"/>
      <c r="M27" s="36" t="n"/>
      <c r="N27" s="33">
        <f>IF(M27="","",M27*LotSize)</f>
        <v/>
      </c>
      <c r="O27" s="51" t="n"/>
      <c r="P27" s="32" t="n"/>
      <c r="Q27" s="29" t="n"/>
      <c r="R27" s="30">
        <f>IF(OR(G27="",Q27="",H27=""),"",IF(H27="CE",G27-Q27,Q27-G27))</f>
        <v/>
      </c>
      <c r="S27" s="31">
        <f>IF(R27="","",R27/Q27)</f>
        <v/>
      </c>
      <c r="T27" s="38" t="n"/>
      <c r="U27" s="32" t="n"/>
      <c r="V27" s="52" t="n"/>
      <c r="W27" s="37" t="n"/>
      <c r="X27" s="32" t="n"/>
      <c r="Y27" s="32" t="n"/>
      <c r="Z27" s="39">
        <f>IF(OR(X27="",P27="",N27=""),"",ABS(X27-P27)*N27)</f>
        <v/>
      </c>
      <c r="AA27" s="53">
        <f>IF(OR(Z27="",Y27=""),"",IF(Z27=0,"",ABS(P27-Y27)*N27/Z27))</f>
        <v/>
      </c>
      <c r="AB27" s="54">
        <f>IF(Z27="","",Z27/Capital)</f>
        <v/>
      </c>
      <c r="AC27" s="5">
        <f>IF(B27="","",IF(X27="","NO SL",IF(OR(N(M27)&gt;MaxLots,N(AB27)&gt;RiskPct),"OVERSIZED","OK")))</f>
        <v/>
      </c>
      <c r="AD27" s="51" t="n"/>
      <c r="AE27" s="32" t="n"/>
      <c r="AF27" s="37" t="n"/>
      <c r="AG27" s="32" t="n"/>
      <c r="AH27" s="32" t="n"/>
      <c r="AI27" s="39">
        <f>IF(OR(AG27="",P27="",N27=""),"",ABS(AG27-P27)*N27)</f>
        <v/>
      </c>
      <c r="AJ27" s="39">
        <f>IF(OR(AH27="",P27="",N27=""),"",ABS(P27-AH27)*N27)</f>
        <v/>
      </c>
      <c r="AK27" s="39">
        <f>IF(OR(AE27="",P27="",N27=""),"",IF(I27="Buy",AE27-P27,P27-AE27)*N27)</f>
        <v/>
      </c>
      <c r="AL27" s="39">
        <f>IF(OR(AJ27="",AK27=""),"",MAX(0,AJ27-AK27))</f>
        <v/>
      </c>
      <c r="AM27" s="39">
        <f>IF(AK27="","",(P27+AE27)*N27)</f>
        <v/>
      </c>
      <c r="AN27" s="55">
        <f>IF(AK27="","",BrokeragePerOrder*2*MAX(1,N(L27)))</f>
        <v/>
      </c>
      <c r="AO27" s="55">
        <f>IF(AK27="","",STTRate*IF(I27="Buy",AE27,P27)*N27)</f>
        <v/>
      </c>
      <c r="AP27" s="55">
        <f>IF(AK27="","",ExchRate*AM27)</f>
        <v/>
      </c>
      <c r="AQ27" s="55">
        <f>IF(AK27="","",SEBIRate*AM27)</f>
        <v/>
      </c>
      <c r="AR27" s="55">
        <f>IF(AK27="","",StampRate*IF(I27="Buy",P27,AE27)*N27)</f>
        <v/>
      </c>
      <c r="AS27" s="55">
        <f>IF(AK27="","",GSTRate*(AN27+AP27+AQ27))</f>
        <v/>
      </c>
      <c r="AT27" s="55">
        <f>IF(AK27="","",AN27+AO27+AP27+AQ27+AR27+AS27)</f>
        <v/>
      </c>
      <c r="AU27" s="39">
        <f>IF(AK27="","",AK27-AT27)</f>
        <v/>
      </c>
      <c r="AV27" s="56">
        <f>IF(AU27="","",AU27/IF(N(Z27)&gt;0,Z27,RiskPerTrade))</f>
        <v/>
      </c>
      <c r="AW27" s="31">
        <f>IF(AU27="","",AU27/Capital)</f>
        <v/>
      </c>
      <c r="AX27" s="37" t="n"/>
      <c r="AY27" s="37" t="n"/>
      <c r="AZ27" s="37" t="n"/>
      <c r="BA27" s="37" t="n"/>
      <c r="BB27" s="37" t="n"/>
      <c r="BC27" s="37" t="n"/>
      <c r="BD27" s="37" t="n"/>
      <c r="BE27" s="5">
        <f>IF(AU27="","",IF(AU27&gt;0,"Win",IF(AU27&lt;0,"Loss","BE")))</f>
        <v/>
      </c>
      <c r="BF27" s="5">
        <f>IF(O27="","",LOOKUP(O27,List_BucketStart,List_BucketLabel))</f>
        <v/>
      </c>
      <c r="BG27" s="57">
        <f>IF(B27="","",B27-WEEKDAY(B27,3))</f>
        <v/>
      </c>
      <c r="BH27" s="28">
        <f>IF(B27="","",COUNTIF($B$6:B27,B27))</f>
        <v/>
      </c>
      <c r="BI27" s="39">
        <f>IF(B27="","",SUMIFS($AU$6:AU27,$B$6:B27,B27)-N(AU27))</f>
        <v/>
      </c>
      <c r="BJ27" s="5">
        <f>IF(OR(B27="",E27=""),"",IF(AND(E27=0,I27="Sell",MAX(N(O27),N(AD27))&gt;ExpiryCutoff),"BREACH","OK"))</f>
        <v/>
      </c>
      <c r="BK27" s="5">
        <f>IF(B27="","",IF(OR(AC27&lt;&gt;"OK",BJ27="BREACH",BH27&gt;MaxTradesDay,BI27&lt;=-DailyLossLimit,OR(AF27="Panic",AF27="Revenge",AF27="Rule break")),"CHECK","OK"))</f>
        <v/>
      </c>
      <c r="BL27" s="39">
        <f>IF(AU27="","",SUM($AU$6:AU27))</f>
        <v/>
      </c>
      <c r="BM27" s="39">
        <f>IF(BL27="","",Capital+BL27)</f>
        <v/>
      </c>
      <c r="BN27" s="39">
        <f>IF(BM27="","",MAX(Capital,MAX($BM$6:BM27)))</f>
        <v/>
      </c>
      <c r="BO27" s="39">
        <f>IF(BM27="","",BN27-BM27)</f>
        <v/>
      </c>
      <c r="BP27" s="58">
        <f>IF(BO27="","",BO27/BN27)</f>
        <v/>
      </c>
      <c r="BQ27" s="28">
        <f>IF(AU27="","",IF(AU27&lt;0,N(BQ26)+1,0))</f>
        <v/>
      </c>
    </row>
    <row r="28">
      <c r="A28" s="28">
        <f>IF(B28="","",COUNT($B$6:B28))</f>
        <v/>
      </c>
      <c r="B28" s="27" t="n"/>
      <c r="C28" s="5">
        <f>IF(B28="","",TEXT(B28,"ddd"))</f>
        <v/>
      </c>
      <c r="D28" s="27" t="n"/>
      <c r="E28" s="28">
        <f>IF(OR(B28="",D28=""),"",MAX(0,NETWORKDAYS(B28,D28)-1))</f>
        <v/>
      </c>
      <c r="F28" s="37" t="n"/>
      <c r="G28" s="36" t="n"/>
      <c r="H28" s="37" t="n"/>
      <c r="I28" s="37" t="n"/>
      <c r="J28" s="37" t="n"/>
      <c r="K28" s="37" t="n"/>
      <c r="L28" s="36" t="n"/>
      <c r="M28" s="36" t="n"/>
      <c r="N28" s="33">
        <f>IF(M28="","",M28*LotSize)</f>
        <v/>
      </c>
      <c r="O28" s="51" t="n"/>
      <c r="P28" s="32" t="n"/>
      <c r="Q28" s="29" t="n"/>
      <c r="R28" s="30">
        <f>IF(OR(G28="",Q28="",H28=""),"",IF(H28="CE",G28-Q28,Q28-G28))</f>
        <v/>
      </c>
      <c r="S28" s="31">
        <f>IF(R28="","",R28/Q28)</f>
        <v/>
      </c>
      <c r="T28" s="38" t="n"/>
      <c r="U28" s="32" t="n"/>
      <c r="V28" s="52" t="n"/>
      <c r="W28" s="37" t="n"/>
      <c r="X28" s="32" t="n"/>
      <c r="Y28" s="32" t="n"/>
      <c r="Z28" s="39">
        <f>IF(OR(X28="",P28="",N28=""),"",ABS(X28-P28)*N28)</f>
        <v/>
      </c>
      <c r="AA28" s="53">
        <f>IF(OR(Z28="",Y28=""),"",IF(Z28=0,"",ABS(P28-Y28)*N28/Z28))</f>
        <v/>
      </c>
      <c r="AB28" s="54">
        <f>IF(Z28="","",Z28/Capital)</f>
        <v/>
      </c>
      <c r="AC28" s="5">
        <f>IF(B28="","",IF(X28="","NO SL",IF(OR(N(M28)&gt;MaxLots,N(AB28)&gt;RiskPct),"OVERSIZED","OK")))</f>
        <v/>
      </c>
      <c r="AD28" s="51" t="n"/>
      <c r="AE28" s="32" t="n"/>
      <c r="AF28" s="37" t="n"/>
      <c r="AG28" s="32" t="n"/>
      <c r="AH28" s="32" t="n"/>
      <c r="AI28" s="39">
        <f>IF(OR(AG28="",P28="",N28=""),"",ABS(AG28-P28)*N28)</f>
        <v/>
      </c>
      <c r="AJ28" s="39">
        <f>IF(OR(AH28="",P28="",N28=""),"",ABS(P28-AH28)*N28)</f>
        <v/>
      </c>
      <c r="AK28" s="39">
        <f>IF(OR(AE28="",P28="",N28=""),"",IF(I28="Buy",AE28-P28,P28-AE28)*N28)</f>
        <v/>
      </c>
      <c r="AL28" s="39">
        <f>IF(OR(AJ28="",AK28=""),"",MAX(0,AJ28-AK28))</f>
        <v/>
      </c>
      <c r="AM28" s="39">
        <f>IF(AK28="","",(P28+AE28)*N28)</f>
        <v/>
      </c>
      <c r="AN28" s="55">
        <f>IF(AK28="","",BrokeragePerOrder*2*MAX(1,N(L28)))</f>
        <v/>
      </c>
      <c r="AO28" s="55">
        <f>IF(AK28="","",STTRate*IF(I28="Buy",AE28,P28)*N28)</f>
        <v/>
      </c>
      <c r="AP28" s="55">
        <f>IF(AK28="","",ExchRate*AM28)</f>
        <v/>
      </c>
      <c r="AQ28" s="55">
        <f>IF(AK28="","",SEBIRate*AM28)</f>
        <v/>
      </c>
      <c r="AR28" s="55">
        <f>IF(AK28="","",StampRate*IF(I28="Buy",P28,AE28)*N28)</f>
        <v/>
      </c>
      <c r="AS28" s="55">
        <f>IF(AK28="","",GSTRate*(AN28+AP28+AQ28))</f>
        <v/>
      </c>
      <c r="AT28" s="55">
        <f>IF(AK28="","",AN28+AO28+AP28+AQ28+AR28+AS28)</f>
        <v/>
      </c>
      <c r="AU28" s="39">
        <f>IF(AK28="","",AK28-AT28)</f>
        <v/>
      </c>
      <c r="AV28" s="56">
        <f>IF(AU28="","",AU28/IF(N(Z28)&gt;0,Z28,RiskPerTrade))</f>
        <v/>
      </c>
      <c r="AW28" s="31">
        <f>IF(AU28="","",AU28/Capital)</f>
        <v/>
      </c>
      <c r="AX28" s="37" t="n"/>
      <c r="AY28" s="37" t="n"/>
      <c r="AZ28" s="37" t="n"/>
      <c r="BA28" s="37" t="n"/>
      <c r="BB28" s="37" t="n"/>
      <c r="BC28" s="37" t="n"/>
      <c r="BD28" s="37" t="n"/>
      <c r="BE28" s="5">
        <f>IF(AU28="","",IF(AU28&gt;0,"Win",IF(AU28&lt;0,"Loss","BE")))</f>
        <v/>
      </c>
      <c r="BF28" s="5">
        <f>IF(O28="","",LOOKUP(O28,List_BucketStart,List_BucketLabel))</f>
        <v/>
      </c>
      <c r="BG28" s="57">
        <f>IF(B28="","",B28-WEEKDAY(B28,3))</f>
        <v/>
      </c>
      <c r="BH28" s="28">
        <f>IF(B28="","",COUNTIF($B$6:B28,B28))</f>
        <v/>
      </c>
      <c r="BI28" s="39">
        <f>IF(B28="","",SUMIFS($AU$6:AU28,$B$6:B28,B28)-N(AU28))</f>
        <v/>
      </c>
      <c r="BJ28" s="5">
        <f>IF(OR(B28="",E28=""),"",IF(AND(E28=0,I28="Sell",MAX(N(O28),N(AD28))&gt;ExpiryCutoff),"BREACH","OK"))</f>
        <v/>
      </c>
      <c r="BK28" s="5">
        <f>IF(B28="","",IF(OR(AC28&lt;&gt;"OK",BJ28="BREACH",BH28&gt;MaxTradesDay,BI28&lt;=-DailyLossLimit,OR(AF28="Panic",AF28="Revenge",AF28="Rule break")),"CHECK","OK"))</f>
        <v/>
      </c>
      <c r="BL28" s="39">
        <f>IF(AU28="","",SUM($AU$6:AU28))</f>
        <v/>
      </c>
      <c r="BM28" s="39">
        <f>IF(BL28="","",Capital+BL28)</f>
        <v/>
      </c>
      <c r="BN28" s="39">
        <f>IF(BM28="","",MAX(Capital,MAX($BM$6:BM28)))</f>
        <v/>
      </c>
      <c r="BO28" s="39">
        <f>IF(BM28="","",BN28-BM28)</f>
        <v/>
      </c>
      <c r="BP28" s="58">
        <f>IF(BO28="","",BO28/BN28)</f>
        <v/>
      </c>
      <c r="BQ28" s="28">
        <f>IF(AU28="","",IF(AU28&lt;0,N(BQ27)+1,0))</f>
        <v/>
      </c>
    </row>
    <row r="29">
      <c r="A29" s="28">
        <f>IF(B29="","",COUNT($B$6:B29))</f>
        <v/>
      </c>
      <c r="B29" s="27" t="n"/>
      <c r="C29" s="5">
        <f>IF(B29="","",TEXT(B29,"ddd"))</f>
        <v/>
      </c>
      <c r="D29" s="27" t="n"/>
      <c r="E29" s="28">
        <f>IF(OR(B29="",D29=""),"",MAX(0,NETWORKDAYS(B29,D29)-1))</f>
        <v/>
      </c>
      <c r="F29" s="37" t="n"/>
      <c r="G29" s="36" t="n"/>
      <c r="H29" s="37" t="n"/>
      <c r="I29" s="37" t="n"/>
      <c r="J29" s="37" t="n"/>
      <c r="K29" s="37" t="n"/>
      <c r="L29" s="36" t="n"/>
      <c r="M29" s="36" t="n"/>
      <c r="N29" s="33">
        <f>IF(M29="","",M29*LotSize)</f>
        <v/>
      </c>
      <c r="O29" s="51" t="n"/>
      <c r="P29" s="32" t="n"/>
      <c r="Q29" s="29" t="n"/>
      <c r="R29" s="30">
        <f>IF(OR(G29="",Q29="",H29=""),"",IF(H29="CE",G29-Q29,Q29-G29))</f>
        <v/>
      </c>
      <c r="S29" s="31">
        <f>IF(R29="","",R29/Q29)</f>
        <v/>
      </c>
      <c r="T29" s="38" t="n"/>
      <c r="U29" s="32" t="n"/>
      <c r="V29" s="52" t="n"/>
      <c r="W29" s="37" t="n"/>
      <c r="X29" s="32" t="n"/>
      <c r="Y29" s="32" t="n"/>
      <c r="Z29" s="39">
        <f>IF(OR(X29="",P29="",N29=""),"",ABS(X29-P29)*N29)</f>
        <v/>
      </c>
      <c r="AA29" s="53">
        <f>IF(OR(Z29="",Y29=""),"",IF(Z29=0,"",ABS(P29-Y29)*N29/Z29))</f>
        <v/>
      </c>
      <c r="AB29" s="54">
        <f>IF(Z29="","",Z29/Capital)</f>
        <v/>
      </c>
      <c r="AC29" s="5">
        <f>IF(B29="","",IF(X29="","NO SL",IF(OR(N(M29)&gt;MaxLots,N(AB29)&gt;RiskPct),"OVERSIZED","OK")))</f>
        <v/>
      </c>
      <c r="AD29" s="51" t="n"/>
      <c r="AE29" s="32" t="n"/>
      <c r="AF29" s="37" t="n"/>
      <c r="AG29" s="32" t="n"/>
      <c r="AH29" s="32" t="n"/>
      <c r="AI29" s="39">
        <f>IF(OR(AG29="",P29="",N29=""),"",ABS(AG29-P29)*N29)</f>
        <v/>
      </c>
      <c r="AJ29" s="39">
        <f>IF(OR(AH29="",P29="",N29=""),"",ABS(P29-AH29)*N29)</f>
        <v/>
      </c>
      <c r="AK29" s="39">
        <f>IF(OR(AE29="",P29="",N29=""),"",IF(I29="Buy",AE29-P29,P29-AE29)*N29)</f>
        <v/>
      </c>
      <c r="AL29" s="39">
        <f>IF(OR(AJ29="",AK29=""),"",MAX(0,AJ29-AK29))</f>
        <v/>
      </c>
      <c r="AM29" s="39">
        <f>IF(AK29="","",(P29+AE29)*N29)</f>
        <v/>
      </c>
      <c r="AN29" s="55">
        <f>IF(AK29="","",BrokeragePerOrder*2*MAX(1,N(L29)))</f>
        <v/>
      </c>
      <c r="AO29" s="55">
        <f>IF(AK29="","",STTRate*IF(I29="Buy",AE29,P29)*N29)</f>
        <v/>
      </c>
      <c r="AP29" s="55">
        <f>IF(AK29="","",ExchRate*AM29)</f>
        <v/>
      </c>
      <c r="AQ29" s="55">
        <f>IF(AK29="","",SEBIRate*AM29)</f>
        <v/>
      </c>
      <c r="AR29" s="55">
        <f>IF(AK29="","",StampRate*IF(I29="Buy",P29,AE29)*N29)</f>
        <v/>
      </c>
      <c r="AS29" s="55">
        <f>IF(AK29="","",GSTRate*(AN29+AP29+AQ29))</f>
        <v/>
      </c>
      <c r="AT29" s="55">
        <f>IF(AK29="","",AN29+AO29+AP29+AQ29+AR29+AS29)</f>
        <v/>
      </c>
      <c r="AU29" s="39">
        <f>IF(AK29="","",AK29-AT29)</f>
        <v/>
      </c>
      <c r="AV29" s="56">
        <f>IF(AU29="","",AU29/IF(N(Z29)&gt;0,Z29,RiskPerTrade))</f>
        <v/>
      </c>
      <c r="AW29" s="31">
        <f>IF(AU29="","",AU29/Capital)</f>
        <v/>
      </c>
      <c r="AX29" s="37" t="n"/>
      <c r="AY29" s="37" t="n"/>
      <c r="AZ29" s="37" t="n"/>
      <c r="BA29" s="37" t="n"/>
      <c r="BB29" s="37" t="n"/>
      <c r="BC29" s="37" t="n"/>
      <c r="BD29" s="37" t="n"/>
      <c r="BE29" s="5">
        <f>IF(AU29="","",IF(AU29&gt;0,"Win",IF(AU29&lt;0,"Loss","BE")))</f>
        <v/>
      </c>
      <c r="BF29" s="5">
        <f>IF(O29="","",LOOKUP(O29,List_BucketStart,List_BucketLabel))</f>
        <v/>
      </c>
      <c r="BG29" s="57">
        <f>IF(B29="","",B29-WEEKDAY(B29,3))</f>
        <v/>
      </c>
      <c r="BH29" s="28">
        <f>IF(B29="","",COUNTIF($B$6:B29,B29))</f>
        <v/>
      </c>
      <c r="BI29" s="39">
        <f>IF(B29="","",SUMIFS($AU$6:AU29,$B$6:B29,B29)-N(AU29))</f>
        <v/>
      </c>
      <c r="BJ29" s="5">
        <f>IF(OR(B29="",E29=""),"",IF(AND(E29=0,I29="Sell",MAX(N(O29),N(AD29))&gt;ExpiryCutoff),"BREACH","OK"))</f>
        <v/>
      </c>
      <c r="BK29" s="5">
        <f>IF(B29="","",IF(OR(AC29&lt;&gt;"OK",BJ29="BREACH",BH29&gt;MaxTradesDay,BI29&lt;=-DailyLossLimit,OR(AF29="Panic",AF29="Revenge",AF29="Rule break")),"CHECK","OK"))</f>
        <v/>
      </c>
      <c r="BL29" s="39">
        <f>IF(AU29="","",SUM($AU$6:AU29))</f>
        <v/>
      </c>
      <c r="BM29" s="39">
        <f>IF(BL29="","",Capital+BL29)</f>
        <v/>
      </c>
      <c r="BN29" s="39">
        <f>IF(BM29="","",MAX(Capital,MAX($BM$6:BM29)))</f>
        <v/>
      </c>
      <c r="BO29" s="39">
        <f>IF(BM29="","",BN29-BM29)</f>
        <v/>
      </c>
      <c r="BP29" s="58">
        <f>IF(BO29="","",BO29/BN29)</f>
        <v/>
      </c>
      <c r="BQ29" s="28">
        <f>IF(AU29="","",IF(AU29&lt;0,N(BQ28)+1,0))</f>
        <v/>
      </c>
    </row>
    <row r="30">
      <c r="A30" s="28">
        <f>IF(B30="","",COUNT($B$6:B30))</f>
        <v/>
      </c>
      <c r="B30" s="27" t="n"/>
      <c r="C30" s="5">
        <f>IF(B30="","",TEXT(B30,"ddd"))</f>
        <v/>
      </c>
      <c r="D30" s="27" t="n"/>
      <c r="E30" s="28">
        <f>IF(OR(B30="",D30=""),"",MAX(0,NETWORKDAYS(B30,D30)-1))</f>
        <v/>
      </c>
      <c r="F30" s="37" t="n"/>
      <c r="G30" s="36" t="n"/>
      <c r="H30" s="37" t="n"/>
      <c r="I30" s="37" t="n"/>
      <c r="J30" s="37" t="n"/>
      <c r="K30" s="37" t="n"/>
      <c r="L30" s="36" t="n"/>
      <c r="M30" s="36" t="n"/>
      <c r="N30" s="33">
        <f>IF(M30="","",M30*LotSize)</f>
        <v/>
      </c>
      <c r="O30" s="51" t="n"/>
      <c r="P30" s="32" t="n"/>
      <c r="Q30" s="29" t="n"/>
      <c r="R30" s="30">
        <f>IF(OR(G30="",Q30="",H30=""),"",IF(H30="CE",G30-Q30,Q30-G30))</f>
        <v/>
      </c>
      <c r="S30" s="31">
        <f>IF(R30="","",R30/Q30)</f>
        <v/>
      </c>
      <c r="T30" s="38" t="n"/>
      <c r="U30" s="32" t="n"/>
      <c r="V30" s="52" t="n"/>
      <c r="W30" s="37" t="n"/>
      <c r="X30" s="32" t="n"/>
      <c r="Y30" s="32" t="n"/>
      <c r="Z30" s="39">
        <f>IF(OR(X30="",P30="",N30=""),"",ABS(X30-P30)*N30)</f>
        <v/>
      </c>
      <c r="AA30" s="53">
        <f>IF(OR(Z30="",Y30=""),"",IF(Z30=0,"",ABS(P30-Y30)*N30/Z30))</f>
        <v/>
      </c>
      <c r="AB30" s="54">
        <f>IF(Z30="","",Z30/Capital)</f>
        <v/>
      </c>
      <c r="AC30" s="5">
        <f>IF(B30="","",IF(X30="","NO SL",IF(OR(N(M30)&gt;MaxLots,N(AB30)&gt;RiskPct),"OVERSIZED","OK")))</f>
        <v/>
      </c>
      <c r="AD30" s="51" t="n"/>
      <c r="AE30" s="32" t="n"/>
      <c r="AF30" s="37" t="n"/>
      <c r="AG30" s="32" t="n"/>
      <c r="AH30" s="32" t="n"/>
      <c r="AI30" s="39">
        <f>IF(OR(AG30="",P30="",N30=""),"",ABS(AG30-P30)*N30)</f>
        <v/>
      </c>
      <c r="AJ30" s="39">
        <f>IF(OR(AH30="",P30="",N30=""),"",ABS(P30-AH30)*N30)</f>
        <v/>
      </c>
      <c r="AK30" s="39">
        <f>IF(OR(AE30="",P30="",N30=""),"",IF(I30="Buy",AE30-P30,P30-AE30)*N30)</f>
        <v/>
      </c>
      <c r="AL30" s="39">
        <f>IF(OR(AJ30="",AK30=""),"",MAX(0,AJ30-AK30))</f>
        <v/>
      </c>
      <c r="AM30" s="39">
        <f>IF(AK30="","",(P30+AE30)*N30)</f>
        <v/>
      </c>
      <c r="AN30" s="55">
        <f>IF(AK30="","",BrokeragePerOrder*2*MAX(1,N(L30)))</f>
        <v/>
      </c>
      <c r="AO30" s="55">
        <f>IF(AK30="","",STTRate*IF(I30="Buy",AE30,P30)*N30)</f>
        <v/>
      </c>
      <c r="AP30" s="55">
        <f>IF(AK30="","",ExchRate*AM30)</f>
        <v/>
      </c>
      <c r="AQ30" s="55">
        <f>IF(AK30="","",SEBIRate*AM30)</f>
        <v/>
      </c>
      <c r="AR30" s="55">
        <f>IF(AK30="","",StampRate*IF(I30="Buy",P30,AE30)*N30)</f>
        <v/>
      </c>
      <c r="AS30" s="55">
        <f>IF(AK30="","",GSTRate*(AN30+AP30+AQ30))</f>
        <v/>
      </c>
      <c r="AT30" s="55">
        <f>IF(AK30="","",AN30+AO30+AP30+AQ30+AR30+AS30)</f>
        <v/>
      </c>
      <c r="AU30" s="39">
        <f>IF(AK30="","",AK30-AT30)</f>
        <v/>
      </c>
      <c r="AV30" s="56">
        <f>IF(AU30="","",AU30/IF(N(Z30)&gt;0,Z30,RiskPerTrade))</f>
        <v/>
      </c>
      <c r="AW30" s="31">
        <f>IF(AU30="","",AU30/Capital)</f>
        <v/>
      </c>
      <c r="AX30" s="37" t="n"/>
      <c r="AY30" s="37" t="n"/>
      <c r="AZ30" s="37" t="n"/>
      <c r="BA30" s="37" t="n"/>
      <c r="BB30" s="37" t="n"/>
      <c r="BC30" s="37" t="n"/>
      <c r="BD30" s="37" t="n"/>
      <c r="BE30" s="5">
        <f>IF(AU30="","",IF(AU30&gt;0,"Win",IF(AU30&lt;0,"Loss","BE")))</f>
        <v/>
      </c>
      <c r="BF30" s="5">
        <f>IF(O30="","",LOOKUP(O30,List_BucketStart,List_BucketLabel))</f>
        <v/>
      </c>
      <c r="BG30" s="57">
        <f>IF(B30="","",B30-WEEKDAY(B30,3))</f>
        <v/>
      </c>
      <c r="BH30" s="28">
        <f>IF(B30="","",COUNTIF($B$6:B30,B30))</f>
        <v/>
      </c>
      <c r="BI30" s="39">
        <f>IF(B30="","",SUMIFS($AU$6:AU30,$B$6:B30,B30)-N(AU30))</f>
        <v/>
      </c>
      <c r="BJ30" s="5">
        <f>IF(OR(B30="",E30=""),"",IF(AND(E30=0,I30="Sell",MAX(N(O30),N(AD30))&gt;ExpiryCutoff),"BREACH","OK"))</f>
        <v/>
      </c>
      <c r="BK30" s="5">
        <f>IF(B30="","",IF(OR(AC30&lt;&gt;"OK",BJ30="BREACH",BH30&gt;MaxTradesDay,BI30&lt;=-DailyLossLimit,OR(AF30="Panic",AF30="Revenge",AF30="Rule break")),"CHECK","OK"))</f>
        <v/>
      </c>
      <c r="BL30" s="39">
        <f>IF(AU30="","",SUM($AU$6:AU30))</f>
        <v/>
      </c>
      <c r="BM30" s="39">
        <f>IF(BL30="","",Capital+BL30)</f>
        <v/>
      </c>
      <c r="BN30" s="39">
        <f>IF(BM30="","",MAX(Capital,MAX($BM$6:BM30)))</f>
        <v/>
      </c>
      <c r="BO30" s="39">
        <f>IF(BM30="","",BN30-BM30)</f>
        <v/>
      </c>
      <c r="BP30" s="58">
        <f>IF(BO30="","",BO30/BN30)</f>
        <v/>
      </c>
      <c r="BQ30" s="28">
        <f>IF(AU30="","",IF(AU30&lt;0,N(BQ29)+1,0))</f>
        <v/>
      </c>
    </row>
    <row r="31">
      <c r="A31" s="28">
        <f>IF(B31="","",COUNT($B$6:B31))</f>
        <v/>
      </c>
      <c r="B31" s="27" t="n"/>
      <c r="C31" s="5">
        <f>IF(B31="","",TEXT(B31,"ddd"))</f>
        <v/>
      </c>
      <c r="D31" s="27" t="n"/>
      <c r="E31" s="28">
        <f>IF(OR(B31="",D31=""),"",MAX(0,NETWORKDAYS(B31,D31)-1))</f>
        <v/>
      </c>
      <c r="F31" s="37" t="n"/>
      <c r="G31" s="36" t="n"/>
      <c r="H31" s="37" t="n"/>
      <c r="I31" s="37" t="n"/>
      <c r="J31" s="37" t="n"/>
      <c r="K31" s="37" t="n"/>
      <c r="L31" s="36" t="n"/>
      <c r="M31" s="36" t="n"/>
      <c r="N31" s="33">
        <f>IF(M31="","",M31*LotSize)</f>
        <v/>
      </c>
      <c r="O31" s="51" t="n"/>
      <c r="P31" s="32" t="n"/>
      <c r="Q31" s="29" t="n"/>
      <c r="R31" s="30">
        <f>IF(OR(G31="",Q31="",H31=""),"",IF(H31="CE",G31-Q31,Q31-G31))</f>
        <v/>
      </c>
      <c r="S31" s="31">
        <f>IF(R31="","",R31/Q31)</f>
        <v/>
      </c>
      <c r="T31" s="38" t="n"/>
      <c r="U31" s="32" t="n"/>
      <c r="V31" s="52" t="n"/>
      <c r="W31" s="37" t="n"/>
      <c r="X31" s="32" t="n"/>
      <c r="Y31" s="32" t="n"/>
      <c r="Z31" s="39">
        <f>IF(OR(X31="",P31="",N31=""),"",ABS(X31-P31)*N31)</f>
        <v/>
      </c>
      <c r="AA31" s="53">
        <f>IF(OR(Z31="",Y31=""),"",IF(Z31=0,"",ABS(P31-Y31)*N31/Z31))</f>
        <v/>
      </c>
      <c r="AB31" s="54">
        <f>IF(Z31="","",Z31/Capital)</f>
        <v/>
      </c>
      <c r="AC31" s="5">
        <f>IF(B31="","",IF(X31="","NO SL",IF(OR(N(M31)&gt;MaxLots,N(AB31)&gt;RiskPct),"OVERSIZED","OK")))</f>
        <v/>
      </c>
      <c r="AD31" s="51" t="n"/>
      <c r="AE31" s="32" t="n"/>
      <c r="AF31" s="37" t="n"/>
      <c r="AG31" s="32" t="n"/>
      <c r="AH31" s="32" t="n"/>
      <c r="AI31" s="39">
        <f>IF(OR(AG31="",P31="",N31=""),"",ABS(AG31-P31)*N31)</f>
        <v/>
      </c>
      <c r="AJ31" s="39">
        <f>IF(OR(AH31="",P31="",N31=""),"",ABS(P31-AH31)*N31)</f>
        <v/>
      </c>
      <c r="AK31" s="39">
        <f>IF(OR(AE31="",P31="",N31=""),"",IF(I31="Buy",AE31-P31,P31-AE31)*N31)</f>
        <v/>
      </c>
      <c r="AL31" s="39">
        <f>IF(OR(AJ31="",AK31=""),"",MAX(0,AJ31-AK31))</f>
        <v/>
      </c>
      <c r="AM31" s="39">
        <f>IF(AK31="","",(P31+AE31)*N31)</f>
        <v/>
      </c>
      <c r="AN31" s="55">
        <f>IF(AK31="","",BrokeragePerOrder*2*MAX(1,N(L31)))</f>
        <v/>
      </c>
      <c r="AO31" s="55">
        <f>IF(AK31="","",STTRate*IF(I31="Buy",AE31,P31)*N31)</f>
        <v/>
      </c>
      <c r="AP31" s="55">
        <f>IF(AK31="","",ExchRate*AM31)</f>
        <v/>
      </c>
      <c r="AQ31" s="55">
        <f>IF(AK31="","",SEBIRate*AM31)</f>
        <v/>
      </c>
      <c r="AR31" s="55">
        <f>IF(AK31="","",StampRate*IF(I31="Buy",P31,AE31)*N31)</f>
        <v/>
      </c>
      <c r="AS31" s="55">
        <f>IF(AK31="","",GSTRate*(AN31+AP31+AQ31))</f>
        <v/>
      </c>
      <c r="AT31" s="55">
        <f>IF(AK31="","",AN31+AO31+AP31+AQ31+AR31+AS31)</f>
        <v/>
      </c>
      <c r="AU31" s="39">
        <f>IF(AK31="","",AK31-AT31)</f>
        <v/>
      </c>
      <c r="AV31" s="56">
        <f>IF(AU31="","",AU31/IF(N(Z31)&gt;0,Z31,RiskPerTrade))</f>
        <v/>
      </c>
      <c r="AW31" s="31">
        <f>IF(AU31="","",AU31/Capital)</f>
        <v/>
      </c>
      <c r="AX31" s="37" t="n"/>
      <c r="AY31" s="37" t="n"/>
      <c r="AZ31" s="37" t="n"/>
      <c r="BA31" s="37" t="n"/>
      <c r="BB31" s="37" t="n"/>
      <c r="BC31" s="37" t="n"/>
      <c r="BD31" s="37" t="n"/>
      <c r="BE31" s="5">
        <f>IF(AU31="","",IF(AU31&gt;0,"Win",IF(AU31&lt;0,"Loss","BE")))</f>
        <v/>
      </c>
      <c r="BF31" s="5">
        <f>IF(O31="","",LOOKUP(O31,List_BucketStart,List_BucketLabel))</f>
        <v/>
      </c>
      <c r="BG31" s="57">
        <f>IF(B31="","",B31-WEEKDAY(B31,3))</f>
        <v/>
      </c>
      <c r="BH31" s="28">
        <f>IF(B31="","",COUNTIF($B$6:B31,B31))</f>
        <v/>
      </c>
      <c r="BI31" s="39">
        <f>IF(B31="","",SUMIFS($AU$6:AU31,$B$6:B31,B31)-N(AU31))</f>
        <v/>
      </c>
      <c r="BJ31" s="5">
        <f>IF(OR(B31="",E31=""),"",IF(AND(E31=0,I31="Sell",MAX(N(O31),N(AD31))&gt;ExpiryCutoff),"BREACH","OK"))</f>
        <v/>
      </c>
      <c r="BK31" s="5">
        <f>IF(B31="","",IF(OR(AC31&lt;&gt;"OK",BJ31="BREACH",BH31&gt;MaxTradesDay,BI31&lt;=-DailyLossLimit,OR(AF31="Panic",AF31="Revenge",AF31="Rule break")),"CHECK","OK"))</f>
        <v/>
      </c>
      <c r="BL31" s="39">
        <f>IF(AU31="","",SUM($AU$6:AU31))</f>
        <v/>
      </c>
      <c r="BM31" s="39">
        <f>IF(BL31="","",Capital+BL31)</f>
        <v/>
      </c>
      <c r="BN31" s="39">
        <f>IF(BM31="","",MAX(Capital,MAX($BM$6:BM31)))</f>
        <v/>
      </c>
      <c r="BO31" s="39">
        <f>IF(BM31="","",BN31-BM31)</f>
        <v/>
      </c>
      <c r="BP31" s="58">
        <f>IF(BO31="","",BO31/BN31)</f>
        <v/>
      </c>
      <c r="BQ31" s="28">
        <f>IF(AU31="","",IF(AU31&lt;0,N(BQ30)+1,0))</f>
        <v/>
      </c>
    </row>
    <row r="32">
      <c r="A32" s="28">
        <f>IF(B32="","",COUNT($B$6:B32))</f>
        <v/>
      </c>
      <c r="B32" s="27" t="n"/>
      <c r="C32" s="5">
        <f>IF(B32="","",TEXT(B32,"ddd"))</f>
        <v/>
      </c>
      <c r="D32" s="27" t="n"/>
      <c r="E32" s="28">
        <f>IF(OR(B32="",D32=""),"",MAX(0,NETWORKDAYS(B32,D32)-1))</f>
        <v/>
      </c>
      <c r="F32" s="37" t="n"/>
      <c r="G32" s="36" t="n"/>
      <c r="H32" s="37" t="n"/>
      <c r="I32" s="37" t="n"/>
      <c r="J32" s="37" t="n"/>
      <c r="K32" s="37" t="n"/>
      <c r="L32" s="36" t="n"/>
      <c r="M32" s="36" t="n"/>
      <c r="N32" s="33">
        <f>IF(M32="","",M32*LotSize)</f>
        <v/>
      </c>
      <c r="O32" s="51" t="n"/>
      <c r="P32" s="32" t="n"/>
      <c r="Q32" s="29" t="n"/>
      <c r="R32" s="30">
        <f>IF(OR(G32="",Q32="",H32=""),"",IF(H32="CE",G32-Q32,Q32-G32))</f>
        <v/>
      </c>
      <c r="S32" s="31">
        <f>IF(R32="","",R32/Q32)</f>
        <v/>
      </c>
      <c r="T32" s="38" t="n"/>
      <c r="U32" s="32" t="n"/>
      <c r="V32" s="52" t="n"/>
      <c r="W32" s="37" t="n"/>
      <c r="X32" s="32" t="n"/>
      <c r="Y32" s="32" t="n"/>
      <c r="Z32" s="39">
        <f>IF(OR(X32="",P32="",N32=""),"",ABS(X32-P32)*N32)</f>
        <v/>
      </c>
      <c r="AA32" s="53">
        <f>IF(OR(Z32="",Y32=""),"",IF(Z32=0,"",ABS(P32-Y32)*N32/Z32))</f>
        <v/>
      </c>
      <c r="AB32" s="54">
        <f>IF(Z32="","",Z32/Capital)</f>
        <v/>
      </c>
      <c r="AC32" s="5">
        <f>IF(B32="","",IF(X32="","NO SL",IF(OR(N(M32)&gt;MaxLots,N(AB32)&gt;RiskPct),"OVERSIZED","OK")))</f>
        <v/>
      </c>
      <c r="AD32" s="51" t="n"/>
      <c r="AE32" s="32" t="n"/>
      <c r="AF32" s="37" t="n"/>
      <c r="AG32" s="32" t="n"/>
      <c r="AH32" s="32" t="n"/>
      <c r="AI32" s="39">
        <f>IF(OR(AG32="",P32="",N32=""),"",ABS(AG32-P32)*N32)</f>
        <v/>
      </c>
      <c r="AJ32" s="39">
        <f>IF(OR(AH32="",P32="",N32=""),"",ABS(P32-AH32)*N32)</f>
        <v/>
      </c>
      <c r="AK32" s="39">
        <f>IF(OR(AE32="",P32="",N32=""),"",IF(I32="Buy",AE32-P32,P32-AE32)*N32)</f>
        <v/>
      </c>
      <c r="AL32" s="39">
        <f>IF(OR(AJ32="",AK32=""),"",MAX(0,AJ32-AK32))</f>
        <v/>
      </c>
      <c r="AM32" s="39">
        <f>IF(AK32="","",(P32+AE32)*N32)</f>
        <v/>
      </c>
      <c r="AN32" s="55">
        <f>IF(AK32="","",BrokeragePerOrder*2*MAX(1,N(L32)))</f>
        <v/>
      </c>
      <c r="AO32" s="55">
        <f>IF(AK32="","",STTRate*IF(I32="Buy",AE32,P32)*N32)</f>
        <v/>
      </c>
      <c r="AP32" s="55">
        <f>IF(AK32="","",ExchRate*AM32)</f>
        <v/>
      </c>
      <c r="AQ32" s="55">
        <f>IF(AK32="","",SEBIRate*AM32)</f>
        <v/>
      </c>
      <c r="AR32" s="55">
        <f>IF(AK32="","",StampRate*IF(I32="Buy",P32,AE32)*N32)</f>
        <v/>
      </c>
      <c r="AS32" s="55">
        <f>IF(AK32="","",GSTRate*(AN32+AP32+AQ32))</f>
        <v/>
      </c>
      <c r="AT32" s="55">
        <f>IF(AK32="","",AN32+AO32+AP32+AQ32+AR32+AS32)</f>
        <v/>
      </c>
      <c r="AU32" s="39">
        <f>IF(AK32="","",AK32-AT32)</f>
        <v/>
      </c>
      <c r="AV32" s="56">
        <f>IF(AU32="","",AU32/IF(N(Z32)&gt;0,Z32,RiskPerTrade))</f>
        <v/>
      </c>
      <c r="AW32" s="31">
        <f>IF(AU32="","",AU32/Capital)</f>
        <v/>
      </c>
      <c r="AX32" s="37" t="n"/>
      <c r="AY32" s="37" t="n"/>
      <c r="AZ32" s="37" t="n"/>
      <c r="BA32" s="37" t="n"/>
      <c r="BB32" s="37" t="n"/>
      <c r="BC32" s="37" t="n"/>
      <c r="BD32" s="37" t="n"/>
      <c r="BE32" s="5">
        <f>IF(AU32="","",IF(AU32&gt;0,"Win",IF(AU32&lt;0,"Loss","BE")))</f>
        <v/>
      </c>
      <c r="BF32" s="5">
        <f>IF(O32="","",LOOKUP(O32,List_BucketStart,List_BucketLabel))</f>
        <v/>
      </c>
      <c r="BG32" s="57">
        <f>IF(B32="","",B32-WEEKDAY(B32,3))</f>
        <v/>
      </c>
      <c r="BH32" s="28">
        <f>IF(B32="","",COUNTIF($B$6:B32,B32))</f>
        <v/>
      </c>
      <c r="BI32" s="39">
        <f>IF(B32="","",SUMIFS($AU$6:AU32,$B$6:B32,B32)-N(AU32))</f>
        <v/>
      </c>
      <c r="BJ32" s="5">
        <f>IF(OR(B32="",E32=""),"",IF(AND(E32=0,I32="Sell",MAX(N(O32),N(AD32))&gt;ExpiryCutoff),"BREACH","OK"))</f>
        <v/>
      </c>
      <c r="BK32" s="5">
        <f>IF(B32="","",IF(OR(AC32&lt;&gt;"OK",BJ32="BREACH",BH32&gt;MaxTradesDay,BI32&lt;=-DailyLossLimit,OR(AF32="Panic",AF32="Revenge",AF32="Rule break")),"CHECK","OK"))</f>
        <v/>
      </c>
      <c r="BL32" s="39">
        <f>IF(AU32="","",SUM($AU$6:AU32))</f>
        <v/>
      </c>
      <c r="BM32" s="39">
        <f>IF(BL32="","",Capital+BL32)</f>
        <v/>
      </c>
      <c r="BN32" s="39">
        <f>IF(BM32="","",MAX(Capital,MAX($BM$6:BM32)))</f>
        <v/>
      </c>
      <c r="BO32" s="39">
        <f>IF(BM32="","",BN32-BM32)</f>
        <v/>
      </c>
      <c r="BP32" s="58">
        <f>IF(BO32="","",BO32/BN32)</f>
        <v/>
      </c>
      <c r="BQ32" s="28">
        <f>IF(AU32="","",IF(AU32&lt;0,N(BQ31)+1,0))</f>
        <v/>
      </c>
    </row>
    <row r="33">
      <c r="A33" s="28">
        <f>IF(B33="","",COUNT($B$6:B33))</f>
        <v/>
      </c>
      <c r="B33" s="27" t="n"/>
      <c r="C33" s="5">
        <f>IF(B33="","",TEXT(B33,"ddd"))</f>
        <v/>
      </c>
      <c r="D33" s="27" t="n"/>
      <c r="E33" s="28">
        <f>IF(OR(B33="",D33=""),"",MAX(0,NETWORKDAYS(B33,D33)-1))</f>
        <v/>
      </c>
      <c r="F33" s="37" t="n"/>
      <c r="G33" s="36" t="n"/>
      <c r="H33" s="37" t="n"/>
      <c r="I33" s="37" t="n"/>
      <c r="J33" s="37" t="n"/>
      <c r="K33" s="37" t="n"/>
      <c r="L33" s="36" t="n"/>
      <c r="M33" s="36" t="n"/>
      <c r="N33" s="33">
        <f>IF(M33="","",M33*LotSize)</f>
        <v/>
      </c>
      <c r="O33" s="51" t="n"/>
      <c r="P33" s="32" t="n"/>
      <c r="Q33" s="29" t="n"/>
      <c r="R33" s="30">
        <f>IF(OR(G33="",Q33="",H33=""),"",IF(H33="CE",G33-Q33,Q33-G33))</f>
        <v/>
      </c>
      <c r="S33" s="31">
        <f>IF(R33="","",R33/Q33)</f>
        <v/>
      </c>
      <c r="T33" s="38" t="n"/>
      <c r="U33" s="32" t="n"/>
      <c r="V33" s="52" t="n"/>
      <c r="W33" s="37" t="n"/>
      <c r="X33" s="32" t="n"/>
      <c r="Y33" s="32" t="n"/>
      <c r="Z33" s="39">
        <f>IF(OR(X33="",P33="",N33=""),"",ABS(X33-P33)*N33)</f>
        <v/>
      </c>
      <c r="AA33" s="53">
        <f>IF(OR(Z33="",Y33=""),"",IF(Z33=0,"",ABS(P33-Y33)*N33/Z33))</f>
        <v/>
      </c>
      <c r="AB33" s="54">
        <f>IF(Z33="","",Z33/Capital)</f>
        <v/>
      </c>
      <c r="AC33" s="5">
        <f>IF(B33="","",IF(X33="","NO SL",IF(OR(N(M33)&gt;MaxLots,N(AB33)&gt;RiskPct),"OVERSIZED","OK")))</f>
        <v/>
      </c>
      <c r="AD33" s="51" t="n"/>
      <c r="AE33" s="32" t="n"/>
      <c r="AF33" s="37" t="n"/>
      <c r="AG33" s="32" t="n"/>
      <c r="AH33" s="32" t="n"/>
      <c r="AI33" s="39">
        <f>IF(OR(AG33="",P33="",N33=""),"",ABS(AG33-P33)*N33)</f>
        <v/>
      </c>
      <c r="AJ33" s="39">
        <f>IF(OR(AH33="",P33="",N33=""),"",ABS(P33-AH33)*N33)</f>
        <v/>
      </c>
      <c r="AK33" s="39">
        <f>IF(OR(AE33="",P33="",N33=""),"",IF(I33="Buy",AE33-P33,P33-AE33)*N33)</f>
        <v/>
      </c>
      <c r="AL33" s="39">
        <f>IF(OR(AJ33="",AK33=""),"",MAX(0,AJ33-AK33))</f>
        <v/>
      </c>
      <c r="AM33" s="39">
        <f>IF(AK33="","",(P33+AE33)*N33)</f>
        <v/>
      </c>
      <c r="AN33" s="55">
        <f>IF(AK33="","",BrokeragePerOrder*2*MAX(1,N(L33)))</f>
        <v/>
      </c>
      <c r="AO33" s="55">
        <f>IF(AK33="","",STTRate*IF(I33="Buy",AE33,P33)*N33)</f>
        <v/>
      </c>
      <c r="AP33" s="55">
        <f>IF(AK33="","",ExchRate*AM33)</f>
        <v/>
      </c>
      <c r="AQ33" s="55">
        <f>IF(AK33="","",SEBIRate*AM33)</f>
        <v/>
      </c>
      <c r="AR33" s="55">
        <f>IF(AK33="","",StampRate*IF(I33="Buy",P33,AE33)*N33)</f>
        <v/>
      </c>
      <c r="AS33" s="55">
        <f>IF(AK33="","",GSTRate*(AN33+AP33+AQ33))</f>
        <v/>
      </c>
      <c r="AT33" s="55">
        <f>IF(AK33="","",AN33+AO33+AP33+AQ33+AR33+AS33)</f>
        <v/>
      </c>
      <c r="AU33" s="39">
        <f>IF(AK33="","",AK33-AT33)</f>
        <v/>
      </c>
      <c r="AV33" s="56">
        <f>IF(AU33="","",AU33/IF(N(Z33)&gt;0,Z33,RiskPerTrade))</f>
        <v/>
      </c>
      <c r="AW33" s="31">
        <f>IF(AU33="","",AU33/Capital)</f>
        <v/>
      </c>
      <c r="AX33" s="37" t="n"/>
      <c r="AY33" s="37" t="n"/>
      <c r="AZ33" s="37" t="n"/>
      <c r="BA33" s="37" t="n"/>
      <c r="BB33" s="37" t="n"/>
      <c r="BC33" s="37" t="n"/>
      <c r="BD33" s="37" t="n"/>
      <c r="BE33" s="5">
        <f>IF(AU33="","",IF(AU33&gt;0,"Win",IF(AU33&lt;0,"Loss","BE")))</f>
        <v/>
      </c>
      <c r="BF33" s="5">
        <f>IF(O33="","",LOOKUP(O33,List_BucketStart,List_BucketLabel))</f>
        <v/>
      </c>
      <c r="BG33" s="57">
        <f>IF(B33="","",B33-WEEKDAY(B33,3))</f>
        <v/>
      </c>
      <c r="BH33" s="28">
        <f>IF(B33="","",COUNTIF($B$6:B33,B33))</f>
        <v/>
      </c>
      <c r="BI33" s="39">
        <f>IF(B33="","",SUMIFS($AU$6:AU33,$B$6:B33,B33)-N(AU33))</f>
        <v/>
      </c>
      <c r="BJ33" s="5">
        <f>IF(OR(B33="",E33=""),"",IF(AND(E33=0,I33="Sell",MAX(N(O33),N(AD33))&gt;ExpiryCutoff),"BREACH","OK"))</f>
        <v/>
      </c>
      <c r="BK33" s="5">
        <f>IF(B33="","",IF(OR(AC33&lt;&gt;"OK",BJ33="BREACH",BH33&gt;MaxTradesDay,BI33&lt;=-DailyLossLimit,OR(AF33="Panic",AF33="Revenge",AF33="Rule break")),"CHECK","OK"))</f>
        <v/>
      </c>
      <c r="BL33" s="39">
        <f>IF(AU33="","",SUM($AU$6:AU33))</f>
        <v/>
      </c>
      <c r="BM33" s="39">
        <f>IF(BL33="","",Capital+BL33)</f>
        <v/>
      </c>
      <c r="BN33" s="39">
        <f>IF(BM33="","",MAX(Capital,MAX($BM$6:BM33)))</f>
        <v/>
      </c>
      <c r="BO33" s="39">
        <f>IF(BM33="","",BN33-BM33)</f>
        <v/>
      </c>
      <c r="BP33" s="58">
        <f>IF(BO33="","",BO33/BN33)</f>
        <v/>
      </c>
      <c r="BQ33" s="28">
        <f>IF(AU33="","",IF(AU33&lt;0,N(BQ32)+1,0))</f>
        <v/>
      </c>
    </row>
    <row r="34">
      <c r="A34" s="28">
        <f>IF(B34="","",COUNT($B$6:B34))</f>
        <v/>
      </c>
      <c r="B34" s="27" t="n"/>
      <c r="C34" s="5">
        <f>IF(B34="","",TEXT(B34,"ddd"))</f>
        <v/>
      </c>
      <c r="D34" s="27" t="n"/>
      <c r="E34" s="28">
        <f>IF(OR(B34="",D34=""),"",MAX(0,NETWORKDAYS(B34,D34)-1))</f>
        <v/>
      </c>
      <c r="F34" s="37" t="n"/>
      <c r="G34" s="36" t="n"/>
      <c r="H34" s="37" t="n"/>
      <c r="I34" s="37" t="n"/>
      <c r="J34" s="37" t="n"/>
      <c r="K34" s="37" t="n"/>
      <c r="L34" s="36" t="n"/>
      <c r="M34" s="36" t="n"/>
      <c r="N34" s="33">
        <f>IF(M34="","",M34*LotSize)</f>
        <v/>
      </c>
      <c r="O34" s="51" t="n"/>
      <c r="P34" s="32" t="n"/>
      <c r="Q34" s="29" t="n"/>
      <c r="R34" s="30">
        <f>IF(OR(G34="",Q34="",H34=""),"",IF(H34="CE",G34-Q34,Q34-G34))</f>
        <v/>
      </c>
      <c r="S34" s="31">
        <f>IF(R34="","",R34/Q34)</f>
        <v/>
      </c>
      <c r="T34" s="38" t="n"/>
      <c r="U34" s="32" t="n"/>
      <c r="V34" s="52" t="n"/>
      <c r="W34" s="37" t="n"/>
      <c r="X34" s="32" t="n"/>
      <c r="Y34" s="32" t="n"/>
      <c r="Z34" s="39">
        <f>IF(OR(X34="",P34="",N34=""),"",ABS(X34-P34)*N34)</f>
        <v/>
      </c>
      <c r="AA34" s="53">
        <f>IF(OR(Z34="",Y34=""),"",IF(Z34=0,"",ABS(P34-Y34)*N34/Z34))</f>
        <v/>
      </c>
      <c r="AB34" s="54">
        <f>IF(Z34="","",Z34/Capital)</f>
        <v/>
      </c>
      <c r="AC34" s="5">
        <f>IF(B34="","",IF(X34="","NO SL",IF(OR(N(M34)&gt;MaxLots,N(AB34)&gt;RiskPct),"OVERSIZED","OK")))</f>
        <v/>
      </c>
      <c r="AD34" s="51" t="n"/>
      <c r="AE34" s="32" t="n"/>
      <c r="AF34" s="37" t="n"/>
      <c r="AG34" s="32" t="n"/>
      <c r="AH34" s="32" t="n"/>
      <c r="AI34" s="39">
        <f>IF(OR(AG34="",P34="",N34=""),"",ABS(AG34-P34)*N34)</f>
        <v/>
      </c>
      <c r="AJ34" s="39">
        <f>IF(OR(AH34="",P34="",N34=""),"",ABS(P34-AH34)*N34)</f>
        <v/>
      </c>
      <c r="AK34" s="39">
        <f>IF(OR(AE34="",P34="",N34=""),"",IF(I34="Buy",AE34-P34,P34-AE34)*N34)</f>
        <v/>
      </c>
      <c r="AL34" s="39">
        <f>IF(OR(AJ34="",AK34=""),"",MAX(0,AJ34-AK34))</f>
        <v/>
      </c>
      <c r="AM34" s="39">
        <f>IF(AK34="","",(P34+AE34)*N34)</f>
        <v/>
      </c>
      <c r="AN34" s="55">
        <f>IF(AK34="","",BrokeragePerOrder*2*MAX(1,N(L34)))</f>
        <v/>
      </c>
      <c r="AO34" s="55">
        <f>IF(AK34="","",STTRate*IF(I34="Buy",AE34,P34)*N34)</f>
        <v/>
      </c>
      <c r="AP34" s="55">
        <f>IF(AK34="","",ExchRate*AM34)</f>
        <v/>
      </c>
      <c r="AQ34" s="55">
        <f>IF(AK34="","",SEBIRate*AM34)</f>
        <v/>
      </c>
      <c r="AR34" s="55">
        <f>IF(AK34="","",StampRate*IF(I34="Buy",P34,AE34)*N34)</f>
        <v/>
      </c>
      <c r="AS34" s="55">
        <f>IF(AK34="","",GSTRate*(AN34+AP34+AQ34))</f>
        <v/>
      </c>
      <c r="AT34" s="55">
        <f>IF(AK34="","",AN34+AO34+AP34+AQ34+AR34+AS34)</f>
        <v/>
      </c>
      <c r="AU34" s="39">
        <f>IF(AK34="","",AK34-AT34)</f>
        <v/>
      </c>
      <c r="AV34" s="56">
        <f>IF(AU34="","",AU34/IF(N(Z34)&gt;0,Z34,RiskPerTrade))</f>
        <v/>
      </c>
      <c r="AW34" s="31">
        <f>IF(AU34="","",AU34/Capital)</f>
        <v/>
      </c>
      <c r="AX34" s="37" t="n"/>
      <c r="AY34" s="37" t="n"/>
      <c r="AZ34" s="37" t="n"/>
      <c r="BA34" s="37" t="n"/>
      <c r="BB34" s="37" t="n"/>
      <c r="BC34" s="37" t="n"/>
      <c r="BD34" s="37" t="n"/>
      <c r="BE34" s="5">
        <f>IF(AU34="","",IF(AU34&gt;0,"Win",IF(AU34&lt;0,"Loss","BE")))</f>
        <v/>
      </c>
      <c r="BF34" s="5">
        <f>IF(O34="","",LOOKUP(O34,List_BucketStart,List_BucketLabel))</f>
        <v/>
      </c>
      <c r="BG34" s="57">
        <f>IF(B34="","",B34-WEEKDAY(B34,3))</f>
        <v/>
      </c>
      <c r="BH34" s="28">
        <f>IF(B34="","",COUNTIF($B$6:B34,B34))</f>
        <v/>
      </c>
      <c r="BI34" s="39">
        <f>IF(B34="","",SUMIFS($AU$6:AU34,$B$6:B34,B34)-N(AU34))</f>
        <v/>
      </c>
      <c r="BJ34" s="5">
        <f>IF(OR(B34="",E34=""),"",IF(AND(E34=0,I34="Sell",MAX(N(O34),N(AD34))&gt;ExpiryCutoff),"BREACH","OK"))</f>
        <v/>
      </c>
      <c r="BK34" s="5">
        <f>IF(B34="","",IF(OR(AC34&lt;&gt;"OK",BJ34="BREACH",BH34&gt;MaxTradesDay,BI34&lt;=-DailyLossLimit,OR(AF34="Panic",AF34="Revenge",AF34="Rule break")),"CHECK","OK"))</f>
        <v/>
      </c>
      <c r="BL34" s="39">
        <f>IF(AU34="","",SUM($AU$6:AU34))</f>
        <v/>
      </c>
      <c r="BM34" s="39">
        <f>IF(BL34="","",Capital+BL34)</f>
        <v/>
      </c>
      <c r="BN34" s="39">
        <f>IF(BM34="","",MAX(Capital,MAX($BM$6:BM34)))</f>
        <v/>
      </c>
      <c r="BO34" s="39">
        <f>IF(BM34="","",BN34-BM34)</f>
        <v/>
      </c>
      <c r="BP34" s="58">
        <f>IF(BO34="","",BO34/BN34)</f>
        <v/>
      </c>
      <c r="BQ34" s="28">
        <f>IF(AU34="","",IF(AU34&lt;0,N(BQ33)+1,0))</f>
        <v/>
      </c>
    </row>
    <row r="35">
      <c r="A35" s="28">
        <f>IF(B35="","",COUNT($B$6:B35))</f>
        <v/>
      </c>
      <c r="B35" s="27" t="n"/>
      <c r="C35" s="5">
        <f>IF(B35="","",TEXT(B35,"ddd"))</f>
        <v/>
      </c>
      <c r="D35" s="27" t="n"/>
      <c r="E35" s="28">
        <f>IF(OR(B35="",D35=""),"",MAX(0,NETWORKDAYS(B35,D35)-1))</f>
        <v/>
      </c>
      <c r="F35" s="37" t="n"/>
      <c r="G35" s="36" t="n"/>
      <c r="H35" s="37" t="n"/>
      <c r="I35" s="37" t="n"/>
      <c r="J35" s="37" t="n"/>
      <c r="K35" s="37" t="n"/>
      <c r="L35" s="36" t="n"/>
      <c r="M35" s="36" t="n"/>
      <c r="N35" s="33">
        <f>IF(M35="","",M35*LotSize)</f>
        <v/>
      </c>
      <c r="O35" s="51" t="n"/>
      <c r="P35" s="32" t="n"/>
      <c r="Q35" s="29" t="n"/>
      <c r="R35" s="30">
        <f>IF(OR(G35="",Q35="",H35=""),"",IF(H35="CE",G35-Q35,Q35-G35))</f>
        <v/>
      </c>
      <c r="S35" s="31">
        <f>IF(R35="","",R35/Q35)</f>
        <v/>
      </c>
      <c r="T35" s="38" t="n"/>
      <c r="U35" s="32" t="n"/>
      <c r="V35" s="52" t="n"/>
      <c r="W35" s="37" t="n"/>
      <c r="X35" s="32" t="n"/>
      <c r="Y35" s="32" t="n"/>
      <c r="Z35" s="39">
        <f>IF(OR(X35="",P35="",N35=""),"",ABS(X35-P35)*N35)</f>
        <v/>
      </c>
      <c r="AA35" s="53">
        <f>IF(OR(Z35="",Y35=""),"",IF(Z35=0,"",ABS(P35-Y35)*N35/Z35))</f>
        <v/>
      </c>
      <c r="AB35" s="54">
        <f>IF(Z35="","",Z35/Capital)</f>
        <v/>
      </c>
      <c r="AC35" s="5">
        <f>IF(B35="","",IF(X35="","NO SL",IF(OR(N(M35)&gt;MaxLots,N(AB35)&gt;RiskPct),"OVERSIZED","OK")))</f>
        <v/>
      </c>
      <c r="AD35" s="51" t="n"/>
      <c r="AE35" s="32" t="n"/>
      <c r="AF35" s="37" t="n"/>
      <c r="AG35" s="32" t="n"/>
      <c r="AH35" s="32" t="n"/>
      <c r="AI35" s="39">
        <f>IF(OR(AG35="",P35="",N35=""),"",ABS(AG35-P35)*N35)</f>
        <v/>
      </c>
      <c r="AJ35" s="39">
        <f>IF(OR(AH35="",P35="",N35=""),"",ABS(P35-AH35)*N35)</f>
        <v/>
      </c>
      <c r="AK35" s="39">
        <f>IF(OR(AE35="",P35="",N35=""),"",IF(I35="Buy",AE35-P35,P35-AE35)*N35)</f>
        <v/>
      </c>
      <c r="AL35" s="39">
        <f>IF(OR(AJ35="",AK35=""),"",MAX(0,AJ35-AK35))</f>
        <v/>
      </c>
      <c r="AM35" s="39">
        <f>IF(AK35="","",(P35+AE35)*N35)</f>
        <v/>
      </c>
      <c r="AN35" s="55">
        <f>IF(AK35="","",BrokeragePerOrder*2*MAX(1,N(L35)))</f>
        <v/>
      </c>
      <c r="AO35" s="55">
        <f>IF(AK35="","",STTRate*IF(I35="Buy",AE35,P35)*N35)</f>
        <v/>
      </c>
      <c r="AP35" s="55">
        <f>IF(AK35="","",ExchRate*AM35)</f>
        <v/>
      </c>
      <c r="AQ35" s="55">
        <f>IF(AK35="","",SEBIRate*AM35)</f>
        <v/>
      </c>
      <c r="AR35" s="55">
        <f>IF(AK35="","",StampRate*IF(I35="Buy",P35,AE35)*N35)</f>
        <v/>
      </c>
      <c r="AS35" s="55">
        <f>IF(AK35="","",GSTRate*(AN35+AP35+AQ35))</f>
        <v/>
      </c>
      <c r="AT35" s="55">
        <f>IF(AK35="","",AN35+AO35+AP35+AQ35+AR35+AS35)</f>
        <v/>
      </c>
      <c r="AU35" s="39">
        <f>IF(AK35="","",AK35-AT35)</f>
        <v/>
      </c>
      <c r="AV35" s="56">
        <f>IF(AU35="","",AU35/IF(N(Z35)&gt;0,Z35,RiskPerTrade))</f>
        <v/>
      </c>
      <c r="AW35" s="31">
        <f>IF(AU35="","",AU35/Capital)</f>
        <v/>
      </c>
      <c r="AX35" s="37" t="n"/>
      <c r="AY35" s="37" t="n"/>
      <c r="AZ35" s="37" t="n"/>
      <c r="BA35" s="37" t="n"/>
      <c r="BB35" s="37" t="n"/>
      <c r="BC35" s="37" t="n"/>
      <c r="BD35" s="37" t="n"/>
      <c r="BE35" s="5">
        <f>IF(AU35="","",IF(AU35&gt;0,"Win",IF(AU35&lt;0,"Loss","BE")))</f>
        <v/>
      </c>
      <c r="BF35" s="5">
        <f>IF(O35="","",LOOKUP(O35,List_BucketStart,List_BucketLabel))</f>
        <v/>
      </c>
      <c r="BG35" s="57">
        <f>IF(B35="","",B35-WEEKDAY(B35,3))</f>
        <v/>
      </c>
      <c r="BH35" s="28">
        <f>IF(B35="","",COUNTIF($B$6:B35,B35))</f>
        <v/>
      </c>
      <c r="BI35" s="39">
        <f>IF(B35="","",SUMIFS($AU$6:AU35,$B$6:B35,B35)-N(AU35))</f>
        <v/>
      </c>
      <c r="BJ35" s="5">
        <f>IF(OR(B35="",E35=""),"",IF(AND(E35=0,I35="Sell",MAX(N(O35),N(AD35))&gt;ExpiryCutoff),"BREACH","OK"))</f>
        <v/>
      </c>
      <c r="BK35" s="5">
        <f>IF(B35="","",IF(OR(AC35&lt;&gt;"OK",BJ35="BREACH",BH35&gt;MaxTradesDay,BI35&lt;=-DailyLossLimit,OR(AF35="Panic",AF35="Revenge",AF35="Rule break")),"CHECK","OK"))</f>
        <v/>
      </c>
      <c r="BL35" s="39">
        <f>IF(AU35="","",SUM($AU$6:AU35))</f>
        <v/>
      </c>
      <c r="BM35" s="39">
        <f>IF(BL35="","",Capital+BL35)</f>
        <v/>
      </c>
      <c r="BN35" s="39">
        <f>IF(BM35="","",MAX(Capital,MAX($BM$6:BM35)))</f>
        <v/>
      </c>
      <c r="BO35" s="39">
        <f>IF(BM35="","",BN35-BM35)</f>
        <v/>
      </c>
      <c r="BP35" s="58">
        <f>IF(BO35="","",BO35/BN35)</f>
        <v/>
      </c>
      <c r="BQ35" s="28">
        <f>IF(AU35="","",IF(AU35&lt;0,N(BQ34)+1,0))</f>
        <v/>
      </c>
    </row>
    <row r="36">
      <c r="A36" s="28">
        <f>IF(B36="","",COUNT($B$6:B36))</f>
        <v/>
      </c>
      <c r="B36" s="27" t="n"/>
      <c r="C36" s="5">
        <f>IF(B36="","",TEXT(B36,"ddd"))</f>
        <v/>
      </c>
      <c r="D36" s="27" t="n"/>
      <c r="E36" s="28">
        <f>IF(OR(B36="",D36=""),"",MAX(0,NETWORKDAYS(B36,D36)-1))</f>
        <v/>
      </c>
      <c r="F36" s="37" t="n"/>
      <c r="G36" s="36" t="n"/>
      <c r="H36" s="37" t="n"/>
      <c r="I36" s="37" t="n"/>
      <c r="J36" s="37" t="n"/>
      <c r="K36" s="37" t="n"/>
      <c r="L36" s="36" t="n"/>
      <c r="M36" s="36" t="n"/>
      <c r="N36" s="33">
        <f>IF(M36="","",M36*LotSize)</f>
        <v/>
      </c>
      <c r="O36" s="51" t="n"/>
      <c r="P36" s="32" t="n"/>
      <c r="Q36" s="29" t="n"/>
      <c r="R36" s="30">
        <f>IF(OR(G36="",Q36="",H36=""),"",IF(H36="CE",G36-Q36,Q36-G36))</f>
        <v/>
      </c>
      <c r="S36" s="31">
        <f>IF(R36="","",R36/Q36)</f>
        <v/>
      </c>
      <c r="T36" s="38" t="n"/>
      <c r="U36" s="32" t="n"/>
      <c r="V36" s="52" t="n"/>
      <c r="W36" s="37" t="n"/>
      <c r="X36" s="32" t="n"/>
      <c r="Y36" s="32" t="n"/>
      <c r="Z36" s="39">
        <f>IF(OR(X36="",P36="",N36=""),"",ABS(X36-P36)*N36)</f>
        <v/>
      </c>
      <c r="AA36" s="53">
        <f>IF(OR(Z36="",Y36=""),"",IF(Z36=0,"",ABS(P36-Y36)*N36/Z36))</f>
        <v/>
      </c>
      <c r="AB36" s="54">
        <f>IF(Z36="","",Z36/Capital)</f>
        <v/>
      </c>
      <c r="AC36" s="5">
        <f>IF(B36="","",IF(X36="","NO SL",IF(OR(N(M36)&gt;MaxLots,N(AB36)&gt;RiskPct),"OVERSIZED","OK")))</f>
        <v/>
      </c>
      <c r="AD36" s="51" t="n"/>
      <c r="AE36" s="32" t="n"/>
      <c r="AF36" s="37" t="n"/>
      <c r="AG36" s="32" t="n"/>
      <c r="AH36" s="32" t="n"/>
      <c r="AI36" s="39">
        <f>IF(OR(AG36="",P36="",N36=""),"",ABS(AG36-P36)*N36)</f>
        <v/>
      </c>
      <c r="AJ36" s="39">
        <f>IF(OR(AH36="",P36="",N36=""),"",ABS(P36-AH36)*N36)</f>
        <v/>
      </c>
      <c r="AK36" s="39">
        <f>IF(OR(AE36="",P36="",N36=""),"",IF(I36="Buy",AE36-P36,P36-AE36)*N36)</f>
        <v/>
      </c>
      <c r="AL36" s="39">
        <f>IF(OR(AJ36="",AK36=""),"",MAX(0,AJ36-AK36))</f>
        <v/>
      </c>
      <c r="AM36" s="39">
        <f>IF(AK36="","",(P36+AE36)*N36)</f>
        <v/>
      </c>
      <c r="AN36" s="55">
        <f>IF(AK36="","",BrokeragePerOrder*2*MAX(1,N(L36)))</f>
        <v/>
      </c>
      <c r="AO36" s="55">
        <f>IF(AK36="","",STTRate*IF(I36="Buy",AE36,P36)*N36)</f>
        <v/>
      </c>
      <c r="AP36" s="55">
        <f>IF(AK36="","",ExchRate*AM36)</f>
        <v/>
      </c>
      <c r="AQ36" s="55">
        <f>IF(AK36="","",SEBIRate*AM36)</f>
        <v/>
      </c>
      <c r="AR36" s="55">
        <f>IF(AK36="","",StampRate*IF(I36="Buy",P36,AE36)*N36)</f>
        <v/>
      </c>
      <c r="AS36" s="55">
        <f>IF(AK36="","",GSTRate*(AN36+AP36+AQ36))</f>
        <v/>
      </c>
      <c r="AT36" s="55">
        <f>IF(AK36="","",AN36+AO36+AP36+AQ36+AR36+AS36)</f>
        <v/>
      </c>
      <c r="AU36" s="39">
        <f>IF(AK36="","",AK36-AT36)</f>
        <v/>
      </c>
      <c r="AV36" s="56">
        <f>IF(AU36="","",AU36/IF(N(Z36)&gt;0,Z36,RiskPerTrade))</f>
        <v/>
      </c>
      <c r="AW36" s="31">
        <f>IF(AU36="","",AU36/Capital)</f>
        <v/>
      </c>
      <c r="AX36" s="37" t="n"/>
      <c r="AY36" s="37" t="n"/>
      <c r="AZ36" s="37" t="n"/>
      <c r="BA36" s="37" t="n"/>
      <c r="BB36" s="37" t="n"/>
      <c r="BC36" s="37" t="n"/>
      <c r="BD36" s="37" t="n"/>
      <c r="BE36" s="5">
        <f>IF(AU36="","",IF(AU36&gt;0,"Win",IF(AU36&lt;0,"Loss","BE")))</f>
        <v/>
      </c>
      <c r="BF36" s="5">
        <f>IF(O36="","",LOOKUP(O36,List_BucketStart,List_BucketLabel))</f>
        <v/>
      </c>
      <c r="BG36" s="57">
        <f>IF(B36="","",B36-WEEKDAY(B36,3))</f>
        <v/>
      </c>
      <c r="BH36" s="28">
        <f>IF(B36="","",COUNTIF($B$6:B36,B36))</f>
        <v/>
      </c>
      <c r="BI36" s="39">
        <f>IF(B36="","",SUMIFS($AU$6:AU36,$B$6:B36,B36)-N(AU36))</f>
        <v/>
      </c>
      <c r="BJ36" s="5">
        <f>IF(OR(B36="",E36=""),"",IF(AND(E36=0,I36="Sell",MAX(N(O36),N(AD36))&gt;ExpiryCutoff),"BREACH","OK"))</f>
        <v/>
      </c>
      <c r="BK36" s="5">
        <f>IF(B36="","",IF(OR(AC36&lt;&gt;"OK",BJ36="BREACH",BH36&gt;MaxTradesDay,BI36&lt;=-DailyLossLimit,OR(AF36="Panic",AF36="Revenge",AF36="Rule break")),"CHECK","OK"))</f>
        <v/>
      </c>
      <c r="BL36" s="39">
        <f>IF(AU36="","",SUM($AU$6:AU36))</f>
        <v/>
      </c>
      <c r="BM36" s="39">
        <f>IF(BL36="","",Capital+BL36)</f>
        <v/>
      </c>
      <c r="BN36" s="39">
        <f>IF(BM36="","",MAX(Capital,MAX($BM$6:BM36)))</f>
        <v/>
      </c>
      <c r="BO36" s="39">
        <f>IF(BM36="","",BN36-BM36)</f>
        <v/>
      </c>
      <c r="BP36" s="58">
        <f>IF(BO36="","",BO36/BN36)</f>
        <v/>
      </c>
      <c r="BQ36" s="28">
        <f>IF(AU36="","",IF(AU36&lt;0,N(BQ35)+1,0))</f>
        <v/>
      </c>
    </row>
    <row r="37">
      <c r="A37" s="28">
        <f>IF(B37="","",COUNT($B$6:B37))</f>
        <v/>
      </c>
      <c r="B37" s="27" t="n"/>
      <c r="C37" s="5">
        <f>IF(B37="","",TEXT(B37,"ddd"))</f>
        <v/>
      </c>
      <c r="D37" s="27" t="n"/>
      <c r="E37" s="28">
        <f>IF(OR(B37="",D37=""),"",MAX(0,NETWORKDAYS(B37,D37)-1))</f>
        <v/>
      </c>
      <c r="F37" s="37" t="n"/>
      <c r="G37" s="36" t="n"/>
      <c r="H37" s="37" t="n"/>
      <c r="I37" s="37" t="n"/>
      <c r="J37" s="37" t="n"/>
      <c r="K37" s="37" t="n"/>
      <c r="L37" s="36" t="n"/>
      <c r="M37" s="36" t="n"/>
      <c r="N37" s="33">
        <f>IF(M37="","",M37*LotSize)</f>
        <v/>
      </c>
      <c r="O37" s="51" t="n"/>
      <c r="P37" s="32" t="n"/>
      <c r="Q37" s="29" t="n"/>
      <c r="R37" s="30">
        <f>IF(OR(G37="",Q37="",H37=""),"",IF(H37="CE",G37-Q37,Q37-G37))</f>
        <v/>
      </c>
      <c r="S37" s="31">
        <f>IF(R37="","",R37/Q37)</f>
        <v/>
      </c>
      <c r="T37" s="38" t="n"/>
      <c r="U37" s="32" t="n"/>
      <c r="V37" s="52" t="n"/>
      <c r="W37" s="37" t="n"/>
      <c r="X37" s="32" t="n"/>
      <c r="Y37" s="32" t="n"/>
      <c r="Z37" s="39">
        <f>IF(OR(X37="",P37="",N37=""),"",ABS(X37-P37)*N37)</f>
        <v/>
      </c>
      <c r="AA37" s="53">
        <f>IF(OR(Z37="",Y37=""),"",IF(Z37=0,"",ABS(P37-Y37)*N37/Z37))</f>
        <v/>
      </c>
      <c r="AB37" s="54">
        <f>IF(Z37="","",Z37/Capital)</f>
        <v/>
      </c>
      <c r="AC37" s="5">
        <f>IF(B37="","",IF(X37="","NO SL",IF(OR(N(M37)&gt;MaxLots,N(AB37)&gt;RiskPct),"OVERSIZED","OK")))</f>
        <v/>
      </c>
      <c r="AD37" s="51" t="n"/>
      <c r="AE37" s="32" t="n"/>
      <c r="AF37" s="37" t="n"/>
      <c r="AG37" s="32" t="n"/>
      <c r="AH37" s="32" t="n"/>
      <c r="AI37" s="39">
        <f>IF(OR(AG37="",P37="",N37=""),"",ABS(AG37-P37)*N37)</f>
        <v/>
      </c>
      <c r="AJ37" s="39">
        <f>IF(OR(AH37="",P37="",N37=""),"",ABS(P37-AH37)*N37)</f>
        <v/>
      </c>
      <c r="AK37" s="39">
        <f>IF(OR(AE37="",P37="",N37=""),"",IF(I37="Buy",AE37-P37,P37-AE37)*N37)</f>
        <v/>
      </c>
      <c r="AL37" s="39">
        <f>IF(OR(AJ37="",AK37=""),"",MAX(0,AJ37-AK37))</f>
        <v/>
      </c>
      <c r="AM37" s="39">
        <f>IF(AK37="","",(P37+AE37)*N37)</f>
        <v/>
      </c>
      <c r="AN37" s="55">
        <f>IF(AK37="","",BrokeragePerOrder*2*MAX(1,N(L37)))</f>
        <v/>
      </c>
      <c r="AO37" s="55">
        <f>IF(AK37="","",STTRate*IF(I37="Buy",AE37,P37)*N37)</f>
        <v/>
      </c>
      <c r="AP37" s="55">
        <f>IF(AK37="","",ExchRate*AM37)</f>
        <v/>
      </c>
      <c r="AQ37" s="55">
        <f>IF(AK37="","",SEBIRate*AM37)</f>
        <v/>
      </c>
      <c r="AR37" s="55">
        <f>IF(AK37="","",StampRate*IF(I37="Buy",P37,AE37)*N37)</f>
        <v/>
      </c>
      <c r="AS37" s="55">
        <f>IF(AK37="","",GSTRate*(AN37+AP37+AQ37))</f>
        <v/>
      </c>
      <c r="AT37" s="55">
        <f>IF(AK37="","",AN37+AO37+AP37+AQ37+AR37+AS37)</f>
        <v/>
      </c>
      <c r="AU37" s="39">
        <f>IF(AK37="","",AK37-AT37)</f>
        <v/>
      </c>
      <c r="AV37" s="56">
        <f>IF(AU37="","",AU37/IF(N(Z37)&gt;0,Z37,RiskPerTrade))</f>
        <v/>
      </c>
      <c r="AW37" s="31">
        <f>IF(AU37="","",AU37/Capital)</f>
        <v/>
      </c>
      <c r="AX37" s="37" t="n"/>
      <c r="AY37" s="37" t="n"/>
      <c r="AZ37" s="37" t="n"/>
      <c r="BA37" s="37" t="n"/>
      <c r="BB37" s="37" t="n"/>
      <c r="BC37" s="37" t="n"/>
      <c r="BD37" s="37" t="n"/>
      <c r="BE37" s="5">
        <f>IF(AU37="","",IF(AU37&gt;0,"Win",IF(AU37&lt;0,"Loss","BE")))</f>
        <v/>
      </c>
      <c r="BF37" s="5">
        <f>IF(O37="","",LOOKUP(O37,List_BucketStart,List_BucketLabel))</f>
        <v/>
      </c>
      <c r="BG37" s="57">
        <f>IF(B37="","",B37-WEEKDAY(B37,3))</f>
        <v/>
      </c>
      <c r="BH37" s="28">
        <f>IF(B37="","",COUNTIF($B$6:B37,B37))</f>
        <v/>
      </c>
      <c r="BI37" s="39">
        <f>IF(B37="","",SUMIFS($AU$6:AU37,$B$6:B37,B37)-N(AU37))</f>
        <v/>
      </c>
      <c r="BJ37" s="5">
        <f>IF(OR(B37="",E37=""),"",IF(AND(E37=0,I37="Sell",MAX(N(O37),N(AD37))&gt;ExpiryCutoff),"BREACH","OK"))</f>
        <v/>
      </c>
      <c r="BK37" s="5">
        <f>IF(B37="","",IF(OR(AC37&lt;&gt;"OK",BJ37="BREACH",BH37&gt;MaxTradesDay,BI37&lt;=-DailyLossLimit,OR(AF37="Panic",AF37="Revenge",AF37="Rule break")),"CHECK","OK"))</f>
        <v/>
      </c>
      <c r="BL37" s="39">
        <f>IF(AU37="","",SUM($AU$6:AU37))</f>
        <v/>
      </c>
      <c r="BM37" s="39">
        <f>IF(BL37="","",Capital+BL37)</f>
        <v/>
      </c>
      <c r="BN37" s="39">
        <f>IF(BM37="","",MAX(Capital,MAX($BM$6:BM37)))</f>
        <v/>
      </c>
      <c r="BO37" s="39">
        <f>IF(BM37="","",BN37-BM37)</f>
        <v/>
      </c>
      <c r="BP37" s="58">
        <f>IF(BO37="","",BO37/BN37)</f>
        <v/>
      </c>
      <c r="BQ37" s="28">
        <f>IF(AU37="","",IF(AU37&lt;0,N(BQ36)+1,0))</f>
        <v/>
      </c>
    </row>
    <row r="38">
      <c r="A38" s="28">
        <f>IF(B38="","",COUNT($B$6:B38))</f>
        <v/>
      </c>
      <c r="B38" s="27" t="n"/>
      <c r="C38" s="5">
        <f>IF(B38="","",TEXT(B38,"ddd"))</f>
        <v/>
      </c>
      <c r="D38" s="27" t="n"/>
      <c r="E38" s="28">
        <f>IF(OR(B38="",D38=""),"",MAX(0,NETWORKDAYS(B38,D38)-1))</f>
        <v/>
      </c>
      <c r="F38" s="37" t="n"/>
      <c r="G38" s="36" t="n"/>
      <c r="H38" s="37" t="n"/>
      <c r="I38" s="37" t="n"/>
      <c r="J38" s="37" t="n"/>
      <c r="K38" s="37" t="n"/>
      <c r="L38" s="36" t="n"/>
      <c r="M38" s="36" t="n"/>
      <c r="N38" s="33">
        <f>IF(M38="","",M38*LotSize)</f>
        <v/>
      </c>
      <c r="O38" s="51" t="n"/>
      <c r="P38" s="32" t="n"/>
      <c r="Q38" s="29" t="n"/>
      <c r="R38" s="30">
        <f>IF(OR(G38="",Q38="",H38=""),"",IF(H38="CE",G38-Q38,Q38-G38))</f>
        <v/>
      </c>
      <c r="S38" s="31">
        <f>IF(R38="","",R38/Q38)</f>
        <v/>
      </c>
      <c r="T38" s="38" t="n"/>
      <c r="U38" s="32" t="n"/>
      <c r="V38" s="52" t="n"/>
      <c r="W38" s="37" t="n"/>
      <c r="X38" s="32" t="n"/>
      <c r="Y38" s="32" t="n"/>
      <c r="Z38" s="39">
        <f>IF(OR(X38="",P38="",N38=""),"",ABS(X38-P38)*N38)</f>
        <v/>
      </c>
      <c r="AA38" s="53">
        <f>IF(OR(Z38="",Y38=""),"",IF(Z38=0,"",ABS(P38-Y38)*N38/Z38))</f>
        <v/>
      </c>
      <c r="AB38" s="54">
        <f>IF(Z38="","",Z38/Capital)</f>
        <v/>
      </c>
      <c r="AC38" s="5">
        <f>IF(B38="","",IF(X38="","NO SL",IF(OR(N(M38)&gt;MaxLots,N(AB38)&gt;RiskPct),"OVERSIZED","OK")))</f>
        <v/>
      </c>
      <c r="AD38" s="51" t="n"/>
      <c r="AE38" s="32" t="n"/>
      <c r="AF38" s="37" t="n"/>
      <c r="AG38" s="32" t="n"/>
      <c r="AH38" s="32" t="n"/>
      <c r="AI38" s="39">
        <f>IF(OR(AG38="",P38="",N38=""),"",ABS(AG38-P38)*N38)</f>
        <v/>
      </c>
      <c r="AJ38" s="39">
        <f>IF(OR(AH38="",P38="",N38=""),"",ABS(P38-AH38)*N38)</f>
        <v/>
      </c>
      <c r="AK38" s="39">
        <f>IF(OR(AE38="",P38="",N38=""),"",IF(I38="Buy",AE38-P38,P38-AE38)*N38)</f>
        <v/>
      </c>
      <c r="AL38" s="39">
        <f>IF(OR(AJ38="",AK38=""),"",MAX(0,AJ38-AK38))</f>
        <v/>
      </c>
      <c r="AM38" s="39">
        <f>IF(AK38="","",(P38+AE38)*N38)</f>
        <v/>
      </c>
      <c r="AN38" s="55">
        <f>IF(AK38="","",BrokeragePerOrder*2*MAX(1,N(L38)))</f>
        <v/>
      </c>
      <c r="AO38" s="55">
        <f>IF(AK38="","",STTRate*IF(I38="Buy",AE38,P38)*N38)</f>
        <v/>
      </c>
      <c r="AP38" s="55">
        <f>IF(AK38="","",ExchRate*AM38)</f>
        <v/>
      </c>
      <c r="AQ38" s="55">
        <f>IF(AK38="","",SEBIRate*AM38)</f>
        <v/>
      </c>
      <c r="AR38" s="55">
        <f>IF(AK38="","",StampRate*IF(I38="Buy",P38,AE38)*N38)</f>
        <v/>
      </c>
      <c r="AS38" s="55">
        <f>IF(AK38="","",GSTRate*(AN38+AP38+AQ38))</f>
        <v/>
      </c>
      <c r="AT38" s="55">
        <f>IF(AK38="","",AN38+AO38+AP38+AQ38+AR38+AS38)</f>
        <v/>
      </c>
      <c r="AU38" s="39">
        <f>IF(AK38="","",AK38-AT38)</f>
        <v/>
      </c>
      <c r="AV38" s="56">
        <f>IF(AU38="","",AU38/IF(N(Z38)&gt;0,Z38,RiskPerTrade))</f>
        <v/>
      </c>
      <c r="AW38" s="31">
        <f>IF(AU38="","",AU38/Capital)</f>
        <v/>
      </c>
      <c r="AX38" s="37" t="n"/>
      <c r="AY38" s="37" t="n"/>
      <c r="AZ38" s="37" t="n"/>
      <c r="BA38" s="37" t="n"/>
      <c r="BB38" s="37" t="n"/>
      <c r="BC38" s="37" t="n"/>
      <c r="BD38" s="37" t="n"/>
      <c r="BE38" s="5">
        <f>IF(AU38="","",IF(AU38&gt;0,"Win",IF(AU38&lt;0,"Loss","BE")))</f>
        <v/>
      </c>
      <c r="BF38" s="5">
        <f>IF(O38="","",LOOKUP(O38,List_BucketStart,List_BucketLabel))</f>
        <v/>
      </c>
      <c r="BG38" s="57">
        <f>IF(B38="","",B38-WEEKDAY(B38,3))</f>
        <v/>
      </c>
      <c r="BH38" s="28">
        <f>IF(B38="","",COUNTIF($B$6:B38,B38))</f>
        <v/>
      </c>
      <c r="BI38" s="39">
        <f>IF(B38="","",SUMIFS($AU$6:AU38,$B$6:B38,B38)-N(AU38))</f>
        <v/>
      </c>
      <c r="BJ38" s="5">
        <f>IF(OR(B38="",E38=""),"",IF(AND(E38=0,I38="Sell",MAX(N(O38),N(AD38))&gt;ExpiryCutoff),"BREACH","OK"))</f>
        <v/>
      </c>
      <c r="BK38" s="5">
        <f>IF(B38="","",IF(OR(AC38&lt;&gt;"OK",BJ38="BREACH",BH38&gt;MaxTradesDay,BI38&lt;=-DailyLossLimit,OR(AF38="Panic",AF38="Revenge",AF38="Rule break")),"CHECK","OK"))</f>
        <v/>
      </c>
      <c r="BL38" s="39">
        <f>IF(AU38="","",SUM($AU$6:AU38))</f>
        <v/>
      </c>
      <c r="BM38" s="39">
        <f>IF(BL38="","",Capital+BL38)</f>
        <v/>
      </c>
      <c r="BN38" s="39">
        <f>IF(BM38="","",MAX(Capital,MAX($BM$6:BM38)))</f>
        <v/>
      </c>
      <c r="BO38" s="39">
        <f>IF(BM38="","",BN38-BM38)</f>
        <v/>
      </c>
      <c r="BP38" s="58">
        <f>IF(BO38="","",BO38/BN38)</f>
        <v/>
      </c>
      <c r="BQ38" s="28">
        <f>IF(AU38="","",IF(AU38&lt;0,N(BQ37)+1,0))</f>
        <v/>
      </c>
    </row>
    <row r="39">
      <c r="A39" s="28">
        <f>IF(B39="","",COUNT($B$6:B39))</f>
        <v/>
      </c>
      <c r="B39" s="27" t="n"/>
      <c r="C39" s="5">
        <f>IF(B39="","",TEXT(B39,"ddd"))</f>
        <v/>
      </c>
      <c r="D39" s="27" t="n"/>
      <c r="E39" s="28">
        <f>IF(OR(B39="",D39=""),"",MAX(0,NETWORKDAYS(B39,D39)-1))</f>
        <v/>
      </c>
      <c r="F39" s="37" t="n"/>
      <c r="G39" s="36" t="n"/>
      <c r="H39" s="37" t="n"/>
      <c r="I39" s="37" t="n"/>
      <c r="J39" s="37" t="n"/>
      <c r="K39" s="37" t="n"/>
      <c r="L39" s="36" t="n"/>
      <c r="M39" s="36" t="n"/>
      <c r="N39" s="33">
        <f>IF(M39="","",M39*LotSize)</f>
        <v/>
      </c>
      <c r="O39" s="51" t="n"/>
      <c r="P39" s="32" t="n"/>
      <c r="Q39" s="29" t="n"/>
      <c r="R39" s="30">
        <f>IF(OR(G39="",Q39="",H39=""),"",IF(H39="CE",G39-Q39,Q39-G39))</f>
        <v/>
      </c>
      <c r="S39" s="31">
        <f>IF(R39="","",R39/Q39)</f>
        <v/>
      </c>
      <c r="T39" s="38" t="n"/>
      <c r="U39" s="32" t="n"/>
      <c r="V39" s="52" t="n"/>
      <c r="W39" s="37" t="n"/>
      <c r="X39" s="32" t="n"/>
      <c r="Y39" s="32" t="n"/>
      <c r="Z39" s="39">
        <f>IF(OR(X39="",P39="",N39=""),"",ABS(X39-P39)*N39)</f>
        <v/>
      </c>
      <c r="AA39" s="53">
        <f>IF(OR(Z39="",Y39=""),"",IF(Z39=0,"",ABS(P39-Y39)*N39/Z39))</f>
        <v/>
      </c>
      <c r="AB39" s="54">
        <f>IF(Z39="","",Z39/Capital)</f>
        <v/>
      </c>
      <c r="AC39" s="5">
        <f>IF(B39="","",IF(X39="","NO SL",IF(OR(N(M39)&gt;MaxLots,N(AB39)&gt;RiskPct),"OVERSIZED","OK")))</f>
        <v/>
      </c>
      <c r="AD39" s="51" t="n"/>
      <c r="AE39" s="32" t="n"/>
      <c r="AF39" s="37" t="n"/>
      <c r="AG39" s="32" t="n"/>
      <c r="AH39" s="32" t="n"/>
      <c r="AI39" s="39">
        <f>IF(OR(AG39="",P39="",N39=""),"",ABS(AG39-P39)*N39)</f>
        <v/>
      </c>
      <c r="AJ39" s="39">
        <f>IF(OR(AH39="",P39="",N39=""),"",ABS(P39-AH39)*N39)</f>
        <v/>
      </c>
      <c r="AK39" s="39">
        <f>IF(OR(AE39="",P39="",N39=""),"",IF(I39="Buy",AE39-P39,P39-AE39)*N39)</f>
        <v/>
      </c>
      <c r="AL39" s="39">
        <f>IF(OR(AJ39="",AK39=""),"",MAX(0,AJ39-AK39))</f>
        <v/>
      </c>
      <c r="AM39" s="39">
        <f>IF(AK39="","",(P39+AE39)*N39)</f>
        <v/>
      </c>
      <c r="AN39" s="55">
        <f>IF(AK39="","",BrokeragePerOrder*2*MAX(1,N(L39)))</f>
        <v/>
      </c>
      <c r="AO39" s="55">
        <f>IF(AK39="","",STTRate*IF(I39="Buy",AE39,P39)*N39)</f>
        <v/>
      </c>
      <c r="AP39" s="55">
        <f>IF(AK39="","",ExchRate*AM39)</f>
        <v/>
      </c>
      <c r="AQ39" s="55">
        <f>IF(AK39="","",SEBIRate*AM39)</f>
        <v/>
      </c>
      <c r="AR39" s="55">
        <f>IF(AK39="","",StampRate*IF(I39="Buy",P39,AE39)*N39)</f>
        <v/>
      </c>
      <c r="AS39" s="55">
        <f>IF(AK39="","",GSTRate*(AN39+AP39+AQ39))</f>
        <v/>
      </c>
      <c r="AT39" s="55">
        <f>IF(AK39="","",AN39+AO39+AP39+AQ39+AR39+AS39)</f>
        <v/>
      </c>
      <c r="AU39" s="39">
        <f>IF(AK39="","",AK39-AT39)</f>
        <v/>
      </c>
      <c r="AV39" s="56">
        <f>IF(AU39="","",AU39/IF(N(Z39)&gt;0,Z39,RiskPerTrade))</f>
        <v/>
      </c>
      <c r="AW39" s="31">
        <f>IF(AU39="","",AU39/Capital)</f>
        <v/>
      </c>
      <c r="AX39" s="37" t="n"/>
      <c r="AY39" s="37" t="n"/>
      <c r="AZ39" s="37" t="n"/>
      <c r="BA39" s="37" t="n"/>
      <c r="BB39" s="37" t="n"/>
      <c r="BC39" s="37" t="n"/>
      <c r="BD39" s="37" t="n"/>
      <c r="BE39" s="5">
        <f>IF(AU39="","",IF(AU39&gt;0,"Win",IF(AU39&lt;0,"Loss","BE")))</f>
        <v/>
      </c>
      <c r="BF39" s="5">
        <f>IF(O39="","",LOOKUP(O39,List_BucketStart,List_BucketLabel))</f>
        <v/>
      </c>
      <c r="BG39" s="57">
        <f>IF(B39="","",B39-WEEKDAY(B39,3))</f>
        <v/>
      </c>
      <c r="BH39" s="28">
        <f>IF(B39="","",COUNTIF($B$6:B39,B39))</f>
        <v/>
      </c>
      <c r="BI39" s="39">
        <f>IF(B39="","",SUMIFS($AU$6:AU39,$B$6:B39,B39)-N(AU39))</f>
        <v/>
      </c>
      <c r="BJ39" s="5">
        <f>IF(OR(B39="",E39=""),"",IF(AND(E39=0,I39="Sell",MAX(N(O39),N(AD39))&gt;ExpiryCutoff),"BREACH","OK"))</f>
        <v/>
      </c>
      <c r="BK39" s="5">
        <f>IF(B39="","",IF(OR(AC39&lt;&gt;"OK",BJ39="BREACH",BH39&gt;MaxTradesDay,BI39&lt;=-DailyLossLimit,OR(AF39="Panic",AF39="Revenge",AF39="Rule break")),"CHECK","OK"))</f>
        <v/>
      </c>
      <c r="BL39" s="39">
        <f>IF(AU39="","",SUM($AU$6:AU39))</f>
        <v/>
      </c>
      <c r="BM39" s="39">
        <f>IF(BL39="","",Capital+BL39)</f>
        <v/>
      </c>
      <c r="BN39" s="39">
        <f>IF(BM39="","",MAX(Capital,MAX($BM$6:BM39)))</f>
        <v/>
      </c>
      <c r="BO39" s="39">
        <f>IF(BM39="","",BN39-BM39)</f>
        <v/>
      </c>
      <c r="BP39" s="58">
        <f>IF(BO39="","",BO39/BN39)</f>
        <v/>
      </c>
      <c r="BQ39" s="28">
        <f>IF(AU39="","",IF(AU39&lt;0,N(BQ38)+1,0))</f>
        <v/>
      </c>
    </row>
    <row r="40">
      <c r="A40" s="28">
        <f>IF(B40="","",COUNT($B$6:B40))</f>
        <v/>
      </c>
      <c r="B40" s="27" t="n"/>
      <c r="C40" s="5">
        <f>IF(B40="","",TEXT(B40,"ddd"))</f>
        <v/>
      </c>
      <c r="D40" s="27" t="n"/>
      <c r="E40" s="28">
        <f>IF(OR(B40="",D40=""),"",MAX(0,NETWORKDAYS(B40,D40)-1))</f>
        <v/>
      </c>
      <c r="F40" s="37" t="n"/>
      <c r="G40" s="36" t="n"/>
      <c r="H40" s="37" t="n"/>
      <c r="I40" s="37" t="n"/>
      <c r="J40" s="37" t="n"/>
      <c r="K40" s="37" t="n"/>
      <c r="L40" s="36" t="n"/>
      <c r="M40" s="36" t="n"/>
      <c r="N40" s="33">
        <f>IF(M40="","",M40*LotSize)</f>
        <v/>
      </c>
      <c r="O40" s="51" t="n"/>
      <c r="P40" s="32" t="n"/>
      <c r="Q40" s="29" t="n"/>
      <c r="R40" s="30">
        <f>IF(OR(G40="",Q40="",H40=""),"",IF(H40="CE",G40-Q40,Q40-G40))</f>
        <v/>
      </c>
      <c r="S40" s="31">
        <f>IF(R40="","",R40/Q40)</f>
        <v/>
      </c>
      <c r="T40" s="38" t="n"/>
      <c r="U40" s="32" t="n"/>
      <c r="V40" s="52" t="n"/>
      <c r="W40" s="37" t="n"/>
      <c r="X40" s="32" t="n"/>
      <c r="Y40" s="32" t="n"/>
      <c r="Z40" s="39">
        <f>IF(OR(X40="",P40="",N40=""),"",ABS(X40-P40)*N40)</f>
        <v/>
      </c>
      <c r="AA40" s="53">
        <f>IF(OR(Z40="",Y40=""),"",IF(Z40=0,"",ABS(P40-Y40)*N40/Z40))</f>
        <v/>
      </c>
      <c r="AB40" s="54">
        <f>IF(Z40="","",Z40/Capital)</f>
        <v/>
      </c>
      <c r="AC40" s="5">
        <f>IF(B40="","",IF(X40="","NO SL",IF(OR(N(M40)&gt;MaxLots,N(AB40)&gt;RiskPct),"OVERSIZED","OK")))</f>
        <v/>
      </c>
      <c r="AD40" s="51" t="n"/>
      <c r="AE40" s="32" t="n"/>
      <c r="AF40" s="37" t="n"/>
      <c r="AG40" s="32" t="n"/>
      <c r="AH40" s="32" t="n"/>
      <c r="AI40" s="39">
        <f>IF(OR(AG40="",P40="",N40=""),"",ABS(AG40-P40)*N40)</f>
        <v/>
      </c>
      <c r="AJ40" s="39">
        <f>IF(OR(AH40="",P40="",N40=""),"",ABS(P40-AH40)*N40)</f>
        <v/>
      </c>
      <c r="AK40" s="39">
        <f>IF(OR(AE40="",P40="",N40=""),"",IF(I40="Buy",AE40-P40,P40-AE40)*N40)</f>
        <v/>
      </c>
      <c r="AL40" s="39">
        <f>IF(OR(AJ40="",AK40=""),"",MAX(0,AJ40-AK40))</f>
        <v/>
      </c>
      <c r="AM40" s="39">
        <f>IF(AK40="","",(P40+AE40)*N40)</f>
        <v/>
      </c>
      <c r="AN40" s="55">
        <f>IF(AK40="","",BrokeragePerOrder*2*MAX(1,N(L40)))</f>
        <v/>
      </c>
      <c r="AO40" s="55">
        <f>IF(AK40="","",STTRate*IF(I40="Buy",AE40,P40)*N40)</f>
        <v/>
      </c>
      <c r="AP40" s="55">
        <f>IF(AK40="","",ExchRate*AM40)</f>
        <v/>
      </c>
      <c r="AQ40" s="55">
        <f>IF(AK40="","",SEBIRate*AM40)</f>
        <v/>
      </c>
      <c r="AR40" s="55">
        <f>IF(AK40="","",StampRate*IF(I40="Buy",P40,AE40)*N40)</f>
        <v/>
      </c>
      <c r="AS40" s="55">
        <f>IF(AK40="","",GSTRate*(AN40+AP40+AQ40))</f>
        <v/>
      </c>
      <c r="AT40" s="55">
        <f>IF(AK40="","",AN40+AO40+AP40+AQ40+AR40+AS40)</f>
        <v/>
      </c>
      <c r="AU40" s="39">
        <f>IF(AK40="","",AK40-AT40)</f>
        <v/>
      </c>
      <c r="AV40" s="56">
        <f>IF(AU40="","",AU40/IF(N(Z40)&gt;0,Z40,RiskPerTrade))</f>
        <v/>
      </c>
      <c r="AW40" s="31">
        <f>IF(AU40="","",AU40/Capital)</f>
        <v/>
      </c>
      <c r="AX40" s="37" t="n"/>
      <c r="AY40" s="37" t="n"/>
      <c r="AZ40" s="37" t="n"/>
      <c r="BA40" s="37" t="n"/>
      <c r="BB40" s="37" t="n"/>
      <c r="BC40" s="37" t="n"/>
      <c r="BD40" s="37" t="n"/>
      <c r="BE40" s="5">
        <f>IF(AU40="","",IF(AU40&gt;0,"Win",IF(AU40&lt;0,"Loss","BE")))</f>
        <v/>
      </c>
      <c r="BF40" s="5">
        <f>IF(O40="","",LOOKUP(O40,List_BucketStart,List_BucketLabel))</f>
        <v/>
      </c>
      <c r="BG40" s="57">
        <f>IF(B40="","",B40-WEEKDAY(B40,3))</f>
        <v/>
      </c>
      <c r="BH40" s="28">
        <f>IF(B40="","",COUNTIF($B$6:B40,B40))</f>
        <v/>
      </c>
      <c r="BI40" s="39">
        <f>IF(B40="","",SUMIFS($AU$6:AU40,$B$6:B40,B40)-N(AU40))</f>
        <v/>
      </c>
      <c r="BJ40" s="5">
        <f>IF(OR(B40="",E40=""),"",IF(AND(E40=0,I40="Sell",MAX(N(O40),N(AD40))&gt;ExpiryCutoff),"BREACH","OK"))</f>
        <v/>
      </c>
      <c r="BK40" s="5">
        <f>IF(B40="","",IF(OR(AC40&lt;&gt;"OK",BJ40="BREACH",BH40&gt;MaxTradesDay,BI40&lt;=-DailyLossLimit,OR(AF40="Panic",AF40="Revenge",AF40="Rule break")),"CHECK","OK"))</f>
        <v/>
      </c>
      <c r="BL40" s="39">
        <f>IF(AU40="","",SUM($AU$6:AU40))</f>
        <v/>
      </c>
      <c r="BM40" s="39">
        <f>IF(BL40="","",Capital+BL40)</f>
        <v/>
      </c>
      <c r="BN40" s="39">
        <f>IF(BM40="","",MAX(Capital,MAX($BM$6:BM40)))</f>
        <v/>
      </c>
      <c r="BO40" s="39">
        <f>IF(BM40="","",BN40-BM40)</f>
        <v/>
      </c>
      <c r="BP40" s="58">
        <f>IF(BO40="","",BO40/BN40)</f>
        <v/>
      </c>
      <c r="BQ40" s="28">
        <f>IF(AU40="","",IF(AU40&lt;0,N(BQ39)+1,0))</f>
        <v/>
      </c>
    </row>
    <row r="41">
      <c r="A41" s="28">
        <f>IF(B41="","",COUNT($B$6:B41))</f>
        <v/>
      </c>
      <c r="B41" s="27" t="n"/>
      <c r="C41" s="5">
        <f>IF(B41="","",TEXT(B41,"ddd"))</f>
        <v/>
      </c>
      <c r="D41" s="27" t="n"/>
      <c r="E41" s="28">
        <f>IF(OR(B41="",D41=""),"",MAX(0,NETWORKDAYS(B41,D41)-1))</f>
        <v/>
      </c>
      <c r="F41" s="37" t="n"/>
      <c r="G41" s="36" t="n"/>
      <c r="H41" s="37" t="n"/>
      <c r="I41" s="37" t="n"/>
      <c r="J41" s="37" t="n"/>
      <c r="K41" s="37" t="n"/>
      <c r="L41" s="36" t="n"/>
      <c r="M41" s="36" t="n"/>
      <c r="N41" s="33">
        <f>IF(M41="","",M41*LotSize)</f>
        <v/>
      </c>
      <c r="O41" s="51" t="n"/>
      <c r="P41" s="32" t="n"/>
      <c r="Q41" s="29" t="n"/>
      <c r="R41" s="30">
        <f>IF(OR(G41="",Q41="",H41=""),"",IF(H41="CE",G41-Q41,Q41-G41))</f>
        <v/>
      </c>
      <c r="S41" s="31">
        <f>IF(R41="","",R41/Q41)</f>
        <v/>
      </c>
      <c r="T41" s="38" t="n"/>
      <c r="U41" s="32" t="n"/>
      <c r="V41" s="52" t="n"/>
      <c r="W41" s="37" t="n"/>
      <c r="X41" s="32" t="n"/>
      <c r="Y41" s="32" t="n"/>
      <c r="Z41" s="39">
        <f>IF(OR(X41="",P41="",N41=""),"",ABS(X41-P41)*N41)</f>
        <v/>
      </c>
      <c r="AA41" s="53">
        <f>IF(OR(Z41="",Y41=""),"",IF(Z41=0,"",ABS(P41-Y41)*N41/Z41))</f>
        <v/>
      </c>
      <c r="AB41" s="54">
        <f>IF(Z41="","",Z41/Capital)</f>
        <v/>
      </c>
      <c r="AC41" s="5">
        <f>IF(B41="","",IF(X41="","NO SL",IF(OR(N(M41)&gt;MaxLots,N(AB41)&gt;RiskPct),"OVERSIZED","OK")))</f>
        <v/>
      </c>
      <c r="AD41" s="51" t="n"/>
      <c r="AE41" s="32" t="n"/>
      <c r="AF41" s="37" t="n"/>
      <c r="AG41" s="32" t="n"/>
      <c r="AH41" s="32" t="n"/>
      <c r="AI41" s="39">
        <f>IF(OR(AG41="",P41="",N41=""),"",ABS(AG41-P41)*N41)</f>
        <v/>
      </c>
      <c r="AJ41" s="39">
        <f>IF(OR(AH41="",P41="",N41=""),"",ABS(P41-AH41)*N41)</f>
        <v/>
      </c>
      <c r="AK41" s="39">
        <f>IF(OR(AE41="",P41="",N41=""),"",IF(I41="Buy",AE41-P41,P41-AE41)*N41)</f>
        <v/>
      </c>
      <c r="AL41" s="39">
        <f>IF(OR(AJ41="",AK41=""),"",MAX(0,AJ41-AK41))</f>
        <v/>
      </c>
      <c r="AM41" s="39">
        <f>IF(AK41="","",(P41+AE41)*N41)</f>
        <v/>
      </c>
      <c r="AN41" s="55">
        <f>IF(AK41="","",BrokeragePerOrder*2*MAX(1,N(L41)))</f>
        <v/>
      </c>
      <c r="AO41" s="55">
        <f>IF(AK41="","",STTRate*IF(I41="Buy",AE41,P41)*N41)</f>
        <v/>
      </c>
      <c r="AP41" s="55">
        <f>IF(AK41="","",ExchRate*AM41)</f>
        <v/>
      </c>
      <c r="AQ41" s="55">
        <f>IF(AK41="","",SEBIRate*AM41)</f>
        <v/>
      </c>
      <c r="AR41" s="55">
        <f>IF(AK41="","",StampRate*IF(I41="Buy",P41,AE41)*N41)</f>
        <v/>
      </c>
      <c r="AS41" s="55">
        <f>IF(AK41="","",GSTRate*(AN41+AP41+AQ41))</f>
        <v/>
      </c>
      <c r="AT41" s="55">
        <f>IF(AK41="","",AN41+AO41+AP41+AQ41+AR41+AS41)</f>
        <v/>
      </c>
      <c r="AU41" s="39">
        <f>IF(AK41="","",AK41-AT41)</f>
        <v/>
      </c>
      <c r="AV41" s="56">
        <f>IF(AU41="","",AU41/IF(N(Z41)&gt;0,Z41,RiskPerTrade))</f>
        <v/>
      </c>
      <c r="AW41" s="31">
        <f>IF(AU41="","",AU41/Capital)</f>
        <v/>
      </c>
      <c r="AX41" s="37" t="n"/>
      <c r="AY41" s="37" t="n"/>
      <c r="AZ41" s="37" t="n"/>
      <c r="BA41" s="37" t="n"/>
      <c r="BB41" s="37" t="n"/>
      <c r="BC41" s="37" t="n"/>
      <c r="BD41" s="37" t="n"/>
      <c r="BE41" s="5">
        <f>IF(AU41="","",IF(AU41&gt;0,"Win",IF(AU41&lt;0,"Loss","BE")))</f>
        <v/>
      </c>
      <c r="BF41" s="5">
        <f>IF(O41="","",LOOKUP(O41,List_BucketStart,List_BucketLabel))</f>
        <v/>
      </c>
      <c r="BG41" s="57">
        <f>IF(B41="","",B41-WEEKDAY(B41,3))</f>
        <v/>
      </c>
      <c r="BH41" s="28">
        <f>IF(B41="","",COUNTIF($B$6:B41,B41))</f>
        <v/>
      </c>
      <c r="BI41" s="39">
        <f>IF(B41="","",SUMIFS($AU$6:AU41,$B$6:B41,B41)-N(AU41))</f>
        <v/>
      </c>
      <c r="BJ41" s="5">
        <f>IF(OR(B41="",E41=""),"",IF(AND(E41=0,I41="Sell",MAX(N(O41),N(AD41))&gt;ExpiryCutoff),"BREACH","OK"))</f>
        <v/>
      </c>
      <c r="BK41" s="5">
        <f>IF(B41="","",IF(OR(AC41&lt;&gt;"OK",BJ41="BREACH",BH41&gt;MaxTradesDay,BI41&lt;=-DailyLossLimit,OR(AF41="Panic",AF41="Revenge",AF41="Rule break")),"CHECK","OK"))</f>
        <v/>
      </c>
      <c r="BL41" s="39">
        <f>IF(AU41="","",SUM($AU$6:AU41))</f>
        <v/>
      </c>
      <c r="BM41" s="39">
        <f>IF(BL41="","",Capital+BL41)</f>
        <v/>
      </c>
      <c r="BN41" s="39">
        <f>IF(BM41="","",MAX(Capital,MAX($BM$6:BM41)))</f>
        <v/>
      </c>
      <c r="BO41" s="39">
        <f>IF(BM41="","",BN41-BM41)</f>
        <v/>
      </c>
      <c r="BP41" s="58">
        <f>IF(BO41="","",BO41/BN41)</f>
        <v/>
      </c>
      <c r="BQ41" s="28">
        <f>IF(AU41="","",IF(AU41&lt;0,N(BQ40)+1,0))</f>
        <v/>
      </c>
    </row>
    <row r="42">
      <c r="A42" s="28">
        <f>IF(B42="","",COUNT($B$6:B42))</f>
        <v/>
      </c>
      <c r="B42" s="27" t="n"/>
      <c r="C42" s="5">
        <f>IF(B42="","",TEXT(B42,"ddd"))</f>
        <v/>
      </c>
      <c r="D42" s="27" t="n"/>
      <c r="E42" s="28">
        <f>IF(OR(B42="",D42=""),"",MAX(0,NETWORKDAYS(B42,D42)-1))</f>
        <v/>
      </c>
      <c r="F42" s="37" t="n"/>
      <c r="G42" s="36" t="n"/>
      <c r="H42" s="37" t="n"/>
      <c r="I42" s="37" t="n"/>
      <c r="J42" s="37" t="n"/>
      <c r="K42" s="37" t="n"/>
      <c r="L42" s="36" t="n"/>
      <c r="M42" s="36" t="n"/>
      <c r="N42" s="33">
        <f>IF(M42="","",M42*LotSize)</f>
        <v/>
      </c>
      <c r="O42" s="51" t="n"/>
      <c r="P42" s="32" t="n"/>
      <c r="Q42" s="29" t="n"/>
      <c r="R42" s="30">
        <f>IF(OR(G42="",Q42="",H42=""),"",IF(H42="CE",G42-Q42,Q42-G42))</f>
        <v/>
      </c>
      <c r="S42" s="31">
        <f>IF(R42="","",R42/Q42)</f>
        <v/>
      </c>
      <c r="T42" s="38" t="n"/>
      <c r="U42" s="32" t="n"/>
      <c r="V42" s="52" t="n"/>
      <c r="W42" s="37" t="n"/>
      <c r="X42" s="32" t="n"/>
      <c r="Y42" s="32" t="n"/>
      <c r="Z42" s="39">
        <f>IF(OR(X42="",P42="",N42=""),"",ABS(X42-P42)*N42)</f>
        <v/>
      </c>
      <c r="AA42" s="53">
        <f>IF(OR(Z42="",Y42=""),"",IF(Z42=0,"",ABS(P42-Y42)*N42/Z42))</f>
        <v/>
      </c>
      <c r="AB42" s="54">
        <f>IF(Z42="","",Z42/Capital)</f>
        <v/>
      </c>
      <c r="AC42" s="5">
        <f>IF(B42="","",IF(X42="","NO SL",IF(OR(N(M42)&gt;MaxLots,N(AB42)&gt;RiskPct),"OVERSIZED","OK")))</f>
        <v/>
      </c>
      <c r="AD42" s="51" t="n"/>
      <c r="AE42" s="32" t="n"/>
      <c r="AF42" s="37" t="n"/>
      <c r="AG42" s="32" t="n"/>
      <c r="AH42" s="32" t="n"/>
      <c r="AI42" s="39">
        <f>IF(OR(AG42="",P42="",N42=""),"",ABS(AG42-P42)*N42)</f>
        <v/>
      </c>
      <c r="AJ42" s="39">
        <f>IF(OR(AH42="",P42="",N42=""),"",ABS(P42-AH42)*N42)</f>
        <v/>
      </c>
      <c r="AK42" s="39">
        <f>IF(OR(AE42="",P42="",N42=""),"",IF(I42="Buy",AE42-P42,P42-AE42)*N42)</f>
        <v/>
      </c>
      <c r="AL42" s="39">
        <f>IF(OR(AJ42="",AK42=""),"",MAX(0,AJ42-AK42))</f>
        <v/>
      </c>
      <c r="AM42" s="39">
        <f>IF(AK42="","",(P42+AE42)*N42)</f>
        <v/>
      </c>
      <c r="AN42" s="55">
        <f>IF(AK42="","",BrokeragePerOrder*2*MAX(1,N(L42)))</f>
        <v/>
      </c>
      <c r="AO42" s="55">
        <f>IF(AK42="","",STTRate*IF(I42="Buy",AE42,P42)*N42)</f>
        <v/>
      </c>
      <c r="AP42" s="55">
        <f>IF(AK42="","",ExchRate*AM42)</f>
        <v/>
      </c>
      <c r="AQ42" s="55">
        <f>IF(AK42="","",SEBIRate*AM42)</f>
        <v/>
      </c>
      <c r="AR42" s="55">
        <f>IF(AK42="","",StampRate*IF(I42="Buy",P42,AE42)*N42)</f>
        <v/>
      </c>
      <c r="AS42" s="55">
        <f>IF(AK42="","",GSTRate*(AN42+AP42+AQ42))</f>
        <v/>
      </c>
      <c r="AT42" s="55">
        <f>IF(AK42="","",AN42+AO42+AP42+AQ42+AR42+AS42)</f>
        <v/>
      </c>
      <c r="AU42" s="39">
        <f>IF(AK42="","",AK42-AT42)</f>
        <v/>
      </c>
      <c r="AV42" s="56">
        <f>IF(AU42="","",AU42/IF(N(Z42)&gt;0,Z42,RiskPerTrade))</f>
        <v/>
      </c>
      <c r="AW42" s="31">
        <f>IF(AU42="","",AU42/Capital)</f>
        <v/>
      </c>
      <c r="AX42" s="37" t="n"/>
      <c r="AY42" s="37" t="n"/>
      <c r="AZ42" s="37" t="n"/>
      <c r="BA42" s="37" t="n"/>
      <c r="BB42" s="37" t="n"/>
      <c r="BC42" s="37" t="n"/>
      <c r="BD42" s="37" t="n"/>
      <c r="BE42" s="5">
        <f>IF(AU42="","",IF(AU42&gt;0,"Win",IF(AU42&lt;0,"Loss","BE")))</f>
        <v/>
      </c>
      <c r="BF42" s="5">
        <f>IF(O42="","",LOOKUP(O42,List_BucketStart,List_BucketLabel))</f>
        <v/>
      </c>
      <c r="BG42" s="57">
        <f>IF(B42="","",B42-WEEKDAY(B42,3))</f>
        <v/>
      </c>
      <c r="BH42" s="28">
        <f>IF(B42="","",COUNTIF($B$6:B42,B42))</f>
        <v/>
      </c>
      <c r="BI42" s="39">
        <f>IF(B42="","",SUMIFS($AU$6:AU42,$B$6:B42,B42)-N(AU42))</f>
        <v/>
      </c>
      <c r="BJ42" s="5">
        <f>IF(OR(B42="",E42=""),"",IF(AND(E42=0,I42="Sell",MAX(N(O42),N(AD42))&gt;ExpiryCutoff),"BREACH","OK"))</f>
        <v/>
      </c>
      <c r="BK42" s="5">
        <f>IF(B42="","",IF(OR(AC42&lt;&gt;"OK",BJ42="BREACH",BH42&gt;MaxTradesDay,BI42&lt;=-DailyLossLimit,OR(AF42="Panic",AF42="Revenge",AF42="Rule break")),"CHECK","OK"))</f>
        <v/>
      </c>
      <c r="BL42" s="39">
        <f>IF(AU42="","",SUM($AU$6:AU42))</f>
        <v/>
      </c>
      <c r="BM42" s="39">
        <f>IF(BL42="","",Capital+BL42)</f>
        <v/>
      </c>
      <c r="BN42" s="39">
        <f>IF(BM42="","",MAX(Capital,MAX($BM$6:BM42)))</f>
        <v/>
      </c>
      <c r="BO42" s="39">
        <f>IF(BM42="","",BN42-BM42)</f>
        <v/>
      </c>
      <c r="BP42" s="58">
        <f>IF(BO42="","",BO42/BN42)</f>
        <v/>
      </c>
      <c r="BQ42" s="28">
        <f>IF(AU42="","",IF(AU42&lt;0,N(BQ41)+1,0))</f>
        <v/>
      </c>
    </row>
    <row r="43">
      <c r="A43" s="28">
        <f>IF(B43="","",COUNT($B$6:B43))</f>
        <v/>
      </c>
      <c r="B43" s="27" t="n"/>
      <c r="C43" s="5">
        <f>IF(B43="","",TEXT(B43,"ddd"))</f>
        <v/>
      </c>
      <c r="D43" s="27" t="n"/>
      <c r="E43" s="28">
        <f>IF(OR(B43="",D43=""),"",MAX(0,NETWORKDAYS(B43,D43)-1))</f>
        <v/>
      </c>
      <c r="F43" s="37" t="n"/>
      <c r="G43" s="36" t="n"/>
      <c r="H43" s="37" t="n"/>
      <c r="I43" s="37" t="n"/>
      <c r="J43" s="37" t="n"/>
      <c r="K43" s="37" t="n"/>
      <c r="L43" s="36" t="n"/>
      <c r="M43" s="36" t="n"/>
      <c r="N43" s="33">
        <f>IF(M43="","",M43*LotSize)</f>
        <v/>
      </c>
      <c r="O43" s="51" t="n"/>
      <c r="P43" s="32" t="n"/>
      <c r="Q43" s="29" t="n"/>
      <c r="R43" s="30">
        <f>IF(OR(G43="",Q43="",H43=""),"",IF(H43="CE",G43-Q43,Q43-G43))</f>
        <v/>
      </c>
      <c r="S43" s="31">
        <f>IF(R43="","",R43/Q43)</f>
        <v/>
      </c>
      <c r="T43" s="38" t="n"/>
      <c r="U43" s="32" t="n"/>
      <c r="V43" s="52" t="n"/>
      <c r="W43" s="37" t="n"/>
      <c r="X43" s="32" t="n"/>
      <c r="Y43" s="32" t="n"/>
      <c r="Z43" s="39">
        <f>IF(OR(X43="",P43="",N43=""),"",ABS(X43-P43)*N43)</f>
        <v/>
      </c>
      <c r="AA43" s="53">
        <f>IF(OR(Z43="",Y43=""),"",IF(Z43=0,"",ABS(P43-Y43)*N43/Z43))</f>
        <v/>
      </c>
      <c r="AB43" s="54">
        <f>IF(Z43="","",Z43/Capital)</f>
        <v/>
      </c>
      <c r="AC43" s="5">
        <f>IF(B43="","",IF(X43="","NO SL",IF(OR(N(M43)&gt;MaxLots,N(AB43)&gt;RiskPct),"OVERSIZED","OK")))</f>
        <v/>
      </c>
      <c r="AD43" s="51" t="n"/>
      <c r="AE43" s="32" t="n"/>
      <c r="AF43" s="37" t="n"/>
      <c r="AG43" s="32" t="n"/>
      <c r="AH43" s="32" t="n"/>
      <c r="AI43" s="39">
        <f>IF(OR(AG43="",P43="",N43=""),"",ABS(AG43-P43)*N43)</f>
        <v/>
      </c>
      <c r="AJ43" s="39">
        <f>IF(OR(AH43="",P43="",N43=""),"",ABS(P43-AH43)*N43)</f>
        <v/>
      </c>
      <c r="AK43" s="39">
        <f>IF(OR(AE43="",P43="",N43=""),"",IF(I43="Buy",AE43-P43,P43-AE43)*N43)</f>
        <v/>
      </c>
      <c r="AL43" s="39">
        <f>IF(OR(AJ43="",AK43=""),"",MAX(0,AJ43-AK43))</f>
        <v/>
      </c>
      <c r="AM43" s="39">
        <f>IF(AK43="","",(P43+AE43)*N43)</f>
        <v/>
      </c>
      <c r="AN43" s="55">
        <f>IF(AK43="","",BrokeragePerOrder*2*MAX(1,N(L43)))</f>
        <v/>
      </c>
      <c r="AO43" s="55">
        <f>IF(AK43="","",STTRate*IF(I43="Buy",AE43,P43)*N43)</f>
        <v/>
      </c>
      <c r="AP43" s="55">
        <f>IF(AK43="","",ExchRate*AM43)</f>
        <v/>
      </c>
      <c r="AQ43" s="55">
        <f>IF(AK43="","",SEBIRate*AM43)</f>
        <v/>
      </c>
      <c r="AR43" s="55">
        <f>IF(AK43="","",StampRate*IF(I43="Buy",P43,AE43)*N43)</f>
        <v/>
      </c>
      <c r="AS43" s="55">
        <f>IF(AK43="","",GSTRate*(AN43+AP43+AQ43))</f>
        <v/>
      </c>
      <c r="AT43" s="55">
        <f>IF(AK43="","",AN43+AO43+AP43+AQ43+AR43+AS43)</f>
        <v/>
      </c>
      <c r="AU43" s="39">
        <f>IF(AK43="","",AK43-AT43)</f>
        <v/>
      </c>
      <c r="AV43" s="56">
        <f>IF(AU43="","",AU43/IF(N(Z43)&gt;0,Z43,RiskPerTrade))</f>
        <v/>
      </c>
      <c r="AW43" s="31">
        <f>IF(AU43="","",AU43/Capital)</f>
        <v/>
      </c>
      <c r="AX43" s="37" t="n"/>
      <c r="AY43" s="37" t="n"/>
      <c r="AZ43" s="37" t="n"/>
      <c r="BA43" s="37" t="n"/>
      <c r="BB43" s="37" t="n"/>
      <c r="BC43" s="37" t="n"/>
      <c r="BD43" s="37" t="n"/>
      <c r="BE43" s="5">
        <f>IF(AU43="","",IF(AU43&gt;0,"Win",IF(AU43&lt;0,"Loss","BE")))</f>
        <v/>
      </c>
      <c r="BF43" s="5">
        <f>IF(O43="","",LOOKUP(O43,List_BucketStart,List_BucketLabel))</f>
        <v/>
      </c>
      <c r="BG43" s="57">
        <f>IF(B43="","",B43-WEEKDAY(B43,3))</f>
        <v/>
      </c>
      <c r="BH43" s="28">
        <f>IF(B43="","",COUNTIF($B$6:B43,B43))</f>
        <v/>
      </c>
      <c r="BI43" s="39">
        <f>IF(B43="","",SUMIFS($AU$6:AU43,$B$6:B43,B43)-N(AU43))</f>
        <v/>
      </c>
      <c r="BJ43" s="5">
        <f>IF(OR(B43="",E43=""),"",IF(AND(E43=0,I43="Sell",MAX(N(O43),N(AD43))&gt;ExpiryCutoff),"BREACH","OK"))</f>
        <v/>
      </c>
      <c r="BK43" s="5">
        <f>IF(B43="","",IF(OR(AC43&lt;&gt;"OK",BJ43="BREACH",BH43&gt;MaxTradesDay,BI43&lt;=-DailyLossLimit,OR(AF43="Panic",AF43="Revenge",AF43="Rule break")),"CHECK","OK"))</f>
        <v/>
      </c>
      <c r="BL43" s="39">
        <f>IF(AU43="","",SUM($AU$6:AU43))</f>
        <v/>
      </c>
      <c r="BM43" s="39">
        <f>IF(BL43="","",Capital+BL43)</f>
        <v/>
      </c>
      <c r="BN43" s="39">
        <f>IF(BM43="","",MAX(Capital,MAX($BM$6:BM43)))</f>
        <v/>
      </c>
      <c r="BO43" s="39">
        <f>IF(BM43="","",BN43-BM43)</f>
        <v/>
      </c>
      <c r="BP43" s="58">
        <f>IF(BO43="","",BO43/BN43)</f>
        <v/>
      </c>
      <c r="BQ43" s="28">
        <f>IF(AU43="","",IF(AU43&lt;0,N(BQ42)+1,0))</f>
        <v/>
      </c>
    </row>
    <row r="44">
      <c r="A44" s="28">
        <f>IF(B44="","",COUNT($B$6:B44))</f>
        <v/>
      </c>
      <c r="B44" s="27" t="n"/>
      <c r="C44" s="5">
        <f>IF(B44="","",TEXT(B44,"ddd"))</f>
        <v/>
      </c>
      <c r="D44" s="27" t="n"/>
      <c r="E44" s="28">
        <f>IF(OR(B44="",D44=""),"",MAX(0,NETWORKDAYS(B44,D44)-1))</f>
        <v/>
      </c>
      <c r="F44" s="37" t="n"/>
      <c r="G44" s="36" t="n"/>
      <c r="H44" s="37" t="n"/>
      <c r="I44" s="37" t="n"/>
      <c r="J44" s="37" t="n"/>
      <c r="K44" s="37" t="n"/>
      <c r="L44" s="36" t="n"/>
      <c r="M44" s="36" t="n"/>
      <c r="N44" s="33">
        <f>IF(M44="","",M44*LotSize)</f>
        <v/>
      </c>
      <c r="O44" s="51" t="n"/>
      <c r="P44" s="32" t="n"/>
      <c r="Q44" s="29" t="n"/>
      <c r="R44" s="30">
        <f>IF(OR(G44="",Q44="",H44=""),"",IF(H44="CE",G44-Q44,Q44-G44))</f>
        <v/>
      </c>
      <c r="S44" s="31">
        <f>IF(R44="","",R44/Q44)</f>
        <v/>
      </c>
      <c r="T44" s="38" t="n"/>
      <c r="U44" s="32" t="n"/>
      <c r="V44" s="52" t="n"/>
      <c r="W44" s="37" t="n"/>
      <c r="X44" s="32" t="n"/>
      <c r="Y44" s="32" t="n"/>
      <c r="Z44" s="39">
        <f>IF(OR(X44="",P44="",N44=""),"",ABS(X44-P44)*N44)</f>
        <v/>
      </c>
      <c r="AA44" s="53">
        <f>IF(OR(Z44="",Y44=""),"",IF(Z44=0,"",ABS(P44-Y44)*N44/Z44))</f>
        <v/>
      </c>
      <c r="AB44" s="54">
        <f>IF(Z44="","",Z44/Capital)</f>
        <v/>
      </c>
      <c r="AC44" s="5">
        <f>IF(B44="","",IF(X44="","NO SL",IF(OR(N(M44)&gt;MaxLots,N(AB44)&gt;RiskPct),"OVERSIZED","OK")))</f>
        <v/>
      </c>
      <c r="AD44" s="51" t="n"/>
      <c r="AE44" s="32" t="n"/>
      <c r="AF44" s="37" t="n"/>
      <c r="AG44" s="32" t="n"/>
      <c r="AH44" s="32" t="n"/>
      <c r="AI44" s="39">
        <f>IF(OR(AG44="",P44="",N44=""),"",ABS(AG44-P44)*N44)</f>
        <v/>
      </c>
      <c r="AJ44" s="39">
        <f>IF(OR(AH44="",P44="",N44=""),"",ABS(P44-AH44)*N44)</f>
        <v/>
      </c>
      <c r="AK44" s="39">
        <f>IF(OR(AE44="",P44="",N44=""),"",IF(I44="Buy",AE44-P44,P44-AE44)*N44)</f>
        <v/>
      </c>
      <c r="AL44" s="39">
        <f>IF(OR(AJ44="",AK44=""),"",MAX(0,AJ44-AK44))</f>
        <v/>
      </c>
      <c r="AM44" s="39">
        <f>IF(AK44="","",(P44+AE44)*N44)</f>
        <v/>
      </c>
      <c r="AN44" s="55">
        <f>IF(AK44="","",BrokeragePerOrder*2*MAX(1,N(L44)))</f>
        <v/>
      </c>
      <c r="AO44" s="55">
        <f>IF(AK44="","",STTRate*IF(I44="Buy",AE44,P44)*N44)</f>
        <v/>
      </c>
      <c r="AP44" s="55">
        <f>IF(AK44="","",ExchRate*AM44)</f>
        <v/>
      </c>
      <c r="AQ44" s="55">
        <f>IF(AK44="","",SEBIRate*AM44)</f>
        <v/>
      </c>
      <c r="AR44" s="55">
        <f>IF(AK44="","",StampRate*IF(I44="Buy",P44,AE44)*N44)</f>
        <v/>
      </c>
      <c r="AS44" s="55">
        <f>IF(AK44="","",GSTRate*(AN44+AP44+AQ44))</f>
        <v/>
      </c>
      <c r="AT44" s="55">
        <f>IF(AK44="","",AN44+AO44+AP44+AQ44+AR44+AS44)</f>
        <v/>
      </c>
      <c r="AU44" s="39">
        <f>IF(AK44="","",AK44-AT44)</f>
        <v/>
      </c>
      <c r="AV44" s="56">
        <f>IF(AU44="","",AU44/IF(N(Z44)&gt;0,Z44,RiskPerTrade))</f>
        <v/>
      </c>
      <c r="AW44" s="31">
        <f>IF(AU44="","",AU44/Capital)</f>
        <v/>
      </c>
      <c r="AX44" s="37" t="n"/>
      <c r="AY44" s="37" t="n"/>
      <c r="AZ44" s="37" t="n"/>
      <c r="BA44" s="37" t="n"/>
      <c r="BB44" s="37" t="n"/>
      <c r="BC44" s="37" t="n"/>
      <c r="BD44" s="37" t="n"/>
      <c r="BE44" s="5">
        <f>IF(AU44="","",IF(AU44&gt;0,"Win",IF(AU44&lt;0,"Loss","BE")))</f>
        <v/>
      </c>
      <c r="BF44" s="5">
        <f>IF(O44="","",LOOKUP(O44,List_BucketStart,List_BucketLabel))</f>
        <v/>
      </c>
      <c r="BG44" s="57">
        <f>IF(B44="","",B44-WEEKDAY(B44,3))</f>
        <v/>
      </c>
      <c r="BH44" s="28">
        <f>IF(B44="","",COUNTIF($B$6:B44,B44))</f>
        <v/>
      </c>
      <c r="BI44" s="39">
        <f>IF(B44="","",SUMIFS($AU$6:AU44,$B$6:B44,B44)-N(AU44))</f>
        <v/>
      </c>
      <c r="BJ44" s="5">
        <f>IF(OR(B44="",E44=""),"",IF(AND(E44=0,I44="Sell",MAX(N(O44),N(AD44))&gt;ExpiryCutoff),"BREACH","OK"))</f>
        <v/>
      </c>
      <c r="BK44" s="5">
        <f>IF(B44="","",IF(OR(AC44&lt;&gt;"OK",BJ44="BREACH",BH44&gt;MaxTradesDay,BI44&lt;=-DailyLossLimit,OR(AF44="Panic",AF44="Revenge",AF44="Rule break")),"CHECK","OK"))</f>
        <v/>
      </c>
      <c r="BL44" s="39">
        <f>IF(AU44="","",SUM($AU$6:AU44))</f>
        <v/>
      </c>
      <c r="BM44" s="39">
        <f>IF(BL44="","",Capital+BL44)</f>
        <v/>
      </c>
      <c r="BN44" s="39">
        <f>IF(BM44="","",MAX(Capital,MAX($BM$6:BM44)))</f>
        <v/>
      </c>
      <c r="BO44" s="39">
        <f>IF(BM44="","",BN44-BM44)</f>
        <v/>
      </c>
      <c r="BP44" s="58">
        <f>IF(BO44="","",BO44/BN44)</f>
        <v/>
      </c>
      <c r="BQ44" s="28">
        <f>IF(AU44="","",IF(AU44&lt;0,N(BQ43)+1,0))</f>
        <v/>
      </c>
    </row>
    <row r="45">
      <c r="A45" s="28">
        <f>IF(B45="","",COUNT($B$6:B45))</f>
        <v/>
      </c>
      <c r="B45" s="27" t="n"/>
      <c r="C45" s="5">
        <f>IF(B45="","",TEXT(B45,"ddd"))</f>
        <v/>
      </c>
      <c r="D45" s="27" t="n"/>
      <c r="E45" s="28">
        <f>IF(OR(B45="",D45=""),"",MAX(0,NETWORKDAYS(B45,D45)-1))</f>
        <v/>
      </c>
      <c r="F45" s="37" t="n"/>
      <c r="G45" s="36" t="n"/>
      <c r="H45" s="37" t="n"/>
      <c r="I45" s="37" t="n"/>
      <c r="J45" s="37" t="n"/>
      <c r="K45" s="37" t="n"/>
      <c r="L45" s="36" t="n"/>
      <c r="M45" s="36" t="n"/>
      <c r="N45" s="33">
        <f>IF(M45="","",M45*LotSize)</f>
        <v/>
      </c>
      <c r="O45" s="51" t="n"/>
      <c r="P45" s="32" t="n"/>
      <c r="Q45" s="29" t="n"/>
      <c r="R45" s="30">
        <f>IF(OR(G45="",Q45="",H45=""),"",IF(H45="CE",G45-Q45,Q45-G45))</f>
        <v/>
      </c>
      <c r="S45" s="31">
        <f>IF(R45="","",R45/Q45)</f>
        <v/>
      </c>
      <c r="T45" s="38" t="n"/>
      <c r="U45" s="32" t="n"/>
      <c r="V45" s="52" t="n"/>
      <c r="W45" s="37" t="n"/>
      <c r="X45" s="32" t="n"/>
      <c r="Y45" s="32" t="n"/>
      <c r="Z45" s="39">
        <f>IF(OR(X45="",P45="",N45=""),"",ABS(X45-P45)*N45)</f>
        <v/>
      </c>
      <c r="AA45" s="53">
        <f>IF(OR(Z45="",Y45=""),"",IF(Z45=0,"",ABS(P45-Y45)*N45/Z45))</f>
        <v/>
      </c>
      <c r="AB45" s="54">
        <f>IF(Z45="","",Z45/Capital)</f>
        <v/>
      </c>
      <c r="AC45" s="5">
        <f>IF(B45="","",IF(X45="","NO SL",IF(OR(N(M45)&gt;MaxLots,N(AB45)&gt;RiskPct),"OVERSIZED","OK")))</f>
        <v/>
      </c>
      <c r="AD45" s="51" t="n"/>
      <c r="AE45" s="32" t="n"/>
      <c r="AF45" s="37" t="n"/>
      <c r="AG45" s="32" t="n"/>
      <c r="AH45" s="32" t="n"/>
      <c r="AI45" s="39">
        <f>IF(OR(AG45="",P45="",N45=""),"",ABS(AG45-P45)*N45)</f>
        <v/>
      </c>
      <c r="AJ45" s="39">
        <f>IF(OR(AH45="",P45="",N45=""),"",ABS(P45-AH45)*N45)</f>
        <v/>
      </c>
      <c r="AK45" s="39">
        <f>IF(OR(AE45="",P45="",N45=""),"",IF(I45="Buy",AE45-P45,P45-AE45)*N45)</f>
        <v/>
      </c>
      <c r="AL45" s="39">
        <f>IF(OR(AJ45="",AK45=""),"",MAX(0,AJ45-AK45))</f>
        <v/>
      </c>
      <c r="AM45" s="39">
        <f>IF(AK45="","",(P45+AE45)*N45)</f>
        <v/>
      </c>
      <c r="AN45" s="55">
        <f>IF(AK45="","",BrokeragePerOrder*2*MAX(1,N(L45)))</f>
        <v/>
      </c>
      <c r="AO45" s="55">
        <f>IF(AK45="","",STTRate*IF(I45="Buy",AE45,P45)*N45)</f>
        <v/>
      </c>
      <c r="AP45" s="55">
        <f>IF(AK45="","",ExchRate*AM45)</f>
        <v/>
      </c>
      <c r="AQ45" s="55">
        <f>IF(AK45="","",SEBIRate*AM45)</f>
        <v/>
      </c>
      <c r="AR45" s="55">
        <f>IF(AK45="","",StampRate*IF(I45="Buy",P45,AE45)*N45)</f>
        <v/>
      </c>
      <c r="AS45" s="55">
        <f>IF(AK45="","",GSTRate*(AN45+AP45+AQ45))</f>
        <v/>
      </c>
      <c r="AT45" s="55">
        <f>IF(AK45="","",AN45+AO45+AP45+AQ45+AR45+AS45)</f>
        <v/>
      </c>
      <c r="AU45" s="39">
        <f>IF(AK45="","",AK45-AT45)</f>
        <v/>
      </c>
      <c r="AV45" s="56">
        <f>IF(AU45="","",AU45/IF(N(Z45)&gt;0,Z45,RiskPerTrade))</f>
        <v/>
      </c>
      <c r="AW45" s="31">
        <f>IF(AU45="","",AU45/Capital)</f>
        <v/>
      </c>
      <c r="AX45" s="37" t="n"/>
      <c r="AY45" s="37" t="n"/>
      <c r="AZ45" s="37" t="n"/>
      <c r="BA45" s="37" t="n"/>
      <c r="BB45" s="37" t="n"/>
      <c r="BC45" s="37" t="n"/>
      <c r="BD45" s="37" t="n"/>
      <c r="BE45" s="5">
        <f>IF(AU45="","",IF(AU45&gt;0,"Win",IF(AU45&lt;0,"Loss","BE")))</f>
        <v/>
      </c>
      <c r="BF45" s="5">
        <f>IF(O45="","",LOOKUP(O45,List_BucketStart,List_BucketLabel))</f>
        <v/>
      </c>
      <c r="BG45" s="57">
        <f>IF(B45="","",B45-WEEKDAY(B45,3))</f>
        <v/>
      </c>
      <c r="BH45" s="28">
        <f>IF(B45="","",COUNTIF($B$6:B45,B45))</f>
        <v/>
      </c>
      <c r="BI45" s="39">
        <f>IF(B45="","",SUMIFS($AU$6:AU45,$B$6:B45,B45)-N(AU45))</f>
        <v/>
      </c>
      <c r="BJ45" s="5">
        <f>IF(OR(B45="",E45=""),"",IF(AND(E45=0,I45="Sell",MAX(N(O45),N(AD45))&gt;ExpiryCutoff),"BREACH","OK"))</f>
        <v/>
      </c>
      <c r="BK45" s="5">
        <f>IF(B45="","",IF(OR(AC45&lt;&gt;"OK",BJ45="BREACH",BH45&gt;MaxTradesDay,BI45&lt;=-DailyLossLimit,OR(AF45="Panic",AF45="Revenge",AF45="Rule break")),"CHECK","OK"))</f>
        <v/>
      </c>
      <c r="BL45" s="39">
        <f>IF(AU45="","",SUM($AU$6:AU45))</f>
        <v/>
      </c>
      <c r="BM45" s="39">
        <f>IF(BL45="","",Capital+BL45)</f>
        <v/>
      </c>
      <c r="BN45" s="39">
        <f>IF(BM45="","",MAX(Capital,MAX($BM$6:BM45)))</f>
        <v/>
      </c>
      <c r="BO45" s="39">
        <f>IF(BM45="","",BN45-BM45)</f>
        <v/>
      </c>
      <c r="BP45" s="58">
        <f>IF(BO45="","",BO45/BN45)</f>
        <v/>
      </c>
      <c r="BQ45" s="28">
        <f>IF(AU45="","",IF(AU45&lt;0,N(BQ44)+1,0))</f>
        <v/>
      </c>
    </row>
    <row r="46">
      <c r="A46" s="28">
        <f>IF(B46="","",COUNT($B$6:B46))</f>
        <v/>
      </c>
      <c r="B46" s="27" t="n"/>
      <c r="C46" s="5">
        <f>IF(B46="","",TEXT(B46,"ddd"))</f>
        <v/>
      </c>
      <c r="D46" s="27" t="n"/>
      <c r="E46" s="28">
        <f>IF(OR(B46="",D46=""),"",MAX(0,NETWORKDAYS(B46,D46)-1))</f>
        <v/>
      </c>
      <c r="F46" s="37" t="n"/>
      <c r="G46" s="36" t="n"/>
      <c r="H46" s="37" t="n"/>
      <c r="I46" s="37" t="n"/>
      <c r="J46" s="37" t="n"/>
      <c r="K46" s="37" t="n"/>
      <c r="L46" s="36" t="n"/>
      <c r="M46" s="36" t="n"/>
      <c r="N46" s="33">
        <f>IF(M46="","",M46*LotSize)</f>
        <v/>
      </c>
      <c r="O46" s="51" t="n"/>
      <c r="P46" s="32" t="n"/>
      <c r="Q46" s="29" t="n"/>
      <c r="R46" s="30">
        <f>IF(OR(G46="",Q46="",H46=""),"",IF(H46="CE",G46-Q46,Q46-G46))</f>
        <v/>
      </c>
      <c r="S46" s="31">
        <f>IF(R46="","",R46/Q46)</f>
        <v/>
      </c>
      <c r="T46" s="38" t="n"/>
      <c r="U46" s="32" t="n"/>
      <c r="V46" s="52" t="n"/>
      <c r="W46" s="37" t="n"/>
      <c r="X46" s="32" t="n"/>
      <c r="Y46" s="32" t="n"/>
      <c r="Z46" s="39">
        <f>IF(OR(X46="",P46="",N46=""),"",ABS(X46-P46)*N46)</f>
        <v/>
      </c>
      <c r="AA46" s="53">
        <f>IF(OR(Z46="",Y46=""),"",IF(Z46=0,"",ABS(P46-Y46)*N46/Z46))</f>
        <v/>
      </c>
      <c r="AB46" s="54">
        <f>IF(Z46="","",Z46/Capital)</f>
        <v/>
      </c>
      <c r="AC46" s="5">
        <f>IF(B46="","",IF(X46="","NO SL",IF(OR(N(M46)&gt;MaxLots,N(AB46)&gt;RiskPct),"OVERSIZED","OK")))</f>
        <v/>
      </c>
      <c r="AD46" s="51" t="n"/>
      <c r="AE46" s="32" t="n"/>
      <c r="AF46" s="37" t="n"/>
      <c r="AG46" s="32" t="n"/>
      <c r="AH46" s="32" t="n"/>
      <c r="AI46" s="39">
        <f>IF(OR(AG46="",P46="",N46=""),"",ABS(AG46-P46)*N46)</f>
        <v/>
      </c>
      <c r="AJ46" s="39">
        <f>IF(OR(AH46="",P46="",N46=""),"",ABS(P46-AH46)*N46)</f>
        <v/>
      </c>
      <c r="AK46" s="39">
        <f>IF(OR(AE46="",P46="",N46=""),"",IF(I46="Buy",AE46-P46,P46-AE46)*N46)</f>
        <v/>
      </c>
      <c r="AL46" s="39">
        <f>IF(OR(AJ46="",AK46=""),"",MAX(0,AJ46-AK46))</f>
        <v/>
      </c>
      <c r="AM46" s="39">
        <f>IF(AK46="","",(P46+AE46)*N46)</f>
        <v/>
      </c>
      <c r="AN46" s="55">
        <f>IF(AK46="","",BrokeragePerOrder*2*MAX(1,N(L46)))</f>
        <v/>
      </c>
      <c r="AO46" s="55">
        <f>IF(AK46="","",STTRate*IF(I46="Buy",AE46,P46)*N46)</f>
        <v/>
      </c>
      <c r="AP46" s="55">
        <f>IF(AK46="","",ExchRate*AM46)</f>
        <v/>
      </c>
      <c r="AQ46" s="55">
        <f>IF(AK46="","",SEBIRate*AM46)</f>
        <v/>
      </c>
      <c r="AR46" s="55">
        <f>IF(AK46="","",StampRate*IF(I46="Buy",P46,AE46)*N46)</f>
        <v/>
      </c>
      <c r="AS46" s="55">
        <f>IF(AK46="","",GSTRate*(AN46+AP46+AQ46))</f>
        <v/>
      </c>
      <c r="AT46" s="55">
        <f>IF(AK46="","",AN46+AO46+AP46+AQ46+AR46+AS46)</f>
        <v/>
      </c>
      <c r="AU46" s="39">
        <f>IF(AK46="","",AK46-AT46)</f>
        <v/>
      </c>
      <c r="AV46" s="56">
        <f>IF(AU46="","",AU46/IF(N(Z46)&gt;0,Z46,RiskPerTrade))</f>
        <v/>
      </c>
      <c r="AW46" s="31">
        <f>IF(AU46="","",AU46/Capital)</f>
        <v/>
      </c>
      <c r="AX46" s="37" t="n"/>
      <c r="AY46" s="37" t="n"/>
      <c r="AZ46" s="37" t="n"/>
      <c r="BA46" s="37" t="n"/>
      <c r="BB46" s="37" t="n"/>
      <c r="BC46" s="37" t="n"/>
      <c r="BD46" s="37" t="n"/>
      <c r="BE46" s="5">
        <f>IF(AU46="","",IF(AU46&gt;0,"Win",IF(AU46&lt;0,"Loss","BE")))</f>
        <v/>
      </c>
      <c r="BF46" s="5">
        <f>IF(O46="","",LOOKUP(O46,List_BucketStart,List_BucketLabel))</f>
        <v/>
      </c>
      <c r="BG46" s="57">
        <f>IF(B46="","",B46-WEEKDAY(B46,3))</f>
        <v/>
      </c>
      <c r="BH46" s="28">
        <f>IF(B46="","",COUNTIF($B$6:B46,B46))</f>
        <v/>
      </c>
      <c r="BI46" s="39">
        <f>IF(B46="","",SUMIFS($AU$6:AU46,$B$6:B46,B46)-N(AU46))</f>
        <v/>
      </c>
      <c r="BJ46" s="5">
        <f>IF(OR(B46="",E46=""),"",IF(AND(E46=0,I46="Sell",MAX(N(O46),N(AD46))&gt;ExpiryCutoff),"BREACH","OK"))</f>
        <v/>
      </c>
      <c r="BK46" s="5">
        <f>IF(B46="","",IF(OR(AC46&lt;&gt;"OK",BJ46="BREACH",BH46&gt;MaxTradesDay,BI46&lt;=-DailyLossLimit,OR(AF46="Panic",AF46="Revenge",AF46="Rule break")),"CHECK","OK"))</f>
        <v/>
      </c>
      <c r="BL46" s="39">
        <f>IF(AU46="","",SUM($AU$6:AU46))</f>
        <v/>
      </c>
      <c r="BM46" s="39">
        <f>IF(BL46="","",Capital+BL46)</f>
        <v/>
      </c>
      <c r="BN46" s="39">
        <f>IF(BM46="","",MAX(Capital,MAX($BM$6:BM46)))</f>
        <v/>
      </c>
      <c r="BO46" s="39">
        <f>IF(BM46="","",BN46-BM46)</f>
        <v/>
      </c>
      <c r="BP46" s="58">
        <f>IF(BO46="","",BO46/BN46)</f>
        <v/>
      </c>
      <c r="BQ46" s="28">
        <f>IF(AU46="","",IF(AU46&lt;0,N(BQ45)+1,0))</f>
        <v/>
      </c>
    </row>
    <row r="47">
      <c r="A47" s="28">
        <f>IF(B47="","",COUNT($B$6:B47))</f>
        <v/>
      </c>
      <c r="B47" s="27" t="n"/>
      <c r="C47" s="5">
        <f>IF(B47="","",TEXT(B47,"ddd"))</f>
        <v/>
      </c>
      <c r="D47" s="27" t="n"/>
      <c r="E47" s="28">
        <f>IF(OR(B47="",D47=""),"",MAX(0,NETWORKDAYS(B47,D47)-1))</f>
        <v/>
      </c>
      <c r="F47" s="37" t="n"/>
      <c r="G47" s="36" t="n"/>
      <c r="H47" s="37" t="n"/>
      <c r="I47" s="37" t="n"/>
      <c r="J47" s="37" t="n"/>
      <c r="K47" s="37" t="n"/>
      <c r="L47" s="36" t="n"/>
      <c r="M47" s="36" t="n"/>
      <c r="N47" s="33">
        <f>IF(M47="","",M47*LotSize)</f>
        <v/>
      </c>
      <c r="O47" s="51" t="n"/>
      <c r="P47" s="32" t="n"/>
      <c r="Q47" s="29" t="n"/>
      <c r="R47" s="30">
        <f>IF(OR(G47="",Q47="",H47=""),"",IF(H47="CE",G47-Q47,Q47-G47))</f>
        <v/>
      </c>
      <c r="S47" s="31">
        <f>IF(R47="","",R47/Q47)</f>
        <v/>
      </c>
      <c r="T47" s="38" t="n"/>
      <c r="U47" s="32" t="n"/>
      <c r="V47" s="52" t="n"/>
      <c r="W47" s="37" t="n"/>
      <c r="X47" s="32" t="n"/>
      <c r="Y47" s="32" t="n"/>
      <c r="Z47" s="39">
        <f>IF(OR(X47="",P47="",N47=""),"",ABS(X47-P47)*N47)</f>
        <v/>
      </c>
      <c r="AA47" s="53">
        <f>IF(OR(Z47="",Y47=""),"",IF(Z47=0,"",ABS(P47-Y47)*N47/Z47))</f>
        <v/>
      </c>
      <c r="AB47" s="54">
        <f>IF(Z47="","",Z47/Capital)</f>
        <v/>
      </c>
      <c r="AC47" s="5">
        <f>IF(B47="","",IF(X47="","NO SL",IF(OR(N(M47)&gt;MaxLots,N(AB47)&gt;RiskPct),"OVERSIZED","OK")))</f>
        <v/>
      </c>
      <c r="AD47" s="51" t="n"/>
      <c r="AE47" s="32" t="n"/>
      <c r="AF47" s="37" t="n"/>
      <c r="AG47" s="32" t="n"/>
      <c r="AH47" s="32" t="n"/>
      <c r="AI47" s="39">
        <f>IF(OR(AG47="",P47="",N47=""),"",ABS(AG47-P47)*N47)</f>
        <v/>
      </c>
      <c r="AJ47" s="39">
        <f>IF(OR(AH47="",P47="",N47=""),"",ABS(P47-AH47)*N47)</f>
        <v/>
      </c>
      <c r="AK47" s="39">
        <f>IF(OR(AE47="",P47="",N47=""),"",IF(I47="Buy",AE47-P47,P47-AE47)*N47)</f>
        <v/>
      </c>
      <c r="AL47" s="39">
        <f>IF(OR(AJ47="",AK47=""),"",MAX(0,AJ47-AK47))</f>
        <v/>
      </c>
      <c r="AM47" s="39">
        <f>IF(AK47="","",(P47+AE47)*N47)</f>
        <v/>
      </c>
      <c r="AN47" s="55">
        <f>IF(AK47="","",BrokeragePerOrder*2*MAX(1,N(L47)))</f>
        <v/>
      </c>
      <c r="AO47" s="55">
        <f>IF(AK47="","",STTRate*IF(I47="Buy",AE47,P47)*N47)</f>
        <v/>
      </c>
      <c r="AP47" s="55">
        <f>IF(AK47="","",ExchRate*AM47)</f>
        <v/>
      </c>
      <c r="AQ47" s="55">
        <f>IF(AK47="","",SEBIRate*AM47)</f>
        <v/>
      </c>
      <c r="AR47" s="55">
        <f>IF(AK47="","",StampRate*IF(I47="Buy",P47,AE47)*N47)</f>
        <v/>
      </c>
      <c r="AS47" s="55">
        <f>IF(AK47="","",GSTRate*(AN47+AP47+AQ47))</f>
        <v/>
      </c>
      <c r="AT47" s="55">
        <f>IF(AK47="","",AN47+AO47+AP47+AQ47+AR47+AS47)</f>
        <v/>
      </c>
      <c r="AU47" s="39">
        <f>IF(AK47="","",AK47-AT47)</f>
        <v/>
      </c>
      <c r="AV47" s="56">
        <f>IF(AU47="","",AU47/IF(N(Z47)&gt;0,Z47,RiskPerTrade))</f>
        <v/>
      </c>
      <c r="AW47" s="31">
        <f>IF(AU47="","",AU47/Capital)</f>
        <v/>
      </c>
      <c r="AX47" s="37" t="n"/>
      <c r="AY47" s="37" t="n"/>
      <c r="AZ47" s="37" t="n"/>
      <c r="BA47" s="37" t="n"/>
      <c r="BB47" s="37" t="n"/>
      <c r="BC47" s="37" t="n"/>
      <c r="BD47" s="37" t="n"/>
      <c r="BE47" s="5">
        <f>IF(AU47="","",IF(AU47&gt;0,"Win",IF(AU47&lt;0,"Loss","BE")))</f>
        <v/>
      </c>
      <c r="BF47" s="5">
        <f>IF(O47="","",LOOKUP(O47,List_BucketStart,List_BucketLabel))</f>
        <v/>
      </c>
      <c r="BG47" s="57">
        <f>IF(B47="","",B47-WEEKDAY(B47,3))</f>
        <v/>
      </c>
      <c r="BH47" s="28">
        <f>IF(B47="","",COUNTIF($B$6:B47,B47))</f>
        <v/>
      </c>
      <c r="BI47" s="39">
        <f>IF(B47="","",SUMIFS($AU$6:AU47,$B$6:B47,B47)-N(AU47))</f>
        <v/>
      </c>
      <c r="BJ47" s="5">
        <f>IF(OR(B47="",E47=""),"",IF(AND(E47=0,I47="Sell",MAX(N(O47),N(AD47))&gt;ExpiryCutoff),"BREACH","OK"))</f>
        <v/>
      </c>
      <c r="BK47" s="5">
        <f>IF(B47="","",IF(OR(AC47&lt;&gt;"OK",BJ47="BREACH",BH47&gt;MaxTradesDay,BI47&lt;=-DailyLossLimit,OR(AF47="Panic",AF47="Revenge",AF47="Rule break")),"CHECK","OK"))</f>
        <v/>
      </c>
      <c r="BL47" s="39">
        <f>IF(AU47="","",SUM($AU$6:AU47))</f>
        <v/>
      </c>
      <c r="BM47" s="39">
        <f>IF(BL47="","",Capital+BL47)</f>
        <v/>
      </c>
      <c r="BN47" s="39">
        <f>IF(BM47="","",MAX(Capital,MAX($BM$6:BM47)))</f>
        <v/>
      </c>
      <c r="BO47" s="39">
        <f>IF(BM47="","",BN47-BM47)</f>
        <v/>
      </c>
      <c r="BP47" s="58">
        <f>IF(BO47="","",BO47/BN47)</f>
        <v/>
      </c>
      <c r="BQ47" s="28">
        <f>IF(AU47="","",IF(AU47&lt;0,N(BQ46)+1,0))</f>
        <v/>
      </c>
    </row>
    <row r="48">
      <c r="A48" s="28">
        <f>IF(B48="","",COUNT($B$6:B48))</f>
        <v/>
      </c>
      <c r="B48" s="27" t="n"/>
      <c r="C48" s="5">
        <f>IF(B48="","",TEXT(B48,"ddd"))</f>
        <v/>
      </c>
      <c r="D48" s="27" t="n"/>
      <c r="E48" s="28">
        <f>IF(OR(B48="",D48=""),"",MAX(0,NETWORKDAYS(B48,D48)-1))</f>
        <v/>
      </c>
      <c r="F48" s="37" t="n"/>
      <c r="G48" s="36" t="n"/>
      <c r="H48" s="37" t="n"/>
      <c r="I48" s="37" t="n"/>
      <c r="J48" s="37" t="n"/>
      <c r="K48" s="37" t="n"/>
      <c r="L48" s="36" t="n"/>
      <c r="M48" s="36" t="n"/>
      <c r="N48" s="33">
        <f>IF(M48="","",M48*LotSize)</f>
        <v/>
      </c>
      <c r="O48" s="51" t="n"/>
      <c r="P48" s="32" t="n"/>
      <c r="Q48" s="29" t="n"/>
      <c r="R48" s="30">
        <f>IF(OR(G48="",Q48="",H48=""),"",IF(H48="CE",G48-Q48,Q48-G48))</f>
        <v/>
      </c>
      <c r="S48" s="31">
        <f>IF(R48="","",R48/Q48)</f>
        <v/>
      </c>
      <c r="T48" s="38" t="n"/>
      <c r="U48" s="32" t="n"/>
      <c r="V48" s="52" t="n"/>
      <c r="W48" s="37" t="n"/>
      <c r="X48" s="32" t="n"/>
      <c r="Y48" s="32" t="n"/>
      <c r="Z48" s="39">
        <f>IF(OR(X48="",P48="",N48=""),"",ABS(X48-P48)*N48)</f>
        <v/>
      </c>
      <c r="AA48" s="53">
        <f>IF(OR(Z48="",Y48=""),"",IF(Z48=0,"",ABS(P48-Y48)*N48/Z48))</f>
        <v/>
      </c>
      <c r="AB48" s="54">
        <f>IF(Z48="","",Z48/Capital)</f>
        <v/>
      </c>
      <c r="AC48" s="5">
        <f>IF(B48="","",IF(X48="","NO SL",IF(OR(N(M48)&gt;MaxLots,N(AB48)&gt;RiskPct),"OVERSIZED","OK")))</f>
        <v/>
      </c>
      <c r="AD48" s="51" t="n"/>
      <c r="AE48" s="32" t="n"/>
      <c r="AF48" s="37" t="n"/>
      <c r="AG48" s="32" t="n"/>
      <c r="AH48" s="32" t="n"/>
      <c r="AI48" s="39">
        <f>IF(OR(AG48="",P48="",N48=""),"",ABS(AG48-P48)*N48)</f>
        <v/>
      </c>
      <c r="AJ48" s="39">
        <f>IF(OR(AH48="",P48="",N48=""),"",ABS(P48-AH48)*N48)</f>
        <v/>
      </c>
      <c r="AK48" s="39">
        <f>IF(OR(AE48="",P48="",N48=""),"",IF(I48="Buy",AE48-P48,P48-AE48)*N48)</f>
        <v/>
      </c>
      <c r="AL48" s="39">
        <f>IF(OR(AJ48="",AK48=""),"",MAX(0,AJ48-AK48))</f>
        <v/>
      </c>
      <c r="AM48" s="39">
        <f>IF(AK48="","",(P48+AE48)*N48)</f>
        <v/>
      </c>
      <c r="AN48" s="55">
        <f>IF(AK48="","",BrokeragePerOrder*2*MAX(1,N(L48)))</f>
        <v/>
      </c>
      <c r="AO48" s="55">
        <f>IF(AK48="","",STTRate*IF(I48="Buy",AE48,P48)*N48)</f>
        <v/>
      </c>
      <c r="AP48" s="55">
        <f>IF(AK48="","",ExchRate*AM48)</f>
        <v/>
      </c>
      <c r="AQ48" s="55">
        <f>IF(AK48="","",SEBIRate*AM48)</f>
        <v/>
      </c>
      <c r="AR48" s="55">
        <f>IF(AK48="","",StampRate*IF(I48="Buy",P48,AE48)*N48)</f>
        <v/>
      </c>
      <c r="AS48" s="55">
        <f>IF(AK48="","",GSTRate*(AN48+AP48+AQ48))</f>
        <v/>
      </c>
      <c r="AT48" s="55">
        <f>IF(AK48="","",AN48+AO48+AP48+AQ48+AR48+AS48)</f>
        <v/>
      </c>
      <c r="AU48" s="39">
        <f>IF(AK48="","",AK48-AT48)</f>
        <v/>
      </c>
      <c r="AV48" s="56">
        <f>IF(AU48="","",AU48/IF(N(Z48)&gt;0,Z48,RiskPerTrade))</f>
        <v/>
      </c>
      <c r="AW48" s="31">
        <f>IF(AU48="","",AU48/Capital)</f>
        <v/>
      </c>
      <c r="AX48" s="37" t="n"/>
      <c r="AY48" s="37" t="n"/>
      <c r="AZ48" s="37" t="n"/>
      <c r="BA48" s="37" t="n"/>
      <c r="BB48" s="37" t="n"/>
      <c r="BC48" s="37" t="n"/>
      <c r="BD48" s="37" t="n"/>
      <c r="BE48" s="5">
        <f>IF(AU48="","",IF(AU48&gt;0,"Win",IF(AU48&lt;0,"Loss","BE")))</f>
        <v/>
      </c>
      <c r="BF48" s="5">
        <f>IF(O48="","",LOOKUP(O48,List_BucketStart,List_BucketLabel))</f>
        <v/>
      </c>
      <c r="BG48" s="57">
        <f>IF(B48="","",B48-WEEKDAY(B48,3))</f>
        <v/>
      </c>
      <c r="BH48" s="28">
        <f>IF(B48="","",COUNTIF($B$6:B48,B48))</f>
        <v/>
      </c>
      <c r="BI48" s="39">
        <f>IF(B48="","",SUMIFS($AU$6:AU48,$B$6:B48,B48)-N(AU48))</f>
        <v/>
      </c>
      <c r="BJ48" s="5">
        <f>IF(OR(B48="",E48=""),"",IF(AND(E48=0,I48="Sell",MAX(N(O48),N(AD48))&gt;ExpiryCutoff),"BREACH","OK"))</f>
        <v/>
      </c>
      <c r="BK48" s="5">
        <f>IF(B48="","",IF(OR(AC48&lt;&gt;"OK",BJ48="BREACH",BH48&gt;MaxTradesDay,BI48&lt;=-DailyLossLimit,OR(AF48="Panic",AF48="Revenge",AF48="Rule break")),"CHECK","OK"))</f>
        <v/>
      </c>
      <c r="BL48" s="39">
        <f>IF(AU48="","",SUM($AU$6:AU48))</f>
        <v/>
      </c>
      <c r="BM48" s="39">
        <f>IF(BL48="","",Capital+BL48)</f>
        <v/>
      </c>
      <c r="BN48" s="39">
        <f>IF(BM48="","",MAX(Capital,MAX($BM$6:BM48)))</f>
        <v/>
      </c>
      <c r="BO48" s="39">
        <f>IF(BM48="","",BN48-BM48)</f>
        <v/>
      </c>
      <c r="BP48" s="58">
        <f>IF(BO48="","",BO48/BN48)</f>
        <v/>
      </c>
      <c r="BQ48" s="28">
        <f>IF(AU48="","",IF(AU48&lt;0,N(BQ47)+1,0))</f>
        <v/>
      </c>
    </row>
    <row r="49">
      <c r="A49" s="28">
        <f>IF(B49="","",COUNT($B$6:B49))</f>
        <v/>
      </c>
      <c r="B49" s="27" t="n"/>
      <c r="C49" s="5">
        <f>IF(B49="","",TEXT(B49,"ddd"))</f>
        <v/>
      </c>
      <c r="D49" s="27" t="n"/>
      <c r="E49" s="28">
        <f>IF(OR(B49="",D49=""),"",MAX(0,NETWORKDAYS(B49,D49)-1))</f>
        <v/>
      </c>
      <c r="F49" s="37" t="n"/>
      <c r="G49" s="36" t="n"/>
      <c r="H49" s="37" t="n"/>
      <c r="I49" s="37" t="n"/>
      <c r="J49" s="37" t="n"/>
      <c r="K49" s="37" t="n"/>
      <c r="L49" s="36" t="n"/>
      <c r="M49" s="36" t="n"/>
      <c r="N49" s="33">
        <f>IF(M49="","",M49*LotSize)</f>
        <v/>
      </c>
      <c r="O49" s="51" t="n"/>
      <c r="P49" s="32" t="n"/>
      <c r="Q49" s="29" t="n"/>
      <c r="R49" s="30">
        <f>IF(OR(G49="",Q49="",H49=""),"",IF(H49="CE",G49-Q49,Q49-G49))</f>
        <v/>
      </c>
      <c r="S49" s="31">
        <f>IF(R49="","",R49/Q49)</f>
        <v/>
      </c>
      <c r="T49" s="38" t="n"/>
      <c r="U49" s="32" t="n"/>
      <c r="V49" s="52" t="n"/>
      <c r="W49" s="37" t="n"/>
      <c r="X49" s="32" t="n"/>
      <c r="Y49" s="32" t="n"/>
      <c r="Z49" s="39">
        <f>IF(OR(X49="",P49="",N49=""),"",ABS(X49-P49)*N49)</f>
        <v/>
      </c>
      <c r="AA49" s="53">
        <f>IF(OR(Z49="",Y49=""),"",IF(Z49=0,"",ABS(P49-Y49)*N49/Z49))</f>
        <v/>
      </c>
      <c r="AB49" s="54">
        <f>IF(Z49="","",Z49/Capital)</f>
        <v/>
      </c>
      <c r="AC49" s="5">
        <f>IF(B49="","",IF(X49="","NO SL",IF(OR(N(M49)&gt;MaxLots,N(AB49)&gt;RiskPct),"OVERSIZED","OK")))</f>
        <v/>
      </c>
      <c r="AD49" s="51" t="n"/>
      <c r="AE49" s="32" t="n"/>
      <c r="AF49" s="37" t="n"/>
      <c r="AG49" s="32" t="n"/>
      <c r="AH49" s="32" t="n"/>
      <c r="AI49" s="39">
        <f>IF(OR(AG49="",P49="",N49=""),"",ABS(AG49-P49)*N49)</f>
        <v/>
      </c>
      <c r="AJ49" s="39">
        <f>IF(OR(AH49="",P49="",N49=""),"",ABS(P49-AH49)*N49)</f>
        <v/>
      </c>
      <c r="AK49" s="39">
        <f>IF(OR(AE49="",P49="",N49=""),"",IF(I49="Buy",AE49-P49,P49-AE49)*N49)</f>
        <v/>
      </c>
      <c r="AL49" s="39">
        <f>IF(OR(AJ49="",AK49=""),"",MAX(0,AJ49-AK49))</f>
        <v/>
      </c>
      <c r="AM49" s="39">
        <f>IF(AK49="","",(P49+AE49)*N49)</f>
        <v/>
      </c>
      <c r="AN49" s="55">
        <f>IF(AK49="","",BrokeragePerOrder*2*MAX(1,N(L49)))</f>
        <v/>
      </c>
      <c r="AO49" s="55">
        <f>IF(AK49="","",STTRate*IF(I49="Buy",AE49,P49)*N49)</f>
        <v/>
      </c>
      <c r="AP49" s="55">
        <f>IF(AK49="","",ExchRate*AM49)</f>
        <v/>
      </c>
      <c r="AQ49" s="55">
        <f>IF(AK49="","",SEBIRate*AM49)</f>
        <v/>
      </c>
      <c r="AR49" s="55">
        <f>IF(AK49="","",StampRate*IF(I49="Buy",P49,AE49)*N49)</f>
        <v/>
      </c>
      <c r="AS49" s="55">
        <f>IF(AK49="","",GSTRate*(AN49+AP49+AQ49))</f>
        <v/>
      </c>
      <c r="AT49" s="55">
        <f>IF(AK49="","",AN49+AO49+AP49+AQ49+AR49+AS49)</f>
        <v/>
      </c>
      <c r="AU49" s="39">
        <f>IF(AK49="","",AK49-AT49)</f>
        <v/>
      </c>
      <c r="AV49" s="56">
        <f>IF(AU49="","",AU49/IF(N(Z49)&gt;0,Z49,RiskPerTrade))</f>
        <v/>
      </c>
      <c r="AW49" s="31">
        <f>IF(AU49="","",AU49/Capital)</f>
        <v/>
      </c>
      <c r="AX49" s="37" t="n"/>
      <c r="AY49" s="37" t="n"/>
      <c r="AZ49" s="37" t="n"/>
      <c r="BA49" s="37" t="n"/>
      <c r="BB49" s="37" t="n"/>
      <c r="BC49" s="37" t="n"/>
      <c r="BD49" s="37" t="n"/>
      <c r="BE49" s="5">
        <f>IF(AU49="","",IF(AU49&gt;0,"Win",IF(AU49&lt;0,"Loss","BE")))</f>
        <v/>
      </c>
      <c r="BF49" s="5">
        <f>IF(O49="","",LOOKUP(O49,List_BucketStart,List_BucketLabel))</f>
        <v/>
      </c>
      <c r="BG49" s="57">
        <f>IF(B49="","",B49-WEEKDAY(B49,3))</f>
        <v/>
      </c>
      <c r="BH49" s="28">
        <f>IF(B49="","",COUNTIF($B$6:B49,B49))</f>
        <v/>
      </c>
      <c r="BI49" s="39">
        <f>IF(B49="","",SUMIFS($AU$6:AU49,$B$6:B49,B49)-N(AU49))</f>
        <v/>
      </c>
      <c r="BJ49" s="5">
        <f>IF(OR(B49="",E49=""),"",IF(AND(E49=0,I49="Sell",MAX(N(O49),N(AD49))&gt;ExpiryCutoff),"BREACH","OK"))</f>
        <v/>
      </c>
      <c r="BK49" s="5">
        <f>IF(B49="","",IF(OR(AC49&lt;&gt;"OK",BJ49="BREACH",BH49&gt;MaxTradesDay,BI49&lt;=-DailyLossLimit,OR(AF49="Panic",AF49="Revenge",AF49="Rule break")),"CHECK","OK"))</f>
        <v/>
      </c>
      <c r="BL49" s="39">
        <f>IF(AU49="","",SUM($AU$6:AU49))</f>
        <v/>
      </c>
      <c r="BM49" s="39">
        <f>IF(BL49="","",Capital+BL49)</f>
        <v/>
      </c>
      <c r="BN49" s="39">
        <f>IF(BM49="","",MAX(Capital,MAX($BM$6:BM49)))</f>
        <v/>
      </c>
      <c r="BO49" s="39">
        <f>IF(BM49="","",BN49-BM49)</f>
        <v/>
      </c>
      <c r="BP49" s="58">
        <f>IF(BO49="","",BO49/BN49)</f>
        <v/>
      </c>
      <c r="BQ49" s="28">
        <f>IF(AU49="","",IF(AU49&lt;0,N(BQ48)+1,0))</f>
        <v/>
      </c>
    </row>
    <row r="50">
      <c r="A50" s="28">
        <f>IF(B50="","",COUNT($B$6:B50))</f>
        <v/>
      </c>
      <c r="B50" s="27" t="n"/>
      <c r="C50" s="5">
        <f>IF(B50="","",TEXT(B50,"ddd"))</f>
        <v/>
      </c>
      <c r="D50" s="27" t="n"/>
      <c r="E50" s="28">
        <f>IF(OR(B50="",D50=""),"",MAX(0,NETWORKDAYS(B50,D50)-1))</f>
        <v/>
      </c>
      <c r="F50" s="37" t="n"/>
      <c r="G50" s="36" t="n"/>
      <c r="H50" s="37" t="n"/>
      <c r="I50" s="37" t="n"/>
      <c r="J50" s="37" t="n"/>
      <c r="K50" s="37" t="n"/>
      <c r="L50" s="36" t="n"/>
      <c r="M50" s="36" t="n"/>
      <c r="N50" s="33">
        <f>IF(M50="","",M50*LotSize)</f>
        <v/>
      </c>
      <c r="O50" s="51" t="n"/>
      <c r="P50" s="32" t="n"/>
      <c r="Q50" s="29" t="n"/>
      <c r="R50" s="30">
        <f>IF(OR(G50="",Q50="",H50=""),"",IF(H50="CE",G50-Q50,Q50-G50))</f>
        <v/>
      </c>
      <c r="S50" s="31">
        <f>IF(R50="","",R50/Q50)</f>
        <v/>
      </c>
      <c r="T50" s="38" t="n"/>
      <c r="U50" s="32" t="n"/>
      <c r="V50" s="52" t="n"/>
      <c r="W50" s="37" t="n"/>
      <c r="X50" s="32" t="n"/>
      <c r="Y50" s="32" t="n"/>
      <c r="Z50" s="39">
        <f>IF(OR(X50="",P50="",N50=""),"",ABS(X50-P50)*N50)</f>
        <v/>
      </c>
      <c r="AA50" s="53">
        <f>IF(OR(Z50="",Y50=""),"",IF(Z50=0,"",ABS(P50-Y50)*N50/Z50))</f>
        <v/>
      </c>
      <c r="AB50" s="54">
        <f>IF(Z50="","",Z50/Capital)</f>
        <v/>
      </c>
      <c r="AC50" s="5">
        <f>IF(B50="","",IF(X50="","NO SL",IF(OR(N(M50)&gt;MaxLots,N(AB50)&gt;RiskPct),"OVERSIZED","OK")))</f>
        <v/>
      </c>
      <c r="AD50" s="51" t="n"/>
      <c r="AE50" s="32" t="n"/>
      <c r="AF50" s="37" t="n"/>
      <c r="AG50" s="32" t="n"/>
      <c r="AH50" s="32" t="n"/>
      <c r="AI50" s="39">
        <f>IF(OR(AG50="",P50="",N50=""),"",ABS(AG50-P50)*N50)</f>
        <v/>
      </c>
      <c r="AJ50" s="39">
        <f>IF(OR(AH50="",P50="",N50=""),"",ABS(P50-AH50)*N50)</f>
        <v/>
      </c>
      <c r="AK50" s="39">
        <f>IF(OR(AE50="",P50="",N50=""),"",IF(I50="Buy",AE50-P50,P50-AE50)*N50)</f>
        <v/>
      </c>
      <c r="AL50" s="39">
        <f>IF(OR(AJ50="",AK50=""),"",MAX(0,AJ50-AK50))</f>
        <v/>
      </c>
      <c r="AM50" s="39">
        <f>IF(AK50="","",(P50+AE50)*N50)</f>
        <v/>
      </c>
      <c r="AN50" s="55">
        <f>IF(AK50="","",BrokeragePerOrder*2*MAX(1,N(L50)))</f>
        <v/>
      </c>
      <c r="AO50" s="55">
        <f>IF(AK50="","",STTRate*IF(I50="Buy",AE50,P50)*N50)</f>
        <v/>
      </c>
      <c r="AP50" s="55">
        <f>IF(AK50="","",ExchRate*AM50)</f>
        <v/>
      </c>
      <c r="AQ50" s="55">
        <f>IF(AK50="","",SEBIRate*AM50)</f>
        <v/>
      </c>
      <c r="AR50" s="55">
        <f>IF(AK50="","",StampRate*IF(I50="Buy",P50,AE50)*N50)</f>
        <v/>
      </c>
      <c r="AS50" s="55">
        <f>IF(AK50="","",GSTRate*(AN50+AP50+AQ50))</f>
        <v/>
      </c>
      <c r="AT50" s="55">
        <f>IF(AK50="","",AN50+AO50+AP50+AQ50+AR50+AS50)</f>
        <v/>
      </c>
      <c r="AU50" s="39">
        <f>IF(AK50="","",AK50-AT50)</f>
        <v/>
      </c>
      <c r="AV50" s="56">
        <f>IF(AU50="","",AU50/IF(N(Z50)&gt;0,Z50,RiskPerTrade))</f>
        <v/>
      </c>
      <c r="AW50" s="31">
        <f>IF(AU50="","",AU50/Capital)</f>
        <v/>
      </c>
      <c r="AX50" s="37" t="n"/>
      <c r="AY50" s="37" t="n"/>
      <c r="AZ50" s="37" t="n"/>
      <c r="BA50" s="37" t="n"/>
      <c r="BB50" s="37" t="n"/>
      <c r="BC50" s="37" t="n"/>
      <c r="BD50" s="37" t="n"/>
      <c r="BE50" s="5">
        <f>IF(AU50="","",IF(AU50&gt;0,"Win",IF(AU50&lt;0,"Loss","BE")))</f>
        <v/>
      </c>
      <c r="BF50" s="5">
        <f>IF(O50="","",LOOKUP(O50,List_BucketStart,List_BucketLabel))</f>
        <v/>
      </c>
      <c r="BG50" s="57">
        <f>IF(B50="","",B50-WEEKDAY(B50,3))</f>
        <v/>
      </c>
      <c r="BH50" s="28">
        <f>IF(B50="","",COUNTIF($B$6:B50,B50))</f>
        <v/>
      </c>
      <c r="BI50" s="39">
        <f>IF(B50="","",SUMIFS($AU$6:AU50,$B$6:B50,B50)-N(AU50))</f>
        <v/>
      </c>
      <c r="BJ50" s="5">
        <f>IF(OR(B50="",E50=""),"",IF(AND(E50=0,I50="Sell",MAX(N(O50),N(AD50))&gt;ExpiryCutoff),"BREACH","OK"))</f>
        <v/>
      </c>
      <c r="BK50" s="5">
        <f>IF(B50="","",IF(OR(AC50&lt;&gt;"OK",BJ50="BREACH",BH50&gt;MaxTradesDay,BI50&lt;=-DailyLossLimit,OR(AF50="Panic",AF50="Revenge",AF50="Rule break")),"CHECK","OK"))</f>
        <v/>
      </c>
      <c r="BL50" s="39">
        <f>IF(AU50="","",SUM($AU$6:AU50))</f>
        <v/>
      </c>
      <c r="BM50" s="39">
        <f>IF(BL50="","",Capital+BL50)</f>
        <v/>
      </c>
      <c r="BN50" s="39">
        <f>IF(BM50="","",MAX(Capital,MAX($BM$6:BM50)))</f>
        <v/>
      </c>
      <c r="BO50" s="39">
        <f>IF(BM50="","",BN50-BM50)</f>
        <v/>
      </c>
      <c r="BP50" s="58">
        <f>IF(BO50="","",BO50/BN50)</f>
        <v/>
      </c>
      <c r="BQ50" s="28">
        <f>IF(AU50="","",IF(AU50&lt;0,N(BQ49)+1,0))</f>
        <v/>
      </c>
    </row>
    <row r="51">
      <c r="A51" s="28">
        <f>IF(B51="","",COUNT($B$6:B51))</f>
        <v/>
      </c>
      <c r="B51" s="27" t="n"/>
      <c r="C51" s="5">
        <f>IF(B51="","",TEXT(B51,"ddd"))</f>
        <v/>
      </c>
      <c r="D51" s="27" t="n"/>
      <c r="E51" s="28">
        <f>IF(OR(B51="",D51=""),"",MAX(0,NETWORKDAYS(B51,D51)-1))</f>
        <v/>
      </c>
      <c r="F51" s="37" t="n"/>
      <c r="G51" s="36" t="n"/>
      <c r="H51" s="37" t="n"/>
      <c r="I51" s="37" t="n"/>
      <c r="J51" s="37" t="n"/>
      <c r="K51" s="37" t="n"/>
      <c r="L51" s="36" t="n"/>
      <c r="M51" s="36" t="n"/>
      <c r="N51" s="33">
        <f>IF(M51="","",M51*LotSize)</f>
        <v/>
      </c>
      <c r="O51" s="51" t="n"/>
      <c r="P51" s="32" t="n"/>
      <c r="Q51" s="29" t="n"/>
      <c r="R51" s="30">
        <f>IF(OR(G51="",Q51="",H51=""),"",IF(H51="CE",G51-Q51,Q51-G51))</f>
        <v/>
      </c>
      <c r="S51" s="31">
        <f>IF(R51="","",R51/Q51)</f>
        <v/>
      </c>
      <c r="T51" s="38" t="n"/>
      <c r="U51" s="32" t="n"/>
      <c r="V51" s="52" t="n"/>
      <c r="W51" s="37" t="n"/>
      <c r="X51" s="32" t="n"/>
      <c r="Y51" s="32" t="n"/>
      <c r="Z51" s="39">
        <f>IF(OR(X51="",P51="",N51=""),"",ABS(X51-P51)*N51)</f>
        <v/>
      </c>
      <c r="AA51" s="53">
        <f>IF(OR(Z51="",Y51=""),"",IF(Z51=0,"",ABS(P51-Y51)*N51/Z51))</f>
        <v/>
      </c>
      <c r="AB51" s="54">
        <f>IF(Z51="","",Z51/Capital)</f>
        <v/>
      </c>
      <c r="AC51" s="5">
        <f>IF(B51="","",IF(X51="","NO SL",IF(OR(N(M51)&gt;MaxLots,N(AB51)&gt;RiskPct),"OVERSIZED","OK")))</f>
        <v/>
      </c>
      <c r="AD51" s="51" t="n"/>
      <c r="AE51" s="32" t="n"/>
      <c r="AF51" s="37" t="n"/>
      <c r="AG51" s="32" t="n"/>
      <c r="AH51" s="32" t="n"/>
      <c r="AI51" s="39">
        <f>IF(OR(AG51="",P51="",N51=""),"",ABS(AG51-P51)*N51)</f>
        <v/>
      </c>
      <c r="AJ51" s="39">
        <f>IF(OR(AH51="",P51="",N51=""),"",ABS(P51-AH51)*N51)</f>
        <v/>
      </c>
      <c r="AK51" s="39">
        <f>IF(OR(AE51="",P51="",N51=""),"",IF(I51="Buy",AE51-P51,P51-AE51)*N51)</f>
        <v/>
      </c>
      <c r="AL51" s="39">
        <f>IF(OR(AJ51="",AK51=""),"",MAX(0,AJ51-AK51))</f>
        <v/>
      </c>
      <c r="AM51" s="39">
        <f>IF(AK51="","",(P51+AE51)*N51)</f>
        <v/>
      </c>
      <c r="AN51" s="55">
        <f>IF(AK51="","",BrokeragePerOrder*2*MAX(1,N(L51)))</f>
        <v/>
      </c>
      <c r="AO51" s="55">
        <f>IF(AK51="","",STTRate*IF(I51="Buy",AE51,P51)*N51)</f>
        <v/>
      </c>
      <c r="AP51" s="55">
        <f>IF(AK51="","",ExchRate*AM51)</f>
        <v/>
      </c>
      <c r="AQ51" s="55">
        <f>IF(AK51="","",SEBIRate*AM51)</f>
        <v/>
      </c>
      <c r="AR51" s="55">
        <f>IF(AK51="","",StampRate*IF(I51="Buy",P51,AE51)*N51)</f>
        <v/>
      </c>
      <c r="AS51" s="55">
        <f>IF(AK51="","",GSTRate*(AN51+AP51+AQ51))</f>
        <v/>
      </c>
      <c r="AT51" s="55">
        <f>IF(AK51="","",AN51+AO51+AP51+AQ51+AR51+AS51)</f>
        <v/>
      </c>
      <c r="AU51" s="39">
        <f>IF(AK51="","",AK51-AT51)</f>
        <v/>
      </c>
      <c r="AV51" s="56">
        <f>IF(AU51="","",AU51/IF(N(Z51)&gt;0,Z51,RiskPerTrade))</f>
        <v/>
      </c>
      <c r="AW51" s="31">
        <f>IF(AU51="","",AU51/Capital)</f>
        <v/>
      </c>
      <c r="AX51" s="37" t="n"/>
      <c r="AY51" s="37" t="n"/>
      <c r="AZ51" s="37" t="n"/>
      <c r="BA51" s="37" t="n"/>
      <c r="BB51" s="37" t="n"/>
      <c r="BC51" s="37" t="n"/>
      <c r="BD51" s="37" t="n"/>
      <c r="BE51" s="5">
        <f>IF(AU51="","",IF(AU51&gt;0,"Win",IF(AU51&lt;0,"Loss","BE")))</f>
        <v/>
      </c>
      <c r="BF51" s="5">
        <f>IF(O51="","",LOOKUP(O51,List_BucketStart,List_BucketLabel))</f>
        <v/>
      </c>
      <c r="BG51" s="57">
        <f>IF(B51="","",B51-WEEKDAY(B51,3))</f>
        <v/>
      </c>
      <c r="BH51" s="28">
        <f>IF(B51="","",COUNTIF($B$6:B51,B51))</f>
        <v/>
      </c>
      <c r="BI51" s="39">
        <f>IF(B51="","",SUMIFS($AU$6:AU51,$B$6:B51,B51)-N(AU51))</f>
        <v/>
      </c>
      <c r="BJ51" s="5">
        <f>IF(OR(B51="",E51=""),"",IF(AND(E51=0,I51="Sell",MAX(N(O51),N(AD51))&gt;ExpiryCutoff),"BREACH","OK"))</f>
        <v/>
      </c>
      <c r="BK51" s="5">
        <f>IF(B51="","",IF(OR(AC51&lt;&gt;"OK",BJ51="BREACH",BH51&gt;MaxTradesDay,BI51&lt;=-DailyLossLimit,OR(AF51="Panic",AF51="Revenge",AF51="Rule break")),"CHECK","OK"))</f>
        <v/>
      </c>
      <c r="BL51" s="39">
        <f>IF(AU51="","",SUM($AU$6:AU51))</f>
        <v/>
      </c>
      <c r="BM51" s="39">
        <f>IF(BL51="","",Capital+BL51)</f>
        <v/>
      </c>
      <c r="BN51" s="39">
        <f>IF(BM51="","",MAX(Capital,MAX($BM$6:BM51)))</f>
        <v/>
      </c>
      <c r="BO51" s="39">
        <f>IF(BM51="","",BN51-BM51)</f>
        <v/>
      </c>
      <c r="BP51" s="58">
        <f>IF(BO51="","",BO51/BN51)</f>
        <v/>
      </c>
      <c r="BQ51" s="28">
        <f>IF(AU51="","",IF(AU51&lt;0,N(BQ50)+1,0))</f>
        <v/>
      </c>
    </row>
    <row r="52">
      <c r="A52" s="28">
        <f>IF(B52="","",COUNT($B$6:B52))</f>
        <v/>
      </c>
      <c r="B52" s="27" t="n"/>
      <c r="C52" s="5">
        <f>IF(B52="","",TEXT(B52,"ddd"))</f>
        <v/>
      </c>
      <c r="D52" s="27" t="n"/>
      <c r="E52" s="28">
        <f>IF(OR(B52="",D52=""),"",MAX(0,NETWORKDAYS(B52,D52)-1))</f>
        <v/>
      </c>
      <c r="F52" s="37" t="n"/>
      <c r="G52" s="36" t="n"/>
      <c r="H52" s="37" t="n"/>
      <c r="I52" s="37" t="n"/>
      <c r="J52" s="37" t="n"/>
      <c r="K52" s="37" t="n"/>
      <c r="L52" s="36" t="n"/>
      <c r="M52" s="36" t="n"/>
      <c r="N52" s="33">
        <f>IF(M52="","",M52*LotSize)</f>
        <v/>
      </c>
      <c r="O52" s="51" t="n"/>
      <c r="P52" s="32" t="n"/>
      <c r="Q52" s="29" t="n"/>
      <c r="R52" s="30">
        <f>IF(OR(G52="",Q52="",H52=""),"",IF(H52="CE",G52-Q52,Q52-G52))</f>
        <v/>
      </c>
      <c r="S52" s="31">
        <f>IF(R52="","",R52/Q52)</f>
        <v/>
      </c>
      <c r="T52" s="38" t="n"/>
      <c r="U52" s="32" t="n"/>
      <c r="V52" s="52" t="n"/>
      <c r="W52" s="37" t="n"/>
      <c r="X52" s="32" t="n"/>
      <c r="Y52" s="32" t="n"/>
      <c r="Z52" s="39">
        <f>IF(OR(X52="",P52="",N52=""),"",ABS(X52-P52)*N52)</f>
        <v/>
      </c>
      <c r="AA52" s="53">
        <f>IF(OR(Z52="",Y52=""),"",IF(Z52=0,"",ABS(P52-Y52)*N52/Z52))</f>
        <v/>
      </c>
      <c r="AB52" s="54">
        <f>IF(Z52="","",Z52/Capital)</f>
        <v/>
      </c>
      <c r="AC52" s="5">
        <f>IF(B52="","",IF(X52="","NO SL",IF(OR(N(M52)&gt;MaxLots,N(AB52)&gt;RiskPct),"OVERSIZED","OK")))</f>
        <v/>
      </c>
      <c r="AD52" s="51" t="n"/>
      <c r="AE52" s="32" t="n"/>
      <c r="AF52" s="37" t="n"/>
      <c r="AG52" s="32" t="n"/>
      <c r="AH52" s="32" t="n"/>
      <c r="AI52" s="39">
        <f>IF(OR(AG52="",P52="",N52=""),"",ABS(AG52-P52)*N52)</f>
        <v/>
      </c>
      <c r="AJ52" s="39">
        <f>IF(OR(AH52="",P52="",N52=""),"",ABS(P52-AH52)*N52)</f>
        <v/>
      </c>
      <c r="AK52" s="39">
        <f>IF(OR(AE52="",P52="",N52=""),"",IF(I52="Buy",AE52-P52,P52-AE52)*N52)</f>
        <v/>
      </c>
      <c r="AL52" s="39">
        <f>IF(OR(AJ52="",AK52=""),"",MAX(0,AJ52-AK52))</f>
        <v/>
      </c>
      <c r="AM52" s="39">
        <f>IF(AK52="","",(P52+AE52)*N52)</f>
        <v/>
      </c>
      <c r="AN52" s="55">
        <f>IF(AK52="","",BrokeragePerOrder*2*MAX(1,N(L52)))</f>
        <v/>
      </c>
      <c r="AO52" s="55">
        <f>IF(AK52="","",STTRate*IF(I52="Buy",AE52,P52)*N52)</f>
        <v/>
      </c>
      <c r="AP52" s="55">
        <f>IF(AK52="","",ExchRate*AM52)</f>
        <v/>
      </c>
      <c r="AQ52" s="55">
        <f>IF(AK52="","",SEBIRate*AM52)</f>
        <v/>
      </c>
      <c r="AR52" s="55">
        <f>IF(AK52="","",StampRate*IF(I52="Buy",P52,AE52)*N52)</f>
        <v/>
      </c>
      <c r="AS52" s="55">
        <f>IF(AK52="","",GSTRate*(AN52+AP52+AQ52))</f>
        <v/>
      </c>
      <c r="AT52" s="55">
        <f>IF(AK52="","",AN52+AO52+AP52+AQ52+AR52+AS52)</f>
        <v/>
      </c>
      <c r="AU52" s="39">
        <f>IF(AK52="","",AK52-AT52)</f>
        <v/>
      </c>
      <c r="AV52" s="56">
        <f>IF(AU52="","",AU52/IF(N(Z52)&gt;0,Z52,RiskPerTrade))</f>
        <v/>
      </c>
      <c r="AW52" s="31">
        <f>IF(AU52="","",AU52/Capital)</f>
        <v/>
      </c>
      <c r="AX52" s="37" t="n"/>
      <c r="AY52" s="37" t="n"/>
      <c r="AZ52" s="37" t="n"/>
      <c r="BA52" s="37" t="n"/>
      <c r="BB52" s="37" t="n"/>
      <c r="BC52" s="37" t="n"/>
      <c r="BD52" s="37" t="n"/>
      <c r="BE52" s="5">
        <f>IF(AU52="","",IF(AU52&gt;0,"Win",IF(AU52&lt;0,"Loss","BE")))</f>
        <v/>
      </c>
      <c r="BF52" s="5">
        <f>IF(O52="","",LOOKUP(O52,List_BucketStart,List_BucketLabel))</f>
        <v/>
      </c>
      <c r="BG52" s="57">
        <f>IF(B52="","",B52-WEEKDAY(B52,3))</f>
        <v/>
      </c>
      <c r="BH52" s="28">
        <f>IF(B52="","",COUNTIF($B$6:B52,B52))</f>
        <v/>
      </c>
      <c r="BI52" s="39">
        <f>IF(B52="","",SUMIFS($AU$6:AU52,$B$6:B52,B52)-N(AU52))</f>
        <v/>
      </c>
      <c r="BJ52" s="5">
        <f>IF(OR(B52="",E52=""),"",IF(AND(E52=0,I52="Sell",MAX(N(O52),N(AD52))&gt;ExpiryCutoff),"BREACH","OK"))</f>
        <v/>
      </c>
      <c r="BK52" s="5">
        <f>IF(B52="","",IF(OR(AC52&lt;&gt;"OK",BJ52="BREACH",BH52&gt;MaxTradesDay,BI52&lt;=-DailyLossLimit,OR(AF52="Panic",AF52="Revenge",AF52="Rule break")),"CHECK","OK"))</f>
        <v/>
      </c>
      <c r="BL52" s="39">
        <f>IF(AU52="","",SUM($AU$6:AU52))</f>
        <v/>
      </c>
      <c r="BM52" s="39">
        <f>IF(BL52="","",Capital+BL52)</f>
        <v/>
      </c>
      <c r="BN52" s="39">
        <f>IF(BM52="","",MAX(Capital,MAX($BM$6:BM52)))</f>
        <v/>
      </c>
      <c r="BO52" s="39">
        <f>IF(BM52="","",BN52-BM52)</f>
        <v/>
      </c>
      <c r="BP52" s="58">
        <f>IF(BO52="","",BO52/BN52)</f>
        <v/>
      </c>
      <c r="BQ52" s="28">
        <f>IF(AU52="","",IF(AU52&lt;0,N(BQ51)+1,0))</f>
        <v/>
      </c>
    </row>
    <row r="53">
      <c r="A53" s="28">
        <f>IF(B53="","",COUNT($B$6:B53))</f>
        <v/>
      </c>
      <c r="B53" s="27" t="n"/>
      <c r="C53" s="5">
        <f>IF(B53="","",TEXT(B53,"ddd"))</f>
        <v/>
      </c>
      <c r="D53" s="27" t="n"/>
      <c r="E53" s="28">
        <f>IF(OR(B53="",D53=""),"",MAX(0,NETWORKDAYS(B53,D53)-1))</f>
        <v/>
      </c>
      <c r="F53" s="37" t="n"/>
      <c r="G53" s="36" t="n"/>
      <c r="H53" s="37" t="n"/>
      <c r="I53" s="37" t="n"/>
      <c r="J53" s="37" t="n"/>
      <c r="K53" s="37" t="n"/>
      <c r="L53" s="36" t="n"/>
      <c r="M53" s="36" t="n"/>
      <c r="N53" s="33">
        <f>IF(M53="","",M53*LotSize)</f>
        <v/>
      </c>
      <c r="O53" s="51" t="n"/>
      <c r="P53" s="32" t="n"/>
      <c r="Q53" s="29" t="n"/>
      <c r="R53" s="30">
        <f>IF(OR(G53="",Q53="",H53=""),"",IF(H53="CE",G53-Q53,Q53-G53))</f>
        <v/>
      </c>
      <c r="S53" s="31">
        <f>IF(R53="","",R53/Q53)</f>
        <v/>
      </c>
      <c r="T53" s="38" t="n"/>
      <c r="U53" s="32" t="n"/>
      <c r="V53" s="52" t="n"/>
      <c r="W53" s="37" t="n"/>
      <c r="X53" s="32" t="n"/>
      <c r="Y53" s="32" t="n"/>
      <c r="Z53" s="39">
        <f>IF(OR(X53="",P53="",N53=""),"",ABS(X53-P53)*N53)</f>
        <v/>
      </c>
      <c r="AA53" s="53">
        <f>IF(OR(Z53="",Y53=""),"",IF(Z53=0,"",ABS(P53-Y53)*N53/Z53))</f>
        <v/>
      </c>
      <c r="AB53" s="54">
        <f>IF(Z53="","",Z53/Capital)</f>
        <v/>
      </c>
      <c r="AC53" s="5">
        <f>IF(B53="","",IF(X53="","NO SL",IF(OR(N(M53)&gt;MaxLots,N(AB53)&gt;RiskPct),"OVERSIZED","OK")))</f>
        <v/>
      </c>
      <c r="AD53" s="51" t="n"/>
      <c r="AE53" s="32" t="n"/>
      <c r="AF53" s="37" t="n"/>
      <c r="AG53" s="32" t="n"/>
      <c r="AH53" s="32" t="n"/>
      <c r="AI53" s="39">
        <f>IF(OR(AG53="",P53="",N53=""),"",ABS(AG53-P53)*N53)</f>
        <v/>
      </c>
      <c r="AJ53" s="39">
        <f>IF(OR(AH53="",P53="",N53=""),"",ABS(P53-AH53)*N53)</f>
        <v/>
      </c>
      <c r="AK53" s="39">
        <f>IF(OR(AE53="",P53="",N53=""),"",IF(I53="Buy",AE53-P53,P53-AE53)*N53)</f>
        <v/>
      </c>
      <c r="AL53" s="39">
        <f>IF(OR(AJ53="",AK53=""),"",MAX(0,AJ53-AK53))</f>
        <v/>
      </c>
      <c r="AM53" s="39">
        <f>IF(AK53="","",(P53+AE53)*N53)</f>
        <v/>
      </c>
      <c r="AN53" s="55">
        <f>IF(AK53="","",BrokeragePerOrder*2*MAX(1,N(L53)))</f>
        <v/>
      </c>
      <c r="AO53" s="55">
        <f>IF(AK53="","",STTRate*IF(I53="Buy",AE53,P53)*N53)</f>
        <v/>
      </c>
      <c r="AP53" s="55">
        <f>IF(AK53="","",ExchRate*AM53)</f>
        <v/>
      </c>
      <c r="AQ53" s="55">
        <f>IF(AK53="","",SEBIRate*AM53)</f>
        <v/>
      </c>
      <c r="AR53" s="55">
        <f>IF(AK53="","",StampRate*IF(I53="Buy",P53,AE53)*N53)</f>
        <v/>
      </c>
      <c r="AS53" s="55">
        <f>IF(AK53="","",GSTRate*(AN53+AP53+AQ53))</f>
        <v/>
      </c>
      <c r="AT53" s="55">
        <f>IF(AK53="","",AN53+AO53+AP53+AQ53+AR53+AS53)</f>
        <v/>
      </c>
      <c r="AU53" s="39">
        <f>IF(AK53="","",AK53-AT53)</f>
        <v/>
      </c>
      <c r="AV53" s="56">
        <f>IF(AU53="","",AU53/IF(N(Z53)&gt;0,Z53,RiskPerTrade))</f>
        <v/>
      </c>
      <c r="AW53" s="31">
        <f>IF(AU53="","",AU53/Capital)</f>
        <v/>
      </c>
      <c r="AX53" s="37" t="n"/>
      <c r="AY53" s="37" t="n"/>
      <c r="AZ53" s="37" t="n"/>
      <c r="BA53" s="37" t="n"/>
      <c r="BB53" s="37" t="n"/>
      <c r="BC53" s="37" t="n"/>
      <c r="BD53" s="37" t="n"/>
      <c r="BE53" s="5">
        <f>IF(AU53="","",IF(AU53&gt;0,"Win",IF(AU53&lt;0,"Loss","BE")))</f>
        <v/>
      </c>
      <c r="BF53" s="5">
        <f>IF(O53="","",LOOKUP(O53,List_BucketStart,List_BucketLabel))</f>
        <v/>
      </c>
      <c r="BG53" s="57">
        <f>IF(B53="","",B53-WEEKDAY(B53,3))</f>
        <v/>
      </c>
      <c r="BH53" s="28">
        <f>IF(B53="","",COUNTIF($B$6:B53,B53))</f>
        <v/>
      </c>
      <c r="BI53" s="39">
        <f>IF(B53="","",SUMIFS($AU$6:AU53,$B$6:B53,B53)-N(AU53))</f>
        <v/>
      </c>
      <c r="BJ53" s="5">
        <f>IF(OR(B53="",E53=""),"",IF(AND(E53=0,I53="Sell",MAX(N(O53),N(AD53))&gt;ExpiryCutoff),"BREACH","OK"))</f>
        <v/>
      </c>
      <c r="BK53" s="5">
        <f>IF(B53="","",IF(OR(AC53&lt;&gt;"OK",BJ53="BREACH",BH53&gt;MaxTradesDay,BI53&lt;=-DailyLossLimit,OR(AF53="Panic",AF53="Revenge",AF53="Rule break")),"CHECK","OK"))</f>
        <v/>
      </c>
      <c r="BL53" s="39">
        <f>IF(AU53="","",SUM($AU$6:AU53))</f>
        <v/>
      </c>
      <c r="BM53" s="39">
        <f>IF(BL53="","",Capital+BL53)</f>
        <v/>
      </c>
      <c r="BN53" s="39">
        <f>IF(BM53="","",MAX(Capital,MAX($BM$6:BM53)))</f>
        <v/>
      </c>
      <c r="BO53" s="39">
        <f>IF(BM53="","",BN53-BM53)</f>
        <v/>
      </c>
      <c r="BP53" s="58">
        <f>IF(BO53="","",BO53/BN53)</f>
        <v/>
      </c>
      <c r="BQ53" s="28">
        <f>IF(AU53="","",IF(AU53&lt;0,N(BQ52)+1,0))</f>
        <v/>
      </c>
    </row>
    <row r="54">
      <c r="A54" s="28">
        <f>IF(B54="","",COUNT($B$6:B54))</f>
        <v/>
      </c>
      <c r="B54" s="27" t="n"/>
      <c r="C54" s="5">
        <f>IF(B54="","",TEXT(B54,"ddd"))</f>
        <v/>
      </c>
      <c r="D54" s="27" t="n"/>
      <c r="E54" s="28">
        <f>IF(OR(B54="",D54=""),"",MAX(0,NETWORKDAYS(B54,D54)-1))</f>
        <v/>
      </c>
      <c r="F54" s="37" t="n"/>
      <c r="G54" s="36" t="n"/>
      <c r="H54" s="37" t="n"/>
      <c r="I54" s="37" t="n"/>
      <c r="J54" s="37" t="n"/>
      <c r="K54" s="37" t="n"/>
      <c r="L54" s="36" t="n"/>
      <c r="M54" s="36" t="n"/>
      <c r="N54" s="33">
        <f>IF(M54="","",M54*LotSize)</f>
        <v/>
      </c>
      <c r="O54" s="51" t="n"/>
      <c r="P54" s="32" t="n"/>
      <c r="Q54" s="29" t="n"/>
      <c r="R54" s="30">
        <f>IF(OR(G54="",Q54="",H54=""),"",IF(H54="CE",G54-Q54,Q54-G54))</f>
        <v/>
      </c>
      <c r="S54" s="31">
        <f>IF(R54="","",R54/Q54)</f>
        <v/>
      </c>
      <c r="T54" s="38" t="n"/>
      <c r="U54" s="32" t="n"/>
      <c r="V54" s="52" t="n"/>
      <c r="W54" s="37" t="n"/>
      <c r="X54" s="32" t="n"/>
      <c r="Y54" s="32" t="n"/>
      <c r="Z54" s="39">
        <f>IF(OR(X54="",P54="",N54=""),"",ABS(X54-P54)*N54)</f>
        <v/>
      </c>
      <c r="AA54" s="53">
        <f>IF(OR(Z54="",Y54=""),"",IF(Z54=0,"",ABS(P54-Y54)*N54/Z54))</f>
        <v/>
      </c>
      <c r="AB54" s="54">
        <f>IF(Z54="","",Z54/Capital)</f>
        <v/>
      </c>
      <c r="AC54" s="5">
        <f>IF(B54="","",IF(X54="","NO SL",IF(OR(N(M54)&gt;MaxLots,N(AB54)&gt;RiskPct),"OVERSIZED","OK")))</f>
        <v/>
      </c>
      <c r="AD54" s="51" t="n"/>
      <c r="AE54" s="32" t="n"/>
      <c r="AF54" s="37" t="n"/>
      <c r="AG54" s="32" t="n"/>
      <c r="AH54" s="32" t="n"/>
      <c r="AI54" s="39">
        <f>IF(OR(AG54="",P54="",N54=""),"",ABS(AG54-P54)*N54)</f>
        <v/>
      </c>
      <c r="AJ54" s="39">
        <f>IF(OR(AH54="",P54="",N54=""),"",ABS(P54-AH54)*N54)</f>
        <v/>
      </c>
      <c r="AK54" s="39">
        <f>IF(OR(AE54="",P54="",N54=""),"",IF(I54="Buy",AE54-P54,P54-AE54)*N54)</f>
        <v/>
      </c>
      <c r="AL54" s="39">
        <f>IF(OR(AJ54="",AK54=""),"",MAX(0,AJ54-AK54))</f>
        <v/>
      </c>
      <c r="AM54" s="39">
        <f>IF(AK54="","",(P54+AE54)*N54)</f>
        <v/>
      </c>
      <c r="AN54" s="55">
        <f>IF(AK54="","",BrokeragePerOrder*2*MAX(1,N(L54)))</f>
        <v/>
      </c>
      <c r="AO54" s="55">
        <f>IF(AK54="","",STTRate*IF(I54="Buy",AE54,P54)*N54)</f>
        <v/>
      </c>
      <c r="AP54" s="55">
        <f>IF(AK54="","",ExchRate*AM54)</f>
        <v/>
      </c>
      <c r="AQ54" s="55">
        <f>IF(AK54="","",SEBIRate*AM54)</f>
        <v/>
      </c>
      <c r="AR54" s="55">
        <f>IF(AK54="","",StampRate*IF(I54="Buy",P54,AE54)*N54)</f>
        <v/>
      </c>
      <c r="AS54" s="55">
        <f>IF(AK54="","",GSTRate*(AN54+AP54+AQ54))</f>
        <v/>
      </c>
      <c r="AT54" s="55">
        <f>IF(AK54="","",AN54+AO54+AP54+AQ54+AR54+AS54)</f>
        <v/>
      </c>
      <c r="AU54" s="39">
        <f>IF(AK54="","",AK54-AT54)</f>
        <v/>
      </c>
      <c r="AV54" s="56">
        <f>IF(AU54="","",AU54/IF(N(Z54)&gt;0,Z54,RiskPerTrade))</f>
        <v/>
      </c>
      <c r="AW54" s="31">
        <f>IF(AU54="","",AU54/Capital)</f>
        <v/>
      </c>
      <c r="AX54" s="37" t="n"/>
      <c r="AY54" s="37" t="n"/>
      <c r="AZ54" s="37" t="n"/>
      <c r="BA54" s="37" t="n"/>
      <c r="BB54" s="37" t="n"/>
      <c r="BC54" s="37" t="n"/>
      <c r="BD54" s="37" t="n"/>
      <c r="BE54" s="5">
        <f>IF(AU54="","",IF(AU54&gt;0,"Win",IF(AU54&lt;0,"Loss","BE")))</f>
        <v/>
      </c>
      <c r="BF54" s="5">
        <f>IF(O54="","",LOOKUP(O54,List_BucketStart,List_BucketLabel))</f>
        <v/>
      </c>
      <c r="BG54" s="57">
        <f>IF(B54="","",B54-WEEKDAY(B54,3))</f>
        <v/>
      </c>
      <c r="BH54" s="28">
        <f>IF(B54="","",COUNTIF($B$6:B54,B54))</f>
        <v/>
      </c>
      <c r="BI54" s="39">
        <f>IF(B54="","",SUMIFS($AU$6:AU54,$B$6:B54,B54)-N(AU54))</f>
        <v/>
      </c>
      <c r="BJ54" s="5">
        <f>IF(OR(B54="",E54=""),"",IF(AND(E54=0,I54="Sell",MAX(N(O54),N(AD54))&gt;ExpiryCutoff),"BREACH","OK"))</f>
        <v/>
      </c>
      <c r="BK54" s="5">
        <f>IF(B54="","",IF(OR(AC54&lt;&gt;"OK",BJ54="BREACH",BH54&gt;MaxTradesDay,BI54&lt;=-DailyLossLimit,OR(AF54="Panic",AF54="Revenge",AF54="Rule break")),"CHECK","OK"))</f>
        <v/>
      </c>
      <c r="BL54" s="39">
        <f>IF(AU54="","",SUM($AU$6:AU54))</f>
        <v/>
      </c>
      <c r="BM54" s="39">
        <f>IF(BL54="","",Capital+BL54)</f>
        <v/>
      </c>
      <c r="BN54" s="39">
        <f>IF(BM54="","",MAX(Capital,MAX($BM$6:BM54)))</f>
        <v/>
      </c>
      <c r="BO54" s="39">
        <f>IF(BM54="","",BN54-BM54)</f>
        <v/>
      </c>
      <c r="BP54" s="58">
        <f>IF(BO54="","",BO54/BN54)</f>
        <v/>
      </c>
      <c r="BQ54" s="28">
        <f>IF(AU54="","",IF(AU54&lt;0,N(BQ53)+1,0))</f>
        <v/>
      </c>
    </row>
    <row r="55">
      <c r="A55" s="28">
        <f>IF(B55="","",COUNT($B$6:B55))</f>
        <v/>
      </c>
      <c r="B55" s="27" t="n"/>
      <c r="C55" s="5">
        <f>IF(B55="","",TEXT(B55,"ddd"))</f>
        <v/>
      </c>
      <c r="D55" s="27" t="n"/>
      <c r="E55" s="28">
        <f>IF(OR(B55="",D55=""),"",MAX(0,NETWORKDAYS(B55,D55)-1))</f>
        <v/>
      </c>
      <c r="F55" s="37" t="n"/>
      <c r="G55" s="36" t="n"/>
      <c r="H55" s="37" t="n"/>
      <c r="I55" s="37" t="n"/>
      <c r="J55" s="37" t="n"/>
      <c r="K55" s="37" t="n"/>
      <c r="L55" s="36" t="n"/>
      <c r="M55" s="36" t="n"/>
      <c r="N55" s="33">
        <f>IF(M55="","",M55*LotSize)</f>
        <v/>
      </c>
      <c r="O55" s="51" t="n"/>
      <c r="P55" s="32" t="n"/>
      <c r="Q55" s="29" t="n"/>
      <c r="R55" s="30">
        <f>IF(OR(G55="",Q55="",H55=""),"",IF(H55="CE",G55-Q55,Q55-G55))</f>
        <v/>
      </c>
      <c r="S55" s="31">
        <f>IF(R55="","",R55/Q55)</f>
        <v/>
      </c>
      <c r="T55" s="38" t="n"/>
      <c r="U55" s="32" t="n"/>
      <c r="V55" s="52" t="n"/>
      <c r="W55" s="37" t="n"/>
      <c r="X55" s="32" t="n"/>
      <c r="Y55" s="32" t="n"/>
      <c r="Z55" s="39">
        <f>IF(OR(X55="",P55="",N55=""),"",ABS(X55-P55)*N55)</f>
        <v/>
      </c>
      <c r="AA55" s="53">
        <f>IF(OR(Z55="",Y55=""),"",IF(Z55=0,"",ABS(P55-Y55)*N55/Z55))</f>
        <v/>
      </c>
      <c r="AB55" s="54">
        <f>IF(Z55="","",Z55/Capital)</f>
        <v/>
      </c>
      <c r="AC55" s="5">
        <f>IF(B55="","",IF(X55="","NO SL",IF(OR(N(M55)&gt;MaxLots,N(AB55)&gt;RiskPct),"OVERSIZED","OK")))</f>
        <v/>
      </c>
      <c r="AD55" s="51" t="n"/>
      <c r="AE55" s="32" t="n"/>
      <c r="AF55" s="37" t="n"/>
      <c r="AG55" s="32" t="n"/>
      <c r="AH55" s="32" t="n"/>
      <c r="AI55" s="39">
        <f>IF(OR(AG55="",P55="",N55=""),"",ABS(AG55-P55)*N55)</f>
        <v/>
      </c>
      <c r="AJ55" s="39">
        <f>IF(OR(AH55="",P55="",N55=""),"",ABS(P55-AH55)*N55)</f>
        <v/>
      </c>
      <c r="AK55" s="39">
        <f>IF(OR(AE55="",P55="",N55=""),"",IF(I55="Buy",AE55-P55,P55-AE55)*N55)</f>
        <v/>
      </c>
      <c r="AL55" s="39">
        <f>IF(OR(AJ55="",AK55=""),"",MAX(0,AJ55-AK55))</f>
        <v/>
      </c>
      <c r="AM55" s="39">
        <f>IF(AK55="","",(P55+AE55)*N55)</f>
        <v/>
      </c>
      <c r="AN55" s="55">
        <f>IF(AK55="","",BrokeragePerOrder*2*MAX(1,N(L55)))</f>
        <v/>
      </c>
      <c r="AO55" s="55">
        <f>IF(AK55="","",STTRate*IF(I55="Buy",AE55,P55)*N55)</f>
        <v/>
      </c>
      <c r="AP55" s="55">
        <f>IF(AK55="","",ExchRate*AM55)</f>
        <v/>
      </c>
      <c r="AQ55" s="55">
        <f>IF(AK55="","",SEBIRate*AM55)</f>
        <v/>
      </c>
      <c r="AR55" s="55">
        <f>IF(AK55="","",StampRate*IF(I55="Buy",P55,AE55)*N55)</f>
        <v/>
      </c>
      <c r="AS55" s="55">
        <f>IF(AK55="","",GSTRate*(AN55+AP55+AQ55))</f>
        <v/>
      </c>
      <c r="AT55" s="55">
        <f>IF(AK55="","",AN55+AO55+AP55+AQ55+AR55+AS55)</f>
        <v/>
      </c>
      <c r="AU55" s="39">
        <f>IF(AK55="","",AK55-AT55)</f>
        <v/>
      </c>
      <c r="AV55" s="56">
        <f>IF(AU55="","",AU55/IF(N(Z55)&gt;0,Z55,RiskPerTrade))</f>
        <v/>
      </c>
      <c r="AW55" s="31">
        <f>IF(AU55="","",AU55/Capital)</f>
        <v/>
      </c>
      <c r="AX55" s="37" t="n"/>
      <c r="AY55" s="37" t="n"/>
      <c r="AZ55" s="37" t="n"/>
      <c r="BA55" s="37" t="n"/>
      <c r="BB55" s="37" t="n"/>
      <c r="BC55" s="37" t="n"/>
      <c r="BD55" s="37" t="n"/>
      <c r="BE55" s="5">
        <f>IF(AU55="","",IF(AU55&gt;0,"Win",IF(AU55&lt;0,"Loss","BE")))</f>
        <v/>
      </c>
      <c r="BF55" s="5">
        <f>IF(O55="","",LOOKUP(O55,List_BucketStart,List_BucketLabel))</f>
        <v/>
      </c>
      <c r="BG55" s="57">
        <f>IF(B55="","",B55-WEEKDAY(B55,3))</f>
        <v/>
      </c>
      <c r="BH55" s="28">
        <f>IF(B55="","",COUNTIF($B$6:B55,B55))</f>
        <v/>
      </c>
      <c r="BI55" s="39">
        <f>IF(B55="","",SUMIFS($AU$6:AU55,$B$6:B55,B55)-N(AU55))</f>
        <v/>
      </c>
      <c r="BJ55" s="5">
        <f>IF(OR(B55="",E55=""),"",IF(AND(E55=0,I55="Sell",MAX(N(O55),N(AD55))&gt;ExpiryCutoff),"BREACH","OK"))</f>
        <v/>
      </c>
      <c r="BK55" s="5">
        <f>IF(B55="","",IF(OR(AC55&lt;&gt;"OK",BJ55="BREACH",BH55&gt;MaxTradesDay,BI55&lt;=-DailyLossLimit,OR(AF55="Panic",AF55="Revenge",AF55="Rule break")),"CHECK","OK"))</f>
        <v/>
      </c>
      <c r="BL55" s="39">
        <f>IF(AU55="","",SUM($AU$6:AU55))</f>
        <v/>
      </c>
      <c r="BM55" s="39">
        <f>IF(BL55="","",Capital+BL55)</f>
        <v/>
      </c>
      <c r="BN55" s="39">
        <f>IF(BM55="","",MAX(Capital,MAX($BM$6:BM55)))</f>
        <v/>
      </c>
      <c r="BO55" s="39">
        <f>IF(BM55="","",BN55-BM55)</f>
        <v/>
      </c>
      <c r="BP55" s="58">
        <f>IF(BO55="","",BO55/BN55)</f>
        <v/>
      </c>
      <c r="BQ55" s="28">
        <f>IF(AU55="","",IF(AU55&lt;0,N(BQ54)+1,0))</f>
        <v/>
      </c>
    </row>
    <row r="56">
      <c r="A56" s="28">
        <f>IF(B56="","",COUNT($B$6:B56))</f>
        <v/>
      </c>
      <c r="B56" s="27" t="n"/>
      <c r="C56" s="5">
        <f>IF(B56="","",TEXT(B56,"ddd"))</f>
        <v/>
      </c>
      <c r="D56" s="27" t="n"/>
      <c r="E56" s="28">
        <f>IF(OR(B56="",D56=""),"",MAX(0,NETWORKDAYS(B56,D56)-1))</f>
        <v/>
      </c>
      <c r="F56" s="37" t="n"/>
      <c r="G56" s="36" t="n"/>
      <c r="H56" s="37" t="n"/>
      <c r="I56" s="37" t="n"/>
      <c r="J56" s="37" t="n"/>
      <c r="K56" s="37" t="n"/>
      <c r="L56" s="36" t="n"/>
      <c r="M56" s="36" t="n"/>
      <c r="N56" s="33">
        <f>IF(M56="","",M56*LotSize)</f>
        <v/>
      </c>
      <c r="O56" s="51" t="n"/>
      <c r="P56" s="32" t="n"/>
      <c r="Q56" s="29" t="n"/>
      <c r="R56" s="30">
        <f>IF(OR(G56="",Q56="",H56=""),"",IF(H56="CE",G56-Q56,Q56-G56))</f>
        <v/>
      </c>
      <c r="S56" s="31">
        <f>IF(R56="","",R56/Q56)</f>
        <v/>
      </c>
      <c r="T56" s="38" t="n"/>
      <c r="U56" s="32" t="n"/>
      <c r="V56" s="52" t="n"/>
      <c r="W56" s="37" t="n"/>
      <c r="X56" s="32" t="n"/>
      <c r="Y56" s="32" t="n"/>
      <c r="Z56" s="39">
        <f>IF(OR(X56="",P56="",N56=""),"",ABS(X56-P56)*N56)</f>
        <v/>
      </c>
      <c r="AA56" s="53">
        <f>IF(OR(Z56="",Y56=""),"",IF(Z56=0,"",ABS(P56-Y56)*N56/Z56))</f>
        <v/>
      </c>
      <c r="AB56" s="54">
        <f>IF(Z56="","",Z56/Capital)</f>
        <v/>
      </c>
      <c r="AC56" s="5">
        <f>IF(B56="","",IF(X56="","NO SL",IF(OR(N(M56)&gt;MaxLots,N(AB56)&gt;RiskPct),"OVERSIZED","OK")))</f>
        <v/>
      </c>
      <c r="AD56" s="51" t="n"/>
      <c r="AE56" s="32" t="n"/>
      <c r="AF56" s="37" t="n"/>
      <c r="AG56" s="32" t="n"/>
      <c r="AH56" s="32" t="n"/>
      <c r="AI56" s="39">
        <f>IF(OR(AG56="",P56="",N56=""),"",ABS(AG56-P56)*N56)</f>
        <v/>
      </c>
      <c r="AJ56" s="39">
        <f>IF(OR(AH56="",P56="",N56=""),"",ABS(P56-AH56)*N56)</f>
        <v/>
      </c>
      <c r="AK56" s="39">
        <f>IF(OR(AE56="",P56="",N56=""),"",IF(I56="Buy",AE56-P56,P56-AE56)*N56)</f>
        <v/>
      </c>
      <c r="AL56" s="39">
        <f>IF(OR(AJ56="",AK56=""),"",MAX(0,AJ56-AK56))</f>
        <v/>
      </c>
      <c r="AM56" s="39">
        <f>IF(AK56="","",(P56+AE56)*N56)</f>
        <v/>
      </c>
      <c r="AN56" s="55">
        <f>IF(AK56="","",BrokeragePerOrder*2*MAX(1,N(L56)))</f>
        <v/>
      </c>
      <c r="AO56" s="55">
        <f>IF(AK56="","",STTRate*IF(I56="Buy",AE56,P56)*N56)</f>
        <v/>
      </c>
      <c r="AP56" s="55">
        <f>IF(AK56="","",ExchRate*AM56)</f>
        <v/>
      </c>
      <c r="AQ56" s="55">
        <f>IF(AK56="","",SEBIRate*AM56)</f>
        <v/>
      </c>
      <c r="AR56" s="55">
        <f>IF(AK56="","",StampRate*IF(I56="Buy",P56,AE56)*N56)</f>
        <v/>
      </c>
      <c r="AS56" s="55">
        <f>IF(AK56="","",GSTRate*(AN56+AP56+AQ56))</f>
        <v/>
      </c>
      <c r="AT56" s="55">
        <f>IF(AK56="","",AN56+AO56+AP56+AQ56+AR56+AS56)</f>
        <v/>
      </c>
      <c r="AU56" s="39">
        <f>IF(AK56="","",AK56-AT56)</f>
        <v/>
      </c>
      <c r="AV56" s="56">
        <f>IF(AU56="","",AU56/IF(N(Z56)&gt;0,Z56,RiskPerTrade))</f>
        <v/>
      </c>
      <c r="AW56" s="31">
        <f>IF(AU56="","",AU56/Capital)</f>
        <v/>
      </c>
      <c r="AX56" s="37" t="n"/>
      <c r="AY56" s="37" t="n"/>
      <c r="AZ56" s="37" t="n"/>
      <c r="BA56" s="37" t="n"/>
      <c r="BB56" s="37" t="n"/>
      <c r="BC56" s="37" t="n"/>
      <c r="BD56" s="37" t="n"/>
      <c r="BE56" s="5">
        <f>IF(AU56="","",IF(AU56&gt;0,"Win",IF(AU56&lt;0,"Loss","BE")))</f>
        <v/>
      </c>
      <c r="BF56" s="5">
        <f>IF(O56="","",LOOKUP(O56,List_BucketStart,List_BucketLabel))</f>
        <v/>
      </c>
      <c r="BG56" s="57">
        <f>IF(B56="","",B56-WEEKDAY(B56,3))</f>
        <v/>
      </c>
      <c r="BH56" s="28">
        <f>IF(B56="","",COUNTIF($B$6:B56,B56))</f>
        <v/>
      </c>
      <c r="BI56" s="39">
        <f>IF(B56="","",SUMIFS($AU$6:AU56,$B$6:B56,B56)-N(AU56))</f>
        <v/>
      </c>
      <c r="BJ56" s="5">
        <f>IF(OR(B56="",E56=""),"",IF(AND(E56=0,I56="Sell",MAX(N(O56),N(AD56))&gt;ExpiryCutoff),"BREACH","OK"))</f>
        <v/>
      </c>
      <c r="BK56" s="5">
        <f>IF(B56="","",IF(OR(AC56&lt;&gt;"OK",BJ56="BREACH",BH56&gt;MaxTradesDay,BI56&lt;=-DailyLossLimit,OR(AF56="Panic",AF56="Revenge",AF56="Rule break")),"CHECK","OK"))</f>
        <v/>
      </c>
      <c r="BL56" s="39">
        <f>IF(AU56="","",SUM($AU$6:AU56))</f>
        <v/>
      </c>
      <c r="BM56" s="39">
        <f>IF(BL56="","",Capital+BL56)</f>
        <v/>
      </c>
      <c r="BN56" s="39">
        <f>IF(BM56="","",MAX(Capital,MAX($BM$6:BM56)))</f>
        <v/>
      </c>
      <c r="BO56" s="39">
        <f>IF(BM56="","",BN56-BM56)</f>
        <v/>
      </c>
      <c r="BP56" s="58">
        <f>IF(BO56="","",BO56/BN56)</f>
        <v/>
      </c>
      <c r="BQ56" s="28">
        <f>IF(AU56="","",IF(AU56&lt;0,N(BQ55)+1,0))</f>
        <v/>
      </c>
    </row>
    <row r="57">
      <c r="A57" s="28">
        <f>IF(B57="","",COUNT($B$6:B57))</f>
        <v/>
      </c>
      <c r="B57" s="27" t="n"/>
      <c r="C57" s="5">
        <f>IF(B57="","",TEXT(B57,"ddd"))</f>
        <v/>
      </c>
      <c r="D57" s="27" t="n"/>
      <c r="E57" s="28">
        <f>IF(OR(B57="",D57=""),"",MAX(0,NETWORKDAYS(B57,D57)-1))</f>
        <v/>
      </c>
      <c r="F57" s="37" t="n"/>
      <c r="G57" s="36" t="n"/>
      <c r="H57" s="37" t="n"/>
      <c r="I57" s="37" t="n"/>
      <c r="J57" s="37" t="n"/>
      <c r="K57" s="37" t="n"/>
      <c r="L57" s="36" t="n"/>
      <c r="M57" s="36" t="n"/>
      <c r="N57" s="33">
        <f>IF(M57="","",M57*LotSize)</f>
        <v/>
      </c>
      <c r="O57" s="51" t="n"/>
      <c r="P57" s="32" t="n"/>
      <c r="Q57" s="29" t="n"/>
      <c r="R57" s="30">
        <f>IF(OR(G57="",Q57="",H57=""),"",IF(H57="CE",G57-Q57,Q57-G57))</f>
        <v/>
      </c>
      <c r="S57" s="31">
        <f>IF(R57="","",R57/Q57)</f>
        <v/>
      </c>
      <c r="T57" s="38" t="n"/>
      <c r="U57" s="32" t="n"/>
      <c r="V57" s="52" t="n"/>
      <c r="W57" s="37" t="n"/>
      <c r="X57" s="32" t="n"/>
      <c r="Y57" s="32" t="n"/>
      <c r="Z57" s="39">
        <f>IF(OR(X57="",P57="",N57=""),"",ABS(X57-P57)*N57)</f>
        <v/>
      </c>
      <c r="AA57" s="53">
        <f>IF(OR(Z57="",Y57=""),"",IF(Z57=0,"",ABS(P57-Y57)*N57/Z57))</f>
        <v/>
      </c>
      <c r="AB57" s="54">
        <f>IF(Z57="","",Z57/Capital)</f>
        <v/>
      </c>
      <c r="AC57" s="5">
        <f>IF(B57="","",IF(X57="","NO SL",IF(OR(N(M57)&gt;MaxLots,N(AB57)&gt;RiskPct),"OVERSIZED","OK")))</f>
        <v/>
      </c>
      <c r="AD57" s="51" t="n"/>
      <c r="AE57" s="32" t="n"/>
      <c r="AF57" s="37" t="n"/>
      <c r="AG57" s="32" t="n"/>
      <c r="AH57" s="32" t="n"/>
      <c r="AI57" s="39">
        <f>IF(OR(AG57="",P57="",N57=""),"",ABS(AG57-P57)*N57)</f>
        <v/>
      </c>
      <c r="AJ57" s="39">
        <f>IF(OR(AH57="",P57="",N57=""),"",ABS(P57-AH57)*N57)</f>
        <v/>
      </c>
      <c r="AK57" s="39">
        <f>IF(OR(AE57="",P57="",N57=""),"",IF(I57="Buy",AE57-P57,P57-AE57)*N57)</f>
        <v/>
      </c>
      <c r="AL57" s="39">
        <f>IF(OR(AJ57="",AK57=""),"",MAX(0,AJ57-AK57))</f>
        <v/>
      </c>
      <c r="AM57" s="39">
        <f>IF(AK57="","",(P57+AE57)*N57)</f>
        <v/>
      </c>
      <c r="AN57" s="55">
        <f>IF(AK57="","",BrokeragePerOrder*2*MAX(1,N(L57)))</f>
        <v/>
      </c>
      <c r="AO57" s="55">
        <f>IF(AK57="","",STTRate*IF(I57="Buy",AE57,P57)*N57)</f>
        <v/>
      </c>
      <c r="AP57" s="55">
        <f>IF(AK57="","",ExchRate*AM57)</f>
        <v/>
      </c>
      <c r="AQ57" s="55">
        <f>IF(AK57="","",SEBIRate*AM57)</f>
        <v/>
      </c>
      <c r="AR57" s="55">
        <f>IF(AK57="","",StampRate*IF(I57="Buy",P57,AE57)*N57)</f>
        <v/>
      </c>
      <c r="AS57" s="55">
        <f>IF(AK57="","",GSTRate*(AN57+AP57+AQ57))</f>
        <v/>
      </c>
      <c r="AT57" s="55">
        <f>IF(AK57="","",AN57+AO57+AP57+AQ57+AR57+AS57)</f>
        <v/>
      </c>
      <c r="AU57" s="39">
        <f>IF(AK57="","",AK57-AT57)</f>
        <v/>
      </c>
      <c r="AV57" s="56">
        <f>IF(AU57="","",AU57/IF(N(Z57)&gt;0,Z57,RiskPerTrade))</f>
        <v/>
      </c>
      <c r="AW57" s="31">
        <f>IF(AU57="","",AU57/Capital)</f>
        <v/>
      </c>
      <c r="AX57" s="37" t="n"/>
      <c r="AY57" s="37" t="n"/>
      <c r="AZ57" s="37" t="n"/>
      <c r="BA57" s="37" t="n"/>
      <c r="BB57" s="37" t="n"/>
      <c r="BC57" s="37" t="n"/>
      <c r="BD57" s="37" t="n"/>
      <c r="BE57" s="5">
        <f>IF(AU57="","",IF(AU57&gt;0,"Win",IF(AU57&lt;0,"Loss","BE")))</f>
        <v/>
      </c>
      <c r="BF57" s="5">
        <f>IF(O57="","",LOOKUP(O57,List_BucketStart,List_BucketLabel))</f>
        <v/>
      </c>
      <c r="BG57" s="57">
        <f>IF(B57="","",B57-WEEKDAY(B57,3))</f>
        <v/>
      </c>
      <c r="BH57" s="28">
        <f>IF(B57="","",COUNTIF($B$6:B57,B57))</f>
        <v/>
      </c>
      <c r="BI57" s="39">
        <f>IF(B57="","",SUMIFS($AU$6:AU57,$B$6:B57,B57)-N(AU57))</f>
        <v/>
      </c>
      <c r="BJ57" s="5">
        <f>IF(OR(B57="",E57=""),"",IF(AND(E57=0,I57="Sell",MAX(N(O57),N(AD57))&gt;ExpiryCutoff),"BREACH","OK"))</f>
        <v/>
      </c>
      <c r="BK57" s="5">
        <f>IF(B57="","",IF(OR(AC57&lt;&gt;"OK",BJ57="BREACH",BH57&gt;MaxTradesDay,BI57&lt;=-DailyLossLimit,OR(AF57="Panic",AF57="Revenge",AF57="Rule break")),"CHECK","OK"))</f>
        <v/>
      </c>
      <c r="BL57" s="39">
        <f>IF(AU57="","",SUM($AU$6:AU57))</f>
        <v/>
      </c>
      <c r="BM57" s="39">
        <f>IF(BL57="","",Capital+BL57)</f>
        <v/>
      </c>
      <c r="BN57" s="39">
        <f>IF(BM57="","",MAX(Capital,MAX($BM$6:BM57)))</f>
        <v/>
      </c>
      <c r="BO57" s="39">
        <f>IF(BM57="","",BN57-BM57)</f>
        <v/>
      </c>
      <c r="BP57" s="58">
        <f>IF(BO57="","",BO57/BN57)</f>
        <v/>
      </c>
      <c r="BQ57" s="28">
        <f>IF(AU57="","",IF(AU57&lt;0,N(BQ56)+1,0))</f>
        <v/>
      </c>
    </row>
    <row r="58">
      <c r="A58" s="28">
        <f>IF(B58="","",COUNT($B$6:B58))</f>
        <v/>
      </c>
      <c r="B58" s="27" t="n"/>
      <c r="C58" s="5">
        <f>IF(B58="","",TEXT(B58,"ddd"))</f>
        <v/>
      </c>
      <c r="D58" s="27" t="n"/>
      <c r="E58" s="28">
        <f>IF(OR(B58="",D58=""),"",MAX(0,NETWORKDAYS(B58,D58)-1))</f>
        <v/>
      </c>
      <c r="F58" s="37" t="n"/>
      <c r="G58" s="36" t="n"/>
      <c r="H58" s="37" t="n"/>
      <c r="I58" s="37" t="n"/>
      <c r="J58" s="37" t="n"/>
      <c r="K58" s="37" t="n"/>
      <c r="L58" s="36" t="n"/>
      <c r="M58" s="36" t="n"/>
      <c r="N58" s="33">
        <f>IF(M58="","",M58*LotSize)</f>
        <v/>
      </c>
      <c r="O58" s="51" t="n"/>
      <c r="P58" s="32" t="n"/>
      <c r="Q58" s="29" t="n"/>
      <c r="R58" s="30">
        <f>IF(OR(G58="",Q58="",H58=""),"",IF(H58="CE",G58-Q58,Q58-G58))</f>
        <v/>
      </c>
      <c r="S58" s="31">
        <f>IF(R58="","",R58/Q58)</f>
        <v/>
      </c>
      <c r="T58" s="38" t="n"/>
      <c r="U58" s="32" t="n"/>
      <c r="V58" s="52" t="n"/>
      <c r="W58" s="37" t="n"/>
      <c r="X58" s="32" t="n"/>
      <c r="Y58" s="32" t="n"/>
      <c r="Z58" s="39">
        <f>IF(OR(X58="",P58="",N58=""),"",ABS(X58-P58)*N58)</f>
        <v/>
      </c>
      <c r="AA58" s="53">
        <f>IF(OR(Z58="",Y58=""),"",IF(Z58=0,"",ABS(P58-Y58)*N58/Z58))</f>
        <v/>
      </c>
      <c r="AB58" s="54">
        <f>IF(Z58="","",Z58/Capital)</f>
        <v/>
      </c>
      <c r="AC58" s="5">
        <f>IF(B58="","",IF(X58="","NO SL",IF(OR(N(M58)&gt;MaxLots,N(AB58)&gt;RiskPct),"OVERSIZED","OK")))</f>
        <v/>
      </c>
      <c r="AD58" s="51" t="n"/>
      <c r="AE58" s="32" t="n"/>
      <c r="AF58" s="37" t="n"/>
      <c r="AG58" s="32" t="n"/>
      <c r="AH58" s="32" t="n"/>
      <c r="AI58" s="39">
        <f>IF(OR(AG58="",P58="",N58=""),"",ABS(AG58-P58)*N58)</f>
        <v/>
      </c>
      <c r="AJ58" s="39">
        <f>IF(OR(AH58="",P58="",N58=""),"",ABS(P58-AH58)*N58)</f>
        <v/>
      </c>
      <c r="AK58" s="39">
        <f>IF(OR(AE58="",P58="",N58=""),"",IF(I58="Buy",AE58-P58,P58-AE58)*N58)</f>
        <v/>
      </c>
      <c r="AL58" s="39">
        <f>IF(OR(AJ58="",AK58=""),"",MAX(0,AJ58-AK58))</f>
        <v/>
      </c>
      <c r="AM58" s="39">
        <f>IF(AK58="","",(P58+AE58)*N58)</f>
        <v/>
      </c>
      <c r="AN58" s="55">
        <f>IF(AK58="","",BrokeragePerOrder*2*MAX(1,N(L58)))</f>
        <v/>
      </c>
      <c r="AO58" s="55">
        <f>IF(AK58="","",STTRate*IF(I58="Buy",AE58,P58)*N58)</f>
        <v/>
      </c>
      <c r="AP58" s="55">
        <f>IF(AK58="","",ExchRate*AM58)</f>
        <v/>
      </c>
      <c r="AQ58" s="55">
        <f>IF(AK58="","",SEBIRate*AM58)</f>
        <v/>
      </c>
      <c r="AR58" s="55">
        <f>IF(AK58="","",StampRate*IF(I58="Buy",P58,AE58)*N58)</f>
        <v/>
      </c>
      <c r="AS58" s="55">
        <f>IF(AK58="","",GSTRate*(AN58+AP58+AQ58))</f>
        <v/>
      </c>
      <c r="AT58" s="55">
        <f>IF(AK58="","",AN58+AO58+AP58+AQ58+AR58+AS58)</f>
        <v/>
      </c>
      <c r="AU58" s="39">
        <f>IF(AK58="","",AK58-AT58)</f>
        <v/>
      </c>
      <c r="AV58" s="56">
        <f>IF(AU58="","",AU58/IF(N(Z58)&gt;0,Z58,RiskPerTrade))</f>
        <v/>
      </c>
      <c r="AW58" s="31">
        <f>IF(AU58="","",AU58/Capital)</f>
        <v/>
      </c>
      <c r="AX58" s="37" t="n"/>
      <c r="AY58" s="37" t="n"/>
      <c r="AZ58" s="37" t="n"/>
      <c r="BA58" s="37" t="n"/>
      <c r="BB58" s="37" t="n"/>
      <c r="BC58" s="37" t="n"/>
      <c r="BD58" s="37" t="n"/>
      <c r="BE58" s="5">
        <f>IF(AU58="","",IF(AU58&gt;0,"Win",IF(AU58&lt;0,"Loss","BE")))</f>
        <v/>
      </c>
      <c r="BF58" s="5">
        <f>IF(O58="","",LOOKUP(O58,List_BucketStart,List_BucketLabel))</f>
        <v/>
      </c>
      <c r="BG58" s="57">
        <f>IF(B58="","",B58-WEEKDAY(B58,3))</f>
        <v/>
      </c>
      <c r="BH58" s="28">
        <f>IF(B58="","",COUNTIF($B$6:B58,B58))</f>
        <v/>
      </c>
      <c r="BI58" s="39">
        <f>IF(B58="","",SUMIFS($AU$6:AU58,$B$6:B58,B58)-N(AU58))</f>
        <v/>
      </c>
      <c r="BJ58" s="5">
        <f>IF(OR(B58="",E58=""),"",IF(AND(E58=0,I58="Sell",MAX(N(O58),N(AD58))&gt;ExpiryCutoff),"BREACH","OK"))</f>
        <v/>
      </c>
      <c r="BK58" s="5">
        <f>IF(B58="","",IF(OR(AC58&lt;&gt;"OK",BJ58="BREACH",BH58&gt;MaxTradesDay,BI58&lt;=-DailyLossLimit,OR(AF58="Panic",AF58="Revenge",AF58="Rule break")),"CHECK","OK"))</f>
        <v/>
      </c>
      <c r="BL58" s="39">
        <f>IF(AU58="","",SUM($AU$6:AU58))</f>
        <v/>
      </c>
      <c r="BM58" s="39">
        <f>IF(BL58="","",Capital+BL58)</f>
        <v/>
      </c>
      <c r="BN58" s="39">
        <f>IF(BM58="","",MAX(Capital,MAX($BM$6:BM58)))</f>
        <v/>
      </c>
      <c r="BO58" s="39">
        <f>IF(BM58="","",BN58-BM58)</f>
        <v/>
      </c>
      <c r="BP58" s="58">
        <f>IF(BO58="","",BO58/BN58)</f>
        <v/>
      </c>
      <c r="BQ58" s="28">
        <f>IF(AU58="","",IF(AU58&lt;0,N(BQ57)+1,0))</f>
        <v/>
      </c>
    </row>
    <row r="59">
      <c r="A59" s="28">
        <f>IF(B59="","",COUNT($B$6:B59))</f>
        <v/>
      </c>
      <c r="B59" s="27" t="n"/>
      <c r="C59" s="5">
        <f>IF(B59="","",TEXT(B59,"ddd"))</f>
        <v/>
      </c>
      <c r="D59" s="27" t="n"/>
      <c r="E59" s="28">
        <f>IF(OR(B59="",D59=""),"",MAX(0,NETWORKDAYS(B59,D59)-1))</f>
        <v/>
      </c>
      <c r="F59" s="37" t="n"/>
      <c r="G59" s="36" t="n"/>
      <c r="H59" s="37" t="n"/>
      <c r="I59" s="37" t="n"/>
      <c r="J59" s="37" t="n"/>
      <c r="K59" s="37" t="n"/>
      <c r="L59" s="36" t="n"/>
      <c r="M59" s="36" t="n"/>
      <c r="N59" s="33">
        <f>IF(M59="","",M59*LotSize)</f>
        <v/>
      </c>
      <c r="O59" s="51" t="n"/>
      <c r="P59" s="32" t="n"/>
      <c r="Q59" s="29" t="n"/>
      <c r="R59" s="30">
        <f>IF(OR(G59="",Q59="",H59=""),"",IF(H59="CE",G59-Q59,Q59-G59))</f>
        <v/>
      </c>
      <c r="S59" s="31">
        <f>IF(R59="","",R59/Q59)</f>
        <v/>
      </c>
      <c r="T59" s="38" t="n"/>
      <c r="U59" s="32" t="n"/>
      <c r="V59" s="52" t="n"/>
      <c r="W59" s="37" t="n"/>
      <c r="X59" s="32" t="n"/>
      <c r="Y59" s="32" t="n"/>
      <c r="Z59" s="39">
        <f>IF(OR(X59="",P59="",N59=""),"",ABS(X59-P59)*N59)</f>
        <v/>
      </c>
      <c r="AA59" s="53">
        <f>IF(OR(Z59="",Y59=""),"",IF(Z59=0,"",ABS(P59-Y59)*N59/Z59))</f>
        <v/>
      </c>
      <c r="AB59" s="54">
        <f>IF(Z59="","",Z59/Capital)</f>
        <v/>
      </c>
      <c r="AC59" s="5">
        <f>IF(B59="","",IF(X59="","NO SL",IF(OR(N(M59)&gt;MaxLots,N(AB59)&gt;RiskPct),"OVERSIZED","OK")))</f>
        <v/>
      </c>
      <c r="AD59" s="51" t="n"/>
      <c r="AE59" s="32" t="n"/>
      <c r="AF59" s="37" t="n"/>
      <c r="AG59" s="32" t="n"/>
      <c r="AH59" s="32" t="n"/>
      <c r="AI59" s="39">
        <f>IF(OR(AG59="",P59="",N59=""),"",ABS(AG59-P59)*N59)</f>
        <v/>
      </c>
      <c r="AJ59" s="39">
        <f>IF(OR(AH59="",P59="",N59=""),"",ABS(P59-AH59)*N59)</f>
        <v/>
      </c>
      <c r="AK59" s="39">
        <f>IF(OR(AE59="",P59="",N59=""),"",IF(I59="Buy",AE59-P59,P59-AE59)*N59)</f>
        <v/>
      </c>
      <c r="AL59" s="39">
        <f>IF(OR(AJ59="",AK59=""),"",MAX(0,AJ59-AK59))</f>
        <v/>
      </c>
      <c r="AM59" s="39">
        <f>IF(AK59="","",(P59+AE59)*N59)</f>
        <v/>
      </c>
      <c r="AN59" s="55">
        <f>IF(AK59="","",BrokeragePerOrder*2*MAX(1,N(L59)))</f>
        <v/>
      </c>
      <c r="AO59" s="55">
        <f>IF(AK59="","",STTRate*IF(I59="Buy",AE59,P59)*N59)</f>
        <v/>
      </c>
      <c r="AP59" s="55">
        <f>IF(AK59="","",ExchRate*AM59)</f>
        <v/>
      </c>
      <c r="AQ59" s="55">
        <f>IF(AK59="","",SEBIRate*AM59)</f>
        <v/>
      </c>
      <c r="AR59" s="55">
        <f>IF(AK59="","",StampRate*IF(I59="Buy",P59,AE59)*N59)</f>
        <v/>
      </c>
      <c r="AS59" s="55">
        <f>IF(AK59="","",GSTRate*(AN59+AP59+AQ59))</f>
        <v/>
      </c>
      <c r="AT59" s="55">
        <f>IF(AK59="","",AN59+AO59+AP59+AQ59+AR59+AS59)</f>
        <v/>
      </c>
      <c r="AU59" s="39">
        <f>IF(AK59="","",AK59-AT59)</f>
        <v/>
      </c>
      <c r="AV59" s="56">
        <f>IF(AU59="","",AU59/IF(N(Z59)&gt;0,Z59,RiskPerTrade))</f>
        <v/>
      </c>
      <c r="AW59" s="31">
        <f>IF(AU59="","",AU59/Capital)</f>
        <v/>
      </c>
      <c r="AX59" s="37" t="n"/>
      <c r="AY59" s="37" t="n"/>
      <c r="AZ59" s="37" t="n"/>
      <c r="BA59" s="37" t="n"/>
      <c r="BB59" s="37" t="n"/>
      <c r="BC59" s="37" t="n"/>
      <c r="BD59" s="37" t="n"/>
      <c r="BE59" s="5">
        <f>IF(AU59="","",IF(AU59&gt;0,"Win",IF(AU59&lt;0,"Loss","BE")))</f>
        <v/>
      </c>
      <c r="BF59" s="5">
        <f>IF(O59="","",LOOKUP(O59,List_BucketStart,List_BucketLabel))</f>
        <v/>
      </c>
      <c r="BG59" s="57">
        <f>IF(B59="","",B59-WEEKDAY(B59,3))</f>
        <v/>
      </c>
      <c r="BH59" s="28">
        <f>IF(B59="","",COUNTIF($B$6:B59,B59))</f>
        <v/>
      </c>
      <c r="BI59" s="39">
        <f>IF(B59="","",SUMIFS($AU$6:AU59,$B$6:B59,B59)-N(AU59))</f>
        <v/>
      </c>
      <c r="BJ59" s="5">
        <f>IF(OR(B59="",E59=""),"",IF(AND(E59=0,I59="Sell",MAX(N(O59),N(AD59))&gt;ExpiryCutoff),"BREACH","OK"))</f>
        <v/>
      </c>
      <c r="BK59" s="5">
        <f>IF(B59="","",IF(OR(AC59&lt;&gt;"OK",BJ59="BREACH",BH59&gt;MaxTradesDay,BI59&lt;=-DailyLossLimit,OR(AF59="Panic",AF59="Revenge",AF59="Rule break")),"CHECK","OK"))</f>
        <v/>
      </c>
      <c r="BL59" s="39">
        <f>IF(AU59="","",SUM($AU$6:AU59))</f>
        <v/>
      </c>
      <c r="BM59" s="39">
        <f>IF(BL59="","",Capital+BL59)</f>
        <v/>
      </c>
      <c r="BN59" s="39">
        <f>IF(BM59="","",MAX(Capital,MAX($BM$6:BM59)))</f>
        <v/>
      </c>
      <c r="BO59" s="39">
        <f>IF(BM59="","",BN59-BM59)</f>
        <v/>
      </c>
      <c r="BP59" s="58">
        <f>IF(BO59="","",BO59/BN59)</f>
        <v/>
      </c>
      <c r="BQ59" s="28">
        <f>IF(AU59="","",IF(AU59&lt;0,N(BQ58)+1,0))</f>
        <v/>
      </c>
    </row>
    <row r="60">
      <c r="A60" s="28">
        <f>IF(B60="","",COUNT($B$6:B60))</f>
        <v/>
      </c>
      <c r="B60" s="27" t="n"/>
      <c r="C60" s="5">
        <f>IF(B60="","",TEXT(B60,"ddd"))</f>
        <v/>
      </c>
      <c r="D60" s="27" t="n"/>
      <c r="E60" s="28">
        <f>IF(OR(B60="",D60=""),"",MAX(0,NETWORKDAYS(B60,D60)-1))</f>
        <v/>
      </c>
      <c r="F60" s="37" t="n"/>
      <c r="G60" s="36" t="n"/>
      <c r="H60" s="37" t="n"/>
      <c r="I60" s="37" t="n"/>
      <c r="J60" s="37" t="n"/>
      <c r="K60" s="37" t="n"/>
      <c r="L60" s="36" t="n"/>
      <c r="M60" s="36" t="n"/>
      <c r="N60" s="33">
        <f>IF(M60="","",M60*LotSize)</f>
        <v/>
      </c>
      <c r="O60" s="51" t="n"/>
      <c r="P60" s="32" t="n"/>
      <c r="Q60" s="29" t="n"/>
      <c r="R60" s="30">
        <f>IF(OR(G60="",Q60="",H60=""),"",IF(H60="CE",G60-Q60,Q60-G60))</f>
        <v/>
      </c>
      <c r="S60" s="31">
        <f>IF(R60="","",R60/Q60)</f>
        <v/>
      </c>
      <c r="T60" s="38" t="n"/>
      <c r="U60" s="32" t="n"/>
      <c r="V60" s="52" t="n"/>
      <c r="W60" s="37" t="n"/>
      <c r="X60" s="32" t="n"/>
      <c r="Y60" s="32" t="n"/>
      <c r="Z60" s="39">
        <f>IF(OR(X60="",P60="",N60=""),"",ABS(X60-P60)*N60)</f>
        <v/>
      </c>
      <c r="AA60" s="53">
        <f>IF(OR(Z60="",Y60=""),"",IF(Z60=0,"",ABS(P60-Y60)*N60/Z60))</f>
        <v/>
      </c>
      <c r="AB60" s="54">
        <f>IF(Z60="","",Z60/Capital)</f>
        <v/>
      </c>
      <c r="AC60" s="5">
        <f>IF(B60="","",IF(X60="","NO SL",IF(OR(N(M60)&gt;MaxLots,N(AB60)&gt;RiskPct),"OVERSIZED","OK")))</f>
        <v/>
      </c>
      <c r="AD60" s="51" t="n"/>
      <c r="AE60" s="32" t="n"/>
      <c r="AF60" s="37" t="n"/>
      <c r="AG60" s="32" t="n"/>
      <c r="AH60" s="32" t="n"/>
      <c r="AI60" s="39">
        <f>IF(OR(AG60="",P60="",N60=""),"",ABS(AG60-P60)*N60)</f>
        <v/>
      </c>
      <c r="AJ60" s="39">
        <f>IF(OR(AH60="",P60="",N60=""),"",ABS(P60-AH60)*N60)</f>
        <v/>
      </c>
      <c r="AK60" s="39">
        <f>IF(OR(AE60="",P60="",N60=""),"",IF(I60="Buy",AE60-P60,P60-AE60)*N60)</f>
        <v/>
      </c>
      <c r="AL60" s="39">
        <f>IF(OR(AJ60="",AK60=""),"",MAX(0,AJ60-AK60))</f>
        <v/>
      </c>
      <c r="AM60" s="39">
        <f>IF(AK60="","",(P60+AE60)*N60)</f>
        <v/>
      </c>
      <c r="AN60" s="55">
        <f>IF(AK60="","",BrokeragePerOrder*2*MAX(1,N(L60)))</f>
        <v/>
      </c>
      <c r="AO60" s="55">
        <f>IF(AK60="","",STTRate*IF(I60="Buy",AE60,P60)*N60)</f>
        <v/>
      </c>
      <c r="AP60" s="55">
        <f>IF(AK60="","",ExchRate*AM60)</f>
        <v/>
      </c>
      <c r="AQ60" s="55">
        <f>IF(AK60="","",SEBIRate*AM60)</f>
        <v/>
      </c>
      <c r="AR60" s="55">
        <f>IF(AK60="","",StampRate*IF(I60="Buy",P60,AE60)*N60)</f>
        <v/>
      </c>
      <c r="AS60" s="55">
        <f>IF(AK60="","",GSTRate*(AN60+AP60+AQ60))</f>
        <v/>
      </c>
      <c r="AT60" s="55">
        <f>IF(AK60="","",AN60+AO60+AP60+AQ60+AR60+AS60)</f>
        <v/>
      </c>
      <c r="AU60" s="39">
        <f>IF(AK60="","",AK60-AT60)</f>
        <v/>
      </c>
      <c r="AV60" s="56">
        <f>IF(AU60="","",AU60/IF(N(Z60)&gt;0,Z60,RiskPerTrade))</f>
        <v/>
      </c>
      <c r="AW60" s="31">
        <f>IF(AU60="","",AU60/Capital)</f>
        <v/>
      </c>
      <c r="AX60" s="37" t="n"/>
      <c r="AY60" s="37" t="n"/>
      <c r="AZ60" s="37" t="n"/>
      <c r="BA60" s="37" t="n"/>
      <c r="BB60" s="37" t="n"/>
      <c r="BC60" s="37" t="n"/>
      <c r="BD60" s="37" t="n"/>
      <c r="BE60" s="5">
        <f>IF(AU60="","",IF(AU60&gt;0,"Win",IF(AU60&lt;0,"Loss","BE")))</f>
        <v/>
      </c>
      <c r="BF60" s="5">
        <f>IF(O60="","",LOOKUP(O60,List_BucketStart,List_BucketLabel))</f>
        <v/>
      </c>
      <c r="BG60" s="57">
        <f>IF(B60="","",B60-WEEKDAY(B60,3))</f>
        <v/>
      </c>
      <c r="BH60" s="28">
        <f>IF(B60="","",COUNTIF($B$6:B60,B60))</f>
        <v/>
      </c>
      <c r="BI60" s="39">
        <f>IF(B60="","",SUMIFS($AU$6:AU60,$B$6:B60,B60)-N(AU60))</f>
        <v/>
      </c>
      <c r="BJ60" s="5">
        <f>IF(OR(B60="",E60=""),"",IF(AND(E60=0,I60="Sell",MAX(N(O60),N(AD60))&gt;ExpiryCutoff),"BREACH","OK"))</f>
        <v/>
      </c>
      <c r="BK60" s="5">
        <f>IF(B60="","",IF(OR(AC60&lt;&gt;"OK",BJ60="BREACH",BH60&gt;MaxTradesDay,BI60&lt;=-DailyLossLimit,OR(AF60="Panic",AF60="Revenge",AF60="Rule break")),"CHECK","OK"))</f>
        <v/>
      </c>
      <c r="BL60" s="39">
        <f>IF(AU60="","",SUM($AU$6:AU60))</f>
        <v/>
      </c>
      <c r="BM60" s="39">
        <f>IF(BL60="","",Capital+BL60)</f>
        <v/>
      </c>
      <c r="BN60" s="39">
        <f>IF(BM60="","",MAX(Capital,MAX($BM$6:BM60)))</f>
        <v/>
      </c>
      <c r="BO60" s="39">
        <f>IF(BM60="","",BN60-BM60)</f>
        <v/>
      </c>
      <c r="BP60" s="58">
        <f>IF(BO60="","",BO60/BN60)</f>
        <v/>
      </c>
      <c r="BQ60" s="28">
        <f>IF(AU60="","",IF(AU60&lt;0,N(BQ59)+1,0))</f>
        <v/>
      </c>
    </row>
    <row r="61">
      <c r="A61" s="28">
        <f>IF(B61="","",COUNT($B$6:B61))</f>
        <v/>
      </c>
      <c r="B61" s="27" t="n"/>
      <c r="C61" s="5">
        <f>IF(B61="","",TEXT(B61,"ddd"))</f>
        <v/>
      </c>
      <c r="D61" s="27" t="n"/>
      <c r="E61" s="28">
        <f>IF(OR(B61="",D61=""),"",MAX(0,NETWORKDAYS(B61,D61)-1))</f>
        <v/>
      </c>
      <c r="F61" s="37" t="n"/>
      <c r="G61" s="36" t="n"/>
      <c r="H61" s="37" t="n"/>
      <c r="I61" s="37" t="n"/>
      <c r="J61" s="37" t="n"/>
      <c r="K61" s="37" t="n"/>
      <c r="L61" s="36" t="n"/>
      <c r="M61" s="36" t="n"/>
      <c r="N61" s="33">
        <f>IF(M61="","",M61*LotSize)</f>
        <v/>
      </c>
      <c r="O61" s="51" t="n"/>
      <c r="P61" s="32" t="n"/>
      <c r="Q61" s="29" t="n"/>
      <c r="R61" s="30">
        <f>IF(OR(G61="",Q61="",H61=""),"",IF(H61="CE",G61-Q61,Q61-G61))</f>
        <v/>
      </c>
      <c r="S61" s="31">
        <f>IF(R61="","",R61/Q61)</f>
        <v/>
      </c>
      <c r="T61" s="38" t="n"/>
      <c r="U61" s="32" t="n"/>
      <c r="V61" s="52" t="n"/>
      <c r="W61" s="37" t="n"/>
      <c r="X61" s="32" t="n"/>
      <c r="Y61" s="32" t="n"/>
      <c r="Z61" s="39">
        <f>IF(OR(X61="",P61="",N61=""),"",ABS(X61-P61)*N61)</f>
        <v/>
      </c>
      <c r="AA61" s="53">
        <f>IF(OR(Z61="",Y61=""),"",IF(Z61=0,"",ABS(P61-Y61)*N61/Z61))</f>
        <v/>
      </c>
      <c r="AB61" s="54">
        <f>IF(Z61="","",Z61/Capital)</f>
        <v/>
      </c>
      <c r="AC61" s="5">
        <f>IF(B61="","",IF(X61="","NO SL",IF(OR(N(M61)&gt;MaxLots,N(AB61)&gt;RiskPct),"OVERSIZED","OK")))</f>
        <v/>
      </c>
      <c r="AD61" s="51" t="n"/>
      <c r="AE61" s="32" t="n"/>
      <c r="AF61" s="37" t="n"/>
      <c r="AG61" s="32" t="n"/>
      <c r="AH61" s="32" t="n"/>
      <c r="AI61" s="39">
        <f>IF(OR(AG61="",P61="",N61=""),"",ABS(AG61-P61)*N61)</f>
        <v/>
      </c>
      <c r="AJ61" s="39">
        <f>IF(OR(AH61="",P61="",N61=""),"",ABS(P61-AH61)*N61)</f>
        <v/>
      </c>
      <c r="AK61" s="39">
        <f>IF(OR(AE61="",P61="",N61=""),"",IF(I61="Buy",AE61-P61,P61-AE61)*N61)</f>
        <v/>
      </c>
      <c r="AL61" s="39">
        <f>IF(OR(AJ61="",AK61=""),"",MAX(0,AJ61-AK61))</f>
        <v/>
      </c>
      <c r="AM61" s="39">
        <f>IF(AK61="","",(P61+AE61)*N61)</f>
        <v/>
      </c>
      <c r="AN61" s="55">
        <f>IF(AK61="","",BrokeragePerOrder*2*MAX(1,N(L61)))</f>
        <v/>
      </c>
      <c r="AO61" s="55">
        <f>IF(AK61="","",STTRate*IF(I61="Buy",AE61,P61)*N61)</f>
        <v/>
      </c>
      <c r="AP61" s="55">
        <f>IF(AK61="","",ExchRate*AM61)</f>
        <v/>
      </c>
      <c r="AQ61" s="55">
        <f>IF(AK61="","",SEBIRate*AM61)</f>
        <v/>
      </c>
      <c r="AR61" s="55">
        <f>IF(AK61="","",StampRate*IF(I61="Buy",P61,AE61)*N61)</f>
        <v/>
      </c>
      <c r="AS61" s="55">
        <f>IF(AK61="","",GSTRate*(AN61+AP61+AQ61))</f>
        <v/>
      </c>
      <c r="AT61" s="55">
        <f>IF(AK61="","",AN61+AO61+AP61+AQ61+AR61+AS61)</f>
        <v/>
      </c>
      <c r="AU61" s="39">
        <f>IF(AK61="","",AK61-AT61)</f>
        <v/>
      </c>
      <c r="AV61" s="56">
        <f>IF(AU61="","",AU61/IF(N(Z61)&gt;0,Z61,RiskPerTrade))</f>
        <v/>
      </c>
      <c r="AW61" s="31">
        <f>IF(AU61="","",AU61/Capital)</f>
        <v/>
      </c>
      <c r="AX61" s="37" t="n"/>
      <c r="AY61" s="37" t="n"/>
      <c r="AZ61" s="37" t="n"/>
      <c r="BA61" s="37" t="n"/>
      <c r="BB61" s="37" t="n"/>
      <c r="BC61" s="37" t="n"/>
      <c r="BD61" s="37" t="n"/>
      <c r="BE61" s="5">
        <f>IF(AU61="","",IF(AU61&gt;0,"Win",IF(AU61&lt;0,"Loss","BE")))</f>
        <v/>
      </c>
      <c r="BF61" s="5">
        <f>IF(O61="","",LOOKUP(O61,List_BucketStart,List_BucketLabel))</f>
        <v/>
      </c>
      <c r="BG61" s="57">
        <f>IF(B61="","",B61-WEEKDAY(B61,3))</f>
        <v/>
      </c>
      <c r="BH61" s="28">
        <f>IF(B61="","",COUNTIF($B$6:B61,B61))</f>
        <v/>
      </c>
      <c r="BI61" s="39">
        <f>IF(B61="","",SUMIFS($AU$6:AU61,$B$6:B61,B61)-N(AU61))</f>
        <v/>
      </c>
      <c r="BJ61" s="5">
        <f>IF(OR(B61="",E61=""),"",IF(AND(E61=0,I61="Sell",MAX(N(O61),N(AD61))&gt;ExpiryCutoff),"BREACH","OK"))</f>
        <v/>
      </c>
      <c r="BK61" s="5">
        <f>IF(B61="","",IF(OR(AC61&lt;&gt;"OK",BJ61="BREACH",BH61&gt;MaxTradesDay,BI61&lt;=-DailyLossLimit,OR(AF61="Panic",AF61="Revenge",AF61="Rule break")),"CHECK","OK"))</f>
        <v/>
      </c>
      <c r="BL61" s="39">
        <f>IF(AU61="","",SUM($AU$6:AU61))</f>
        <v/>
      </c>
      <c r="BM61" s="39">
        <f>IF(BL61="","",Capital+BL61)</f>
        <v/>
      </c>
      <c r="BN61" s="39">
        <f>IF(BM61="","",MAX(Capital,MAX($BM$6:BM61)))</f>
        <v/>
      </c>
      <c r="BO61" s="39">
        <f>IF(BM61="","",BN61-BM61)</f>
        <v/>
      </c>
      <c r="BP61" s="58">
        <f>IF(BO61="","",BO61/BN61)</f>
        <v/>
      </c>
      <c r="BQ61" s="28">
        <f>IF(AU61="","",IF(AU61&lt;0,N(BQ60)+1,0))</f>
        <v/>
      </c>
    </row>
    <row r="62">
      <c r="A62" s="28">
        <f>IF(B62="","",COUNT($B$6:B62))</f>
        <v/>
      </c>
      <c r="B62" s="27" t="n"/>
      <c r="C62" s="5">
        <f>IF(B62="","",TEXT(B62,"ddd"))</f>
        <v/>
      </c>
      <c r="D62" s="27" t="n"/>
      <c r="E62" s="28">
        <f>IF(OR(B62="",D62=""),"",MAX(0,NETWORKDAYS(B62,D62)-1))</f>
        <v/>
      </c>
      <c r="F62" s="37" t="n"/>
      <c r="G62" s="36" t="n"/>
      <c r="H62" s="37" t="n"/>
      <c r="I62" s="37" t="n"/>
      <c r="J62" s="37" t="n"/>
      <c r="K62" s="37" t="n"/>
      <c r="L62" s="36" t="n"/>
      <c r="M62" s="36" t="n"/>
      <c r="N62" s="33">
        <f>IF(M62="","",M62*LotSize)</f>
        <v/>
      </c>
      <c r="O62" s="51" t="n"/>
      <c r="P62" s="32" t="n"/>
      <c r="Q62" s="29" t="n"/>
      <c r="R62" s="30">
        <f>IF(OR(G62="",Q62="",H62=""),"",IF(H62="CE",G62-Q62,Q62-G62))</f>
        <v/>
      </c>
      <c r="S62" s="31">
        <f>IF(R62="","",R62/Q62)</f>
        <v/>
      </c>
      <c r="T62" s="38" t="n"/>
      <c r="U62" s="32" t="n"/>
      <c r="V62" s="52" t="n"/>
      <c r="W62" s="37" t="n"/>
      <c r="X62" s="32" t="n"/>
      <c r="Y62" s="32" t="n"/>
      <c r="Z62" s="39">
        <f>IF(OR(X62="",P62="",N62=""),"",ABS(X62-P62)*N62)</f>
        <v/>
      </c>
      <c r="AA62" s="53">
        <f>IF(OR(Z62="",Y62=""),"",IF(Z62=0,"",ABS(P62-Y62)*N62/Z62))</f>
        <v/>
      </c>
      <c r="AB62" s="54">
        <f>IF(Z62="","",Z62/Capital)</f>
        <v/>
      </c>
      <c r="AC62" s="5">
        <f>IF(B62="","",IF(X62="","NO SL",IF(OR(N(M62)&gt;MaxLots,N(AB62)&gt;RiskPct),"OVERSIZED","OK")))</f>
        <v/>
      </c>
      <c r="AD62" s="51" t="n"/>
      <c r="AE62" s="32" t="n"/>
      <c r="AF62" s="37" t="n"/>
      <c r="AG62" s="32" t="n"/>
      <c r="AH62" s="32" t="n"/>
      <c r="AI62" s="39">
        <f>IF(OR(AG62="",P62="",N62=""),"",ABS(AG62-P62)*N62)</f>
        <v/>
      </c>
      <c r="AJ62" s="39">
        <f>IF(OR(AH62="",P62="",N62=""),"",ABS(P62-AH62)*N62)</f>
        <v/>
      </c>
      <c r="AK62" s="39">
        <f>IF(OR(AE62="",P62="",N62=""),"",IF(I62="Buy",AE62-P62,P62-AE62)*N62)</f>
        <v/>
      </c>
      <c r="AL62" s="39">
        <f>IF(OR(AJ62="",AK62=""),"",MAX(0,AJ62-AK62))</f>
        <v/>
      </c>
      <c r="AM62" s="39">
        <f>IF(AK62="","",(P62+AE62)*N62)</f>
        <v/>
      </c>
      <c r="AN62" s="55">
        <f>IF(AK62="","",BrokeragePerOrder*2*MAX(1,N(L62)))</f>
        <v/>
      </c>
      <c r="AO62" s="55">
        <f>IF(AK62="","",STTRate*IF(I62="Buy",AE62,P62)*N62)</f>
        <v/>
      </c>
      <c r="AP62" s="55">
        <f>IF(AK62="","",ExchRate*AM62)</f>
        <v/>
      </c>
      <c r="AQ62" s="55">
        <f>IF(AK62="","",SEBIRate*AM62)</f>
        <v/>
      </c>
      <c r="AR62" s="55">
        <f>IF(AK62="","",StampRate*IF(I62="Buy",P62,AE62)*N62)</f>
        <v/>
      </c>
      <c r="AS62" s="55">
        <f>IF(AK62="","",GSTRate*(AN62+AP62+AQ62))</f>
        <v/>
      </c>
      <c r="AT62" s="55">
        <f>IF(AK62="","",AN62+AO62+AP62+AQ62+AR62+AS62)</f>
        <v/>
      </c>
      <c r="AU62" s="39">
        <f>IF(AK62="","",AK62-AT62)</f>
        <v/>
      </c>
      <c r="AV62" s="56">
        <f>IF(AU62="","",AU62/IF(N(Z62)&gt;0,Z62,RiskPerTrade))</f>
        <v/>
      </c>
      <c r="AW62" s="31">
        <f>IF(AU62="","",AU62/Capital)</f>
        <v/>
      </c>
      <c r="AX62" s="37" t="n"/>
      <c r="AY62" s="37" t="n"/>
      <c r="AZ62" s="37" t="n"/>
      <c r="BA62" s="37" t="n"/>
      <c r="BB62" s="37" t="n"/>
      <c r="BC62" s="37" t="n"/>
      <c r="BD62" s="37" t="n"/>
      <c r="BE62" s="5">
        <f>IF(AU62="","",IF(AU62&gt;0,"Win",IF(AU62&lt;0,"Loss","BE")))</f>
        <v/>
      </c>
      <c r="BF62" s="5">
        <f>IF(O62="","",LOOKUP(O62,List_BucketStart,List_BucketLabel))</f>
        <v/>
      </c>
      <c r="BG62" s="57">
        <f>IF(B62="","",B62-WEEKDAY(B62,3))</f>
        <v/>
      </c>
      <c r="BH62" s="28">
        <f>IF(B62="","",COUNTIF($B$6:B62,B62))</f>
        <v/>
      </c>
      <c r="BI62" s="39">
        <f>IF(B62="","",SUMIFS($AU$6:AU62,$B$6:B62,B62)-N(AU62))</f>
        <v/>
      </c>
      <c r="BJ62" s="5">
        <f>IF(OR(B62="",E62=""),"",IF(AND(E62=0,I62="Sell",MAX(N(O62),N(AD62))&gt;ExpiryCutoff),"BREACH","OK"))</f>
        <v/>
      </c>
      <c r="BK62" s="5">
        <f>IF(B62="","",IF(OR(AC62&lt;&gt;"OK",BJ62="BREACH",BH62&gt;MaxTradesDay,BI62&lt;=-DailyLossLimit,OR(AF62="Panic",AF62="Revenge",AF62="Rule break")),"CHECK","OK"))</f>
        <v/>
      </c>
      <c r="BL62" s="39">
        <f>IF(AU62="","",SUM($AU$6:AU62))</f>
        <v/>
      </c>
      <c r="BM62" s="39">
        <f>IF(BL62="","",Capital+BL62)</f>
        <v/>
      </c>
      <c r="BN62" s="39">
        <f>IF(BM62="","",MAX(Capital,MAX($BM$6:BM62)))</f>
        <v/>
      </c>
      <c r="BO62" s="39">
        <f>IF(BM62="","",BN62-BM62)</f>
        <v/>
      </c>
      <c r="BP62" s="58">
        <f>IF(BO62="","",BO62/BN62)</f>
        <v/>
      </c>
      <c r="BQ62" s="28">
        <f>IF(AU62="","",IF(AU62&lt;0,N(BQ61)+1,0))</f>
        <v/>
      </c>
    </row>
    <row r="63">
      <c r="A63" s="28">
        <f>IF(B63="","",COUNT($B$6:B63))</f>
        <v/>
      </c>
      <c r="B63" s="27" t="n"/>
      <c r="C63" s="5">
        <f>IF(B63="","",TEXT(B63,"ddd"))</f>
        <v/>
      </c>
      <c r="D63" s="27" t="n"/>
      <c r="E63" s="28">
        <f>IF(OR(B63="",D63=""),"",MAX(0,NETWORKDAYS(B63,D63)-1))</f>
        <v/>
      </c>
      <c r="F63" s="37" t="n"/>
      <c r="G63" s="36" t="n"/>
      <c r="H63" s="37" t="n"/>
      <c r="I63" s="37" t="n"/>
      <c r="J63" s="37" t="n"/>
      <c r="K63" s="37" t="n"/>
      <c r="L63" s="36" t="n"/>
      <c r="M63" s="36" t="n"/>
      <c r="N63" s="33">
        <f>IF(M63="","",M63*LotSize)</f>
        <v/>
      </c>
      <c r="O63" s="51" t="n"/>
      <c r="P63" s="32" t="n"/>
      <c r="Q63" s="29" t="n"/>
      <c r="R63" s="30">
        <f>IF(OR(G63="",Q63="",H63=""),"",IF(H63="CE",G63-Q63,Q63-G63))</f>
        <v/>
      </c>
      <c r="S63" s="31">
        <f>IF(R63="","",R63/Q63)</f>
        <v/>
      </c>
      <c r="T63" s="38" t="n"/>
      <c r="U63" s="32" t="n"/>
      <c r="V63" s="52" t="n"/>
      <c r="W63" s="37" t="n"/>
      <c r="X63" s="32" t="n"/>
      <c r="Y63" s="32" t="n"/>
      <c r="Z63" s="39">
        <f>IF(OR(X63="",P63="",N63=""),"",ABS(X63-P63)*N63)</f>
        <v/>
      </c>
      <c r="AA63" s="53">
        <f>IF(OR(Z63="",Y63=""),"",IF(Z63=0,"",ABS(P63-Y63)*N63/Z63))</f>
        <v/>
      </c>
      <c r="AB63" s="54">
        <f>IF(Z63="","",Z63/Capital)</f>
        <v/>
      </c>
      <c r="AC63" s="5">
        <f>IF(B63="","",IF(X63="","NO SL",IF(OR(N(M63)&gt;MaxLots,N(AB63)&gt;RiskPct),"OVERSIZED","OK")))</f>
        <v/>
      </c>
      <c r="AD63" s="51" t="n"/>
      <c r="AE63" s="32" t="n"/>
      <c r="AF63" s="37" t="n"/>
      <c r="AG63" s="32" t="n"/>
      <c r="AH63" s="32" t="n"/>
      <c r="AI63" s="39">
        <f>IF(OR(AG63="",P63="",N63=""),"",ABS(AG63-P63)*N63)</f>
        <v/>
      </c>
      <c r="AJ63" s="39">
        <f>IF(OR(AH63="",P63="",N63=""),"",ABS(P63-AH63)*N63)</f>
        <v/>
      </c>
      <c r="AK63" s="39">
        <f>IF(OR(AE63="",P63="",N63=""),"",IF(I63="Buy",AE63-P63,P63-AE63)*N63)</f>
        <v/>
      </c>
      <c r="AL63" s="39">
        <f>IF(OR(AJ63="",AK63=""),"",MAX(0,AJ63-AK63))</f>
        <v/>
      </c>
      <c r="AM63" s="39">
        <f>IF(AK63="","",(P63+AE63)*N63)</f>
        <v/>
      </c>
      <c r="AN63" s="55">
        <f>IF(AK63="","",BrokeragePerOrder*2*MAX(1,N(L63)))</f>
        <v/>
      </c>
      <c r="AO63" s="55">
        <f>IF(AK63="","",STTRate*IF(I63="Buy",AE63,P63)*N63)</f>
        <v/>
      </c>
      <c r="AP63" s="55">
        <f>IF(AK63="","",ExchRate*AM63)</f>
        <v/>
      </c>
      <c r="AQ63" s="55">
        <f>IF(AK63="","",SEBIRate*AM63)</f>
        <v/>
      </c>
      <c r="AR63" s="55">
        <f>IF(AK63="","",StampRate*IF(I63="Buy",P63,AE63)*N63)</f>
        <v/>
      </c>
      <c r="AS63" s="55">
        <f>IF(AK63="","",GSTRate*(AN63+AP63+AQ63))</f>
        <v/>
      </c>
      <c r="AT63" s="55">
        <f>IF(AK63="","",AN63+AO63+AP63+AQ63+AR63+AS63)</f>
        <v/>
      </c>
      <c r="AU63" s="39">
        <f>IF(AK63="","",AK63-AT63)</f>
        <v/>
      </c>
      <c r="AV63" s="56">
        <f>IF(AU63="","",AU63/IF(N(Z63)&gt;0,Z63,RiskPerTrade))</f>
        <v/>
      </c>
      <c r="AW63" s="31">
        <f>IF(AU63="","",AU63/Capital)</f>
        <v/>
      </c>
      <c r="AX63" s="37" t="n"/>
      <c r="AY63" s="37" t="n"/>
      <c r="AZ63" s="37" t="n"/>
      <c r="BA63" s="37" t="n"/>
      <c r="BB63" s="37" t="n"/>
      <c r="BC63" s="37" t="n"/>
      <c r="BD63" s="37" t="n"/>
      <c r="BE63" s="5">
        <f>IF(AU63="","",IF(AU63&gt;0,"Win",IF(AU63&lt;0,"Loss","BE")))</f>
        <v/>
      </c>
      <c r="BF63" s="5">
        <f>IF(O63="","",LOOKUP(O63,List_BucketStart,List_BucketLabel))</f>
        <v/>
      </c>
      <c r="BG63" s="57">
        <f>IF(B63="","",B63-WEEKDAY(B63,3))</f>
        <v/>
      </c>
      <c r="BH63" s="28">
        <f>IF(B63="","",COUNTIF($B$6:B63,B63))</f>
        <v/>
      </c>
      <c r="BI63" s="39">
        <f>IF(B63="","",SUMIFS($AU$6:AU63,$B$6:B63,B63)-N(AU63))</f>
        <v/>
      </c>
      <c r="BJ63" s="5">
        <f>IF(OR(B63="",E63=""),"",IF(AND(E63=0,I63="Sell",MAX(N(O63),N(AD63))&gt;ExpiryCutoff),"BREACH","OK"))</f>
        <v/>
      </c>
      <c r="BK63" s="5">
        <f>IF(B63="","",IF(OR(AC63&lt;&gt;"OK",BJ63="BREACH",BH63&gt;MaxTradesDay,BI63&lt;=-DailyLossLimit,OR(AF63="Panic",AF63="Revenge",AF63="Rule break")),"CHECK","OK"))</f>
        <v/>
      </c>
      <c r="BL63" s="39">
        <f>IF(AU63="","",SUM($AU$6:AU63))</f>
        <v/>
      </c>
      <c r="BM63" s="39">
        <f>IF(BL63="","",Capital+BL63)</f>
        <v/>
      </c>
      <c r="BN63" s="39">
        <f>IF(BM63="","",MAX(Capital,MAX($BM$6:BM63)))</f>
        <v/>
      </c>
      <c r="BO63" s="39">
        <f>IF(BM63="","",BN63-BM63)</f>
        <v/>
      </c>
      <c r="BP63" s="58">
        <f>IF(BO63="","",BO63/BN63)</f>
        <v/>
      </c>
      <c r="BQ63" s="28">
        <f>IF(AU63="","",IF(AU63&lt;0,N(BQ62)+1,0))</f>
        <v/>
      </c>
    </row>
    <row r="64">
      <c r="A64" s="28">
        <f>IF(B64="","",COUNT($B$6:B64))</f>
        <v/>
      </c>
      <c r="B64" s="27" t="n"/>
      <c r="C64" s="5">
        <f>IF(B64="","",TEXT(B64,"ddd"))</f>
        <v/>
      </c>
      <c r="D64" s="27" t="n"/>
      <c r="E64" s="28">
        <f>IF(OR(B64="",D64=""),"",MAX(0,NETWORKDAYS(B64,D64)-1))</f>
        <v/>
      </c>
      <c r="F64" s="37" t="n"/>
      <c r="G64" s="36" t="n"/>
      <c r="H64" s="37" t="n"/>
      <c r="I64" s="37" t="n"/>
      <c r="J64" s="37" t="n"/>
      <c r="K64" s="37" t="n"/>
      <c r="L64" s="36" t="n"/>
      <c r="M64" s="36" t="n"/>
      <c r="N64" s="33">
        <f>IF(M64="","",M64*LotSize)</f>
        <v/>
      </c>
      <c r="O64" s="51" t="n"/>
      <c r="P64" s="32" t="n"/>
      <c r="Q64" s="29" t="n"/>
      <c r="R64" s="30">
        <f>IF(OR(G64="",Q64="",H64=""),"",IF(H64="CE",G64-Q64,Q64-G64))</f>
        <v/>
      </c>
      <c r="S64" s="31">
        <f>IF(R64="","",R64/Q64)</f>
        <v/>
      </c>
      <c r="T64" s="38" t="n"/>
      <c r="U64" s="32" t="n"/>
      <c r="V64" s="52" t="n"/>
      <c r="W64" s="37" t="n"/>
      <c r="X64" s="32" t="n"/>
      <c r="Y64" s="32" t="n"/>
      <c r="Z64" s="39">
        <f>IF(OR(X64="",P64="",N64=""),"",ABS(X64-P64)*N64)</f>
        <v/>
      </c>
      <c r="AA64" s="53">
        <f>IF(OR(Z64="",Y64=""),"",IF(Z64=0,"",ABS(P64-Y64)*N64/Z64))</f>
        <v/>
      </c>
      <c r="AB64" s="54">
        <f>IF(Z64="","",Z64/Capital)</f>
        <v/>
      </c>
      <c r="AC64" s="5">
        <f>IF(B64="","",IF(X64="","NO SL",IF(OR(N(M64)&gt;MaxLots,N(AB64)&gt;RiskPct),"OVERSIZED","OK")))</f>
        <v/>
      </c>
      <c r="AD64" s="51" t="n"/>
      <c r="AE64" s="32" t="n"/>
      <c r="AF64" s="37" t="n"/>
      <c r="AG64" s="32" t="n"/>
      <c r="AH64" s="32" t="n"/>
      <c r="AI64" s="39">
        <f>IF(OR(AG64="",P64="",N64=""),"",ABS(AG64-P64)*N64)</f>
        <v/>
      </c>
      <c r="AJ64" s="39">
        <f>IF(OR(AH64="",P64="",N64=""),"",ABS(P64-AH64)*N64)</f>
        <v/>
      </c>
      <c r="AK64" s="39">
        <f>IF(OR(AE64="",P64="",N64=""),"",IF(I64="Buy",AE64-P64,P64-AE64)*N64)</f>
        <v/>
      </c>
      <c r="AL64" s="39">
        <f>IF(OR(AJ64="",AK64=""),"",MAX(0,AJ64-AK64))</f>
        <v/>
      </c>
      <c r="AM64" s="39">
        <f>IF(AK64="","",(P64+AE64)*N64)</f>
        <v/>
      </c>
      <c r="AN64" s="55">
        <f>IF(AK64="","",BrokeragePerOrder*2*MAX(1,N(L64)))</f>
        <v/>
      </c>
      <c r="AO64" s="55">
        <f>IF(AK64="","",STTRate*IF(I64="Buy",AE64,P64)*N64)</f>
        <v/>
      </c>
      <c r="AP64" s="55">
        <f>IF(AK64="","",ExchRate*AM64)</f>
        <v/>
      </c>
      <c r="AQ64" s="55">
        <f>IF(AK64="","",SEBIRate*AM64)</f>
        <v/>
      </c>
      <c r="AR64" s="55">
        <f>IF(AK64="","",StampRate*IF(I64="Buy",P64,AE64)*N64)</f>
        <v/>
      </c>
      <c r="AS64" s="55">
        <f>IF(AK64="","",GSTRate*(AN64+AP64+AQ64))</f>
        <v/>
      </c>
      <c r="AT64" s="55">
        <f>IF(AK64="","",AN64+AO64+AP64+AQ64+AR64+AS64)</f>
        <v/>
      </c>
      <c r="AU64" s="39">
        <f>IF(AK64="","",AK64-AT64)</f>
        <v/>
      </c>
      <c r="AV64" s="56">
        <f>IF(AU64="","",AU64/IF(N(Z64)&gt;0,Z64,RiskPerTrade))</f>
        <v/>
      </c>
      <c r="AW64" s="31">
        <f>IF(AU64="","",AU64/Capital)</f>
        <v/>
      </c>
      <c r="AX64" s="37" t="n"/>
      <c r="AY64" s="37" t="n"/>
      <c r="AZ64" s="37" t="n"/>
      <c r="BA64" s="37" t="n"/>
      <c r="BB64" s="37" t="n"/>
      <c r="BC64" s="37" t="n"/>
      <c r="BD64" s="37" t="n"/>
      <c r="BE64" s="5">
        <f>IF(AU64="","",IF(AU64&gt;0,"Win",IF(AU64&lt;0,"Loss","BE")))</f>
        <v/>
      </c>
      <c r="BF64" s="5">
        <f>IF(O64="","",LOOKUP(O64,List_BucketStart,List_BucketLabel))</f>
        <v/>
      </c>
      <c r="BG64" s="57">
        <f>IF(B64="","",B64-WEEKDAY(B64,3))</f>
        <v/>
      </c>
      <c r="BH64" s="28">
        <f>IF(B64="","",COUNTIF($B$6:B64,B64))</f>
        <v/>
      </c>
      <c r="BI64" s="39">
        <f>IF(B64="","",SUMIFS($AU$6:AU64,$B$6:B64,B64)-N(AU64))</f>
        <v/>
      </c>
      <c r="BJ64" s="5">
        <f>IF(OR(B64="",E64=""),"",IF(AND(E64=0,I64="Sell",MAX(N(O64),N(AD64))&gt;ExpiryCutoff),"BREACH","OK"))</f>
        <v/>
      </c>
      <c r="BK64" s="5">
        <f>IF(B64="","",IF(OR(AC64&lt;&gt;"OK",BJ64="BREACH",BH64&gt;MaxTradesDay,BI64&lt;=-DailyLossLimit,OR(AF64="Panic",AF64="Revenge",AF64="Rule break")),"CHECK","OK"))</f>
        <v/>
      </c>
      <c r="BL64" s="39">
        <f>IF(AU64="","",SUM($AU$6:AU64))</f>
        <v/>
      </c>
      <c r="BM64" s="39">
        <f>IF(BL64="","",Capital+BL64)</f>
        <v/>
      </c>
      <c r="BN64" s="39">
        <f>IF(BM64="","",MAX(Capital,MAX($BM$6:BM64)))</f>
        <v/>
      </c>
      <c r="BO64" s="39">
        <f>IF(BM64="","",BN64-BM64)</f>
        <v/>
      </c>
      <c r="BP64" s="58">
        <f>IF(BO64="","",BO64/BN64)</f>
        <v/>
      </c>
      <c r="BQ64" s="28">
        <f>IF(AU64="","",IF(AU64&lt;0,N(BQ63)+1,0))</f>
        <v/>
      </c>
    </row>
    <row r="65">
      <c r="A65" s="28">
        <f>IF(B65="","",COUNT($B$6:B65))</f>
        <v/>
      </c>
      <c r="B65" s="27" t="n"/>
      <c r="C65" s="5">
        <f>IF(B65="","",TEXT(B65,"ddd"))</f>
        <v/>
      </c>
      <c r="D65" s="27" t="n"/>
      <c r="E65" s="28">
        <f>IF(OR(B65="",D65=""),"",MAX(0,NETWORKDAYS(B65,D65)-1))</f>
        <v/>
      </c>
      <c r="F65" s="37" t="n"/>
      <c r="G65" s="36" t="n"/>
      <c r="H65" s="37" t="n"/>
      <c r="I65" s="37" t="n"/>
      <c r="J65" s="37" t="n"/>
      <c r="K65" s="37" t="n"/>
      <c r="L65" s="36" t="n"/>
      <c r="M65" s="36" t="n"/>
      <c r="N65" s="33">
        <f>IF(M65="","",M65*LotSize)</f>
        <v/>
      </c>
      <c r="O65" s="51" t="n"/>
      <c r="P65" s="32" t="n"/>
      <c r="Q65" s="29" t="n"/>
      <c r="R65" s="30">
        <f>IF(OR(G65="",Q65="",H65=""),"",IF(H65="CE",G65-Q65,Q65-G65))</f>
        <v/>
      </c>
      <c r="S65" s="31">
        <f>IF(R65="","",R65/Q65)</f>
        <v/>
      </c>
      <c r="T65" s="38" t="n"/>
      <c r="U65" s="32" t="n"/>
      <c r="V65" s="52" t="n"/>
      <c r="W65" s="37" t="n"/>
      <c r="X65" s="32" t="n"/>
      <c r="Y65" s="32" t="n"/>
      <c r="Z65" s="39">
        <f>IF(OR(X65="",P65="",N65=""),"",ABS(X65-P65)*N65)</f>
        <v/>
      </c>
      <c r="AA65" s="53">
        <f>IF(OR(Z65="",Y65=""),"",IF(Z65=0,"",ABS(P65-Y65)*N65/Z65))</f>
        <v/>
      </c>
      <c r="AB65" s="54">
        <f>IF(Z65="","",Z65/Capital)</f>
        <v/>
      </c>
      <c r="AC65" s="5">
        <f>IF(B65="","",IF(X65="","NO SL",IF(OR(N(M65)&gt;MaxLots,N(AB65)&gt;RiskPct),"OVERSIZED","OK")))</f>
        <v/>
      </c>
      <c r="AD65" s="51" t="n"/>
      <c r="AE65" s="32" t="n"/>
      <c r="AF65" s="37" t="n"/>
      <c r="AG65" s="32" t="n"/>
      <c r="AH65" s="32" t="n"/>
      <c r="AI65" s="39">
        <f>IF(OR(AG65="",P65="",N65=""),"",ABS(AG65-P65)*N65)</f>
        <v/>
      </c>
      <c r="AJ65" s="39">
        <f>IF(OR(AH65="",P65="",N65=""),"",ABS(P65-AH65)*N65)</f>
        <v/>
      </c>
      <c r="AK65" s="39">
        <f>IF(OR(AE65="",P65="",N65=""),"",IF(I65="Buy",AE65-P65,P65-AE65)*N65)</f>
        <v/>
      </c>
      <c r="AL65" s="39">
        <f>IF(OR(AJ65="",AK65=""),"",MAX(0,AJ65-AK65))</f>
        <v/>
      </c>
      <c r="AM65" s="39">
        <f>IF(AK65="","",(P65+AE65)*N65)</f>
        <v/>
      </c>
      <c r="AN65" s="55">
        <f>IF(AK65="","",BrokeragePerOrder*2*MAX(1,N(L65)))</f>
        <v/>
      </c>
      <c r="AO65" s="55">
        <f>IF(AK65="","",STTRate*IF(I65="Buy",AE65,P65)*N65)</f>
        <v/>
      </c>
      <c r="AP65" s="55">
        <f>IF(AK65="","",ExchRate*AM65)</f>
        <v/>
      </c>
      <c r="AQ65" s="55">
        <f>IF(AK65="","",SEBIRate*AM65)</f>
        <v/>
      </c>
      <c r="AR65" s="55">
        <f>IF(AK65="","",StampRate*IF(I65="Buy",P65,AE65)*N65)</f>
        <v/>
      </c>
      <c r="AS65" s="55">
        <f>IF(AK65="","",GSTRate*(AN65+AP65+AQ65))</f>
        <v/>
      </c>
      <c r="AT65" s="55">
        <f>IF(AK65="","",AN65+AO65+AP65+AQ65+AR65+AS65)</f>
        <v/>
      </c>
      <c r="AU65" s="39">
        <f>IF(AK65="","",AK65-AT65)</f>
        <v/>
      </c>
      <c r="AV65" s="56">
        <f>IF(AU65="","",AU65/IF(N(Z65)&gt;0,Z65,RiskPerTrade))</f>
        <v/>
      </c>
      <c r="AW65" s="31">
        <f>IF(AU65="","",AU65/Capital)</f>
        <v/>
      </c>
      <c r="AX65" s="37" t="n"/>
      <c r="AY65" s="37" t="n"/>
      <c r="AZ65" s="37" t="n"/>
      <c r="BA65" s="37" t="n"/>
      <c r="BB65" s="37" t="n"/>
      <c r="BC65" s="37" t="n"/>
      <c r="BD65" s="37" t="n"/>
      <c r="BE65" s="5">
        <f>IF(AU65="","",IF(AU65&gt;0,"Win",IF(AU65&lt;0,"Loss","BE")))</f>
        <v/>
      </c>
      <c r="BF65" s="5">
        <f>IF(O65="","",LOOKUP(O65,List_BucketStart,List_BucketLabel))</f>
        <v/>
      </c>
      <c r="BG65" s="57">
        <f>IF(B65="","",B65-WEEKDAY(B65,3))</f>
        <v/>
      </c>
      <c r="BH65" s="28">
        <f>IF(B65="","",COUNTIF($B$6:B65,B65))</f>
        <v/>
      </c>
      <c r="BI65" s="39">
        <f>IF(B65="","",SUMIFS($AU$6:AU65,$B$6:B65,B65)-N(AU65))</f>
        <v/>
      </c>
      <c r="BJ65" s="5">
        <f>IF(OR(B65="",E65=""),"",IF(AND(E65=0,I65="Sell",MAX(N(O65),N(AD65))&gt;ExpiryCutoff),"BREACH","OK"))</f>
        <v/>
      </c>
      <c r="BK65" s="5">
        <f>IF(B65="","",IF(OR(AC65&lt;&gt;"OK",BJ65="BREACH",BH65&gt;MaxTradesDay,BI65&lt;=-DailyLossLimit,OR(AF65="Panic",AF65="Revenge",AF65="Rule break")),"CHECK","OK"))</f>
        <v/>
      </c>
      <c r="BL65" s="39">
        <f>IF(AU65="","",SUM($AU$6:AU65))</f>
        <v/>
      </c>
      <c r="BM65" s="39">
        <f>IF(BL65="","",Capital+BL65)</f>
        <v/>
      </c>
      <c r="BN65" s="39">
        <f>IF(BM65="","",MAX(Capital,MAX($BM$6:BM65)))</f>
        <v/>
      </c>
      <c r="BO65" s="39">
        <f>IF(BM65="","",BN65-BM65)</f>
        <v/>
      </c>
      <c r="BP65" s="58">
        <f>IF(BO65="","",BO65/BN65)</f>
        <v/>
      </c>
      <c r="BQ65" s="28">
        <f>IF(AU65="","",IF(AU65&lt;0,N(BQ64)+1,0))</f>
        <v/>
      </c>
    </row>
    <row r="66">
      <c r="A66" s="28">
        <f>IF(B66="","",COUNT($B$6:B66))</f>
        <v/>
      </c>
      <c r="B66" s="27" t="n"/>
      <c r="C66" s="5">
        <f>IF(B66="","",TEXT(B66,"ddd"))</f>
        <v/>
      </c>
      <c r="D66" s="27" t="n"/>
      <c r="E66" s="28">
        <f>IF(OR(B66="",D66=""),"",MAX(0,NETWORKDAYS(B66,D66)-1))</f>
        <v/>
      </c>
      <c r="F66" s="37" t="n"/>
      <c r="G66" s="36" t="n"/>
      <c r="H66" s="37" t="n"/>
      <c r="I66" s="37" t="n"/>
      <c r="J66" s="37" t="n"/>
      <c r="K66" s="37" t="n"/>
      <c r="L66" s="36" t="n"/>
      <c r="M66" s="36" t="n"/>
      <c r="N66" s="33">
        <f>IF(M66="","",M66*LotSize)</f>
        <v/>
      </c>
      <c r="O66" s="51" t="n"/>
      <c r="P66" s="32" t="n"/>
      <c r="Q66" s="29" t="n"/>
      <c r="R66" s="30">
        <f>IF(OR(G66="",Q66="",H66=""),"",IF(H66="CE",G66-Q66,Q66-G66))</f>
        <v/>
      </c>
      <c r="S66" s="31">
        <f>IF(R66="","",R66/Q66)</f>
        <v/>
      </c>
      <c r="T66" s="38" t="n"/>
      <c r="U66" s="32" t="n"/>
      <c r="V66" s="52" t="n"/>
      <c r="W66" s="37" t="n"/>
      <c r="X66" s="32" t="n"/>
      <c r="Y66" s="32" t="n"/>
      <c r="Z66" s="39">
        <f>IF(OR(X66="",P66="",N66=""),"",ABS(X66-P66)*N66)</f>
        <v/>
      </c>
      <c r="AA66" s="53">
        <f>IF(OR(Z66="",Y66=""),"",IF(Z66=0,"",ABS(P66-Y66)*N66/Z66))</f>
        <v/>
      </c>
      <c r="AB66" s="54">
        <f>IF(Z66="","",Z66/Capital)</f>
        <v/>
      </c>
      <c r="AC66" s="5">
        <f>IF(B66="","",IF(X66="","NO SL",IF(OR(N(M66)&gt;MaxLots,N(AB66)&gt;RiskPct),"OVERSIZED","OK")))</f>
        <v/>
      </c>
      <c r="AD66" s="51" t="n"/>
      <c r="AE66" s="32" t="n"/>
      <c r="AF66" s="37" t="n"/>
      <c r="AG66" s="32" t="n"/>
      <c r="AH66" s="32" t="n"/>
      <c r="AI66" s="39">
        <f>IF(OR(AG66="",P66="",N66=""),"",ABS(AG66-P66)*N66)</f>
        <v/>
      </c>
      <c r="AJ66" s="39">
        <f>IF(OR(AH66="",P66="",N66=""),"",ABS(P66-AH66)*N66)</f>
        <v/>
      </c>
      <c r="AK66" s="39">
        <f>IF(OR(AE66="",P66="",N66=""),"",IF(I66="Buy",AE66-P66,P66-AE66)*N66)</f>
        <v/>
      </c>
      <c r="AL66" s="39">
        <f>IF(OR(AJ66="",AK66=""),"",MAX(0,AJ66-AK66))</f>
        <v/>
      </c>
      <c r="AM66" s="39">
        <f>IF(AK66="","",(P66+AE66)*N66)</f>
        <v/>
      </c>
      <c r="AN66" s="55">
        <f>IF(AK66="","",BrokeragePerOrder*2*MAX(1,N(L66)))</f>
        <v/>
      </c>
      <c r="AO66" s="55">
        <f>IF(AK66="","",STTRate*IF(I66="Buy",AE66,P66)*N66)</f>
        <v/>
      </c>
      <c r="AP66" s="55">
        <f>IF(AK66="","",ExchRate*AM66)</f>
        <v/>
      </c>
      <c r="AQ66" s="55">
        <f>IF(AK66="","",SEBIRate*AM66)</f>
        <v/>
      </c>
      <c r="AR66" s="55">
        <f>IF(AK66="","",StampRate*IF(I66="Buy",P66,AE66)*N66)</f>
        <v/>
      </c>
      <c r="AS66" s="55">
        <f>IF(AK66="","",GSTRate*(AN66+AP66+AQ66))</f>
        <v/>
      </c>
      <c r="AT66" s="55">
        <f>IF(AK66="","",AN66+AO66+AP66+AQ66+AR66+AS66)</f>
        <v/>
      </c>
      <c r="AU66" s="39">
        <f>IF(AK66="","",AK66-AT66)</f>
        <v/>
      </c>
      <c r="AV66" s="56">
        <f>IF(AU66="","",AU66/IF(N(Z66)&gt;0,Z66,RiskPerTrade))</f>
        <v/>
      </c>
      <c r="AW66" s="31">
        <f>IF(AU66="","",AU66/Capital)</f>
        <v/>
      </c>
      <c r="AX66" s="37" t="n"/>
      <c r="AY66" s="37" t="n"/>
      <c r="AZ66" s="37" t="n"/>
      <c r="BA66" s="37" t="n"/>
      <c r="BB66" s="37" t="n"/>
      <c r="BC66" s="37" t="n"/>
      <c r="BD66" s="37" t="n"/>
      <c r="BE66" s="5">
        <f>IF(AU66="","",IF(AU66&gt;0,"Win",IF(AU66&lt;0,"Loss","BE")))</f>
        <v/>
      </c>
      <c r="BF66" s="5">
        <f>IF(O66="","",LOOKUP(O66,List_BucketStart,List_BucketLabel))</f>
        <v/>
      </c>
      <c r="BG66" s="57">
        <f>IF(B66="","",B66-WEEKDAY(B66,3))</f>
        <v/>
      </c>
      <c r="BH66" s="28">
        <f>IF(B66="","",COUNTIF($B$6:B66,B66))</f>
        <v/>
      </c>
      <c r="BI66" s="39">
        <f>IF(B66="","",SUMIFS($AU$6:AU66,$B$6:B66,B66)-N(AU66))</f>
        <v/>
      </c>
      <c r="BJ66" s="5">
        <f>IF(OR(B66="",E66=""),"",IF(AND(E66=0,I66="Sell",MAX(N(O66),N(AD66))&gt;ExpiryCutoff),"BREACH","OK"))</f>
        <v/>
      </c>
      <c r="BK66" s="5">
        <f>IF(B66="","",IF(OR(AC66&lt;&gt;"OK",BJ66="BREACH",BH66&gt;MaxTradesDay,BI66&lt;=-DailyLossLimit,OR(AF66="Panic",AF66="Revenge",AF66="Rule break")),"CHECK","OK"))</f>
        <v/>
      </c>
      <c r="BL66" s="39">
        <f>IF(AU66="","",SUM($AU$6:AU66))</f>
        <v/>
      </c>
      <c r="BM66" s="39">
        <f>IF(BL66="","",Capital+BL66)</f>
        <v/>
      </c>
      <c r="BN66" s="39">
        <f>IF(BM66="","",MAX(Capital,MAX($BM$6:BM66)))</f>
        <v/>
      </c>
      <c r="BO66" s="39">
        <f>IF(BM66="","",BN66-BM66)</f>
        <v/>
      </c>
      <c r="BP66" s="58">
        <f>IF(BO66="","",BO66/BN66)</f>
        <v/>
      </c>
      <c r="BQ66" s="28">
        <f>IF(AU66="","",IF(AU66&lt;0,N(BQ65)+1,0))</f>
        <v/>
      </c>
    </row>
    <row r="67">
      <c r="A67" s="28">
        <f>IF(B67="","",COUNT($B$6:B67))</f>
        <v/>
      </c>
      <c r="B67" s="27" t="n"/>
      <c r="C67" s="5">
        <f>IF(B67="","",TEXT(B67,"ddd"))</f>
        <v/>
      </c>
      <c r="D67" s="27" t="n"/>
      <c r="E67" s="28">
        <f>IF(OR(B67="",D67=""),"",MAX(0,NETWORKDAYS(B67,D67)-1))</f>
        <v/>
      </c>
      <c r="F67" s="37" t="n"/>
      <c r="G67" s="36" t="n"/>
      <c r="H67" s="37" t="n"/>
      <c r="I67" s="37" t="n"/>
      <c r="J67" s="37" t="n"/>
      <c r="K67" s="37" t="n"/>
      <c r="L67" s="36" t="n"/>
      <c r="M67" s="36" t="n"/>
      <c r="N67" s="33">
        <f>IF(M67="","",M67*LotSize)</f>
        <v/>
      </c>
      <c r="O67" s="51" t="n"/>
      <c r="P67" s="32" t="n"/>
      <c r="Q67" s="29" t="n"/>
      <c r="R67" s="30">
        <f>IF(OR(G67="",Q67="",H67=""),"",IF(H67="CE",G67-Q67,Q67-G67))</f>
        <v/>
      </c>
      <c r="S67" s="31">
        <f>IF(R67="","",R67/Q67)</f>
        <v/>
      </c>
      <c r="T67" s="38" t="n"/>
      <c r="U67" s="32" t="n"/>
      <c r="V67" s="52" t="n"/>
      <c r="W67" s="37" t="n"/>
      <c r="X67" s="32" t="n"/>
      <c r="Y67" s="32" t="n"/>
      <c r="Z67" s="39">
        <f>IF(OR(X67="",P67="",N67=""),"",ABS(X67-P67)*N67)</f>
        <v/>
      </c>
      <c r="AA67" s="53">
        <f>IF(OR(Z67="",Y67=""),"",IF(Z67=0,"",ABS(P67-Y67)*N67/Z67))</f>
        <v/>
      </c>
      <c r="AB67" s="54">
        <f>IF(Z67="","",Z67/Capital)</f>
        <v/>
      </c>
      <c r="AC67" s="5">
        <f>IF(B67="","",IF(X67="","NO SL",IF(OR(N(M67)&gt;MaxLots,N(AB67)&gt;RiskPct),"OVERSIZED","OK")))</f>
        <v/>
      </c>
      <c r="AD67" s="51" t="n"/>
      <c r="AE67" s="32" t="n"/>
      <c r="AF67" s="37" t="n"/>
      <c r="AG67" s="32" t="n"/>
      <c r="AH67" s="32" t="n"/>
      <c r="AI67" s="39">
        <f>IF(OR(AG67="",P67="",N67=""),"",ABS(AG67-P67)*N67)</f>
        <v/>
      </c>
      <c r="AJ67" s="39">
        <f>IF(OR(AH67="",P67="",N67=""),"",ABS(P67-AH67)*N67)</f>
        <v/>
      </c>
      <c r="AK67" s="39">
        <f>IF(OR(AE67="",P67="",N67=""),"",IF(I67="Buy",AE67-P67,P67-AE67)*N67)</f>
        <v/>
      </c>
      <c r="AL67" s="39">
        <f>IF(OR(AJ67="",AK67=""),"",MAX(0,AJ67-AK67))</f>
        <v/>
      </c>
      <c r="AM67" s="39">
        <f>IF(AK67="","",(P67+AE67)*N67)</f>
        <v/>
      </c>
      <c r="AN67" s="55">
        <f>IF(AK67="","",BrokeragePerOrder*2*MAX(1,N(L67)))</f>
        <v/>
      </c>
      <c r="AO67" s="55">
        <f>IF(AK67="","",STTRate*IF(I67="Buy",AE67,P67)*N67)</f>
        <v/>
      </c>
      <c r="AP67" s="55">
        <f>IF(AK67="","",ExchRate*AM67)</f>
        <v/>
      </c>
      <c r="AQ67" s="55">
        <f>IF(AK67="","",SEBIRate*AM67)</f>
        <v/>
      </c>
      <c r="AR67" s="55">
        <f>IF(AK67="","",StampRate*IF(I67="Buy",P67,AE67)*N67)</f>
        <v/>
      </c>
      <c r="AS67" s="55">
        <f>IF(AK67="","",GSTRate*(AN67+AP67+AQ67))</f>
        <v/>
      </c>
      <c r="AT67" s="55">
        <f>IF(AK67="","",AN67+AO67+AP67+AQ67+AR67+AS67)</f>
        <v/>
      </c>
      <c r="AU67" s="39">
        <f>IF(AK67="","",AK67-AT67)</f>
        <v/>
      </c>
      <c r="AV67" s="56">
        <f>IF(AU67="","",AU67/IF(N(Z67)&gt;0,Z67,RiskPerTrade))</f>
        <v/>
      </c>
      <c r="AW67" s="31">
        <f>IF(AU67="","",AU67/Capital)</f>
        <v/>
      </c>
      <c r="AX67" s="37" t="n"/>
      <c r="AY67" s="37" t="n"/>
      <c r="AZ67" s="37" t="n"/>
      <c r="BA67" s="37" t="n"/>
      <c r="BB67" s="37" t="n"/>
      <c r="BC67" s="37" t="n"/>
      <c r="BD67" s="37" t="n"/>
      <c r="BE67" s="5">
        <f>IF(AU67="","",IF(AU67&gt;0,"Win",IF(AU67&lt;0,"Loss","BE")))</f>
        <v/>
      </c>
      <c r="BF67" s="5">
        <f>IF(O67="","",LOOKUP(O67,List_BucketStart,List_BucketLabel))</f>
        <v/>
      </c>
      <c r="BG67" s="57">
        <f>IF(B67="","",B67-WEEKDAY(B67,3))</f>
        <v/>
      </c>
      <c r="BH67" s="28">
        <f>IF(B67="","",COUNTIF($B$6:B67,B67))</f>
        <v/>
      </c>
      <c r="BI67" s="39">
        <f>IF(B67="","",SUMIFS($AU$6:AU67,$B$6:B67,B67)-N(AU67))</f>
        <v/>
      </c>
      <c r="BJ67" s="5">
        <f>IF(OR(B67="",E67=""),"",IF(AND(E67=0,I67="Sell",MAX(N(O67),N(AD67))&gt;ExpiryCutoff),"BREACH","OK"))</f>
        <v/>
      </c>
      <c r="BK67" s="5">
        <f>IF(B67="","",IF(OR(AC67&lt;&gt;"OK",BJ67="BREACH",BH67&gt;MaxTradesDay,BI67&lt;=-DailyLossLimit,OR(AF67="Panic",AF67="Revenge",AF67="Rule break")),"CHECK","OK"))</f>
        <v/>
      </c>
      <c r="BL67" s="39">
        <f>IF(AU67="","",SUM($AU$6:AU67))</f>
        <v/>
      </c>
      <c r="BM67" s="39">
        <f>IF(BL67="","",Capital+BL67)</f>
        <v/>
      </c>
      <c r="BN67" s="39">
        <f>IF(BM67="","",MAX(Capital,MAX($BM$6:BM67)))</f>
        <v/>
      </c>
      <c r="BO67" s="39">
        <f>IF(BM67="","",BN67-BM67)</f>
        <v/>
      </c>
      <c r="BP67" s="58">
        <f>IF(BO67="","",BO67/BN67)</f>
        <v/>
      </c>
      <c r="BQ67" s="28">
        <f>IF(AU67="","",IF(AU67&lt;0,N(BQ66)+1,0))</f>
        <v/>
      </c>
    </row>
    <row r="68">
      <c r="A68" s="28">
        <f>IF(B68="","",COUNT($B$6:B68))</f>
        <v/>
      </c>
      <c r="B68" s="27" t="n"/>
      <c r="C68" s="5">
        <f>IF(B68="","",TEXT(B68,"ddd"))</f>
        <v/>
      </c>
      <c r="D68" s="27" t="n"/>
      <c r="E68" s="28">
        <f>IF(OR(B68="",D68=""),"",MAX(0,NETWORKDAYS(B68,D68)-1))</f>
        <v/>
      </c>
      <c r="F68" s="37" t="n"/>
      <c r="G68" s="36" t="n"/>
      <c r="H68" s="37" t="n"/>
      <c r="I68" s="37" t="n"/>
      <c r="J68" s="37" t="n"/>
      <c r="K68" s="37" t="n"/>
      <c r="L68" s="36" t="n"/>
      <c r="M68" s="36" t="n"/>
      <c r="N68" s="33">
        <f>IF(M68="","",M68*LotSize)</f>
        <v/>
      </c>
      <c r="O68" s="51" t="n"/>
      <c r="P68" s="32" t="n"/>
      <c r="Q68" s="29" t="n"/>
      <c r="R68" s="30">
        <f>IF(OR(G68="",Q68="",H68=""),"",IF(H68="CE",G68-Q68,Q68-G68))</f>
        <v/>
      </c>
      <c r="S68" s="31">
        <f>IF(R68="","",R68/Q68)</f>
        <v/>
      </c>
      <c r="T68" s="38" t="n"/>
      <c r="U68" s="32" t="n"/>
      <c r="V68" s="52" t="n"/>
      <c r="W68" s="37" t="n"/>
      <c r="X68" s="32" t="n"/>
      <c r="Y68" s="32" t="n"/>
      <c r="Z68" s="39">
        <f>IF(OR(X68="",P68="",N68=""),"",ABS(X68-P68)*N68)</f>
        <v/>
      </c>
      <c r="AA68" s="53">
        <f>IF(OR(Z68="",Y68=""),"",IF(Z68=0,"",ABS(P68-Y68)*N68/Z68))</f>
        <v/>
      </c>
      <c r="AB68" s="54">
        <f>IF(Z68="","",Z68/Capital)</f>
        <v/>
      </c>
      <c r="AC68" s="5">
        <f>IF(B68="","",IF(X68="","NO SL",IF(OR(N(M68)&gt;MaxLots,N(AB68)&gt;RiskPct),"OVERSIZED","OK")))</f>
        <v/>
      </c>
      <c r="AD68" s="51" t="n"/>
      <c r="AE68" s="32" t="n"/>
      <c r="AF68" s="37" t="n"/>
      <c r="AG68" s="32" t="n"/>
      <c r="AH68" s="32" t="n"/>
      <c r="AI68" s="39">
        <f>IF(OR(AG68="",P68="",N68=""),"",ABS(AG68-P68)*N68)</f>
        <v/>
      </c>
      <c r="AJ68" s="39">
        <f>IF(OR(AH68="",P68="",N68=""),"",ABS(P68-AH68)*N68)</f>
        <v/>
      </c>
      <c r="AK68" s="39">
        <f>IF(OR(AE68="",P68="",N68=""),"",IF(I68="Buy",AE68-P68,P68-AE68)*N68)</f>
        <v/>
      </c>
      <c r="AL68" s="39">
        <f>IF(OR(AJ68="",AK68=""),"",MAX(0,AJ68-AK68))</f>
        <v/>
      </c>
      <c r="AM68" s="39">
        <f>IF(AK68="","",(P68+AE68)*N68)</f>
        <v/>
      </c>
      <c r="AN68" s="55">
        <f>IF(AK68="","",BrokeragePerOrder*2*MAX(1,N(L68)))</f>
        <v/>
      </c>
      <c r="AO68" s="55">
        <f>IF(AK68="","",STTRate*IF(I68="Buy",AE68,P68)*N68)</f>
        <v/>
      </c>
      <c r="AP68" s="55">
        <f>IF(AK68="","",ExchRate*AM68)</f>
        <v/>
      </c>
      <c r="AQ68" s="55">
        <f>IF(AK68="","",SEBIRate*AM68)</f>
        <v/>
      </c>
      <c r="AR68" s="55">
        <f>IF(AK68="","",StampRate*IF(I68="Buy",P68,AE68)*N68)</f>
        <v/>
      </c>
      <c r="AS68" s="55">
        <f>IF(AK68="","",GSTRate*(AN68+AP68+AQ68))</f>
        <v/>
      </c>
      <c r="AT68" s="55">
        <f>IF(AK68="","",AN68+AO68+AP68+AQ68+AR68+AS68)</f>
        <v/>
      </c>
      <c r="AU68" s="39">
        <f>IF(AK68="","",AK68-AT68)</f>
        <v/>
      </c>
      <c r="AV68" s="56">
        <f>IF(AU68="","",AU68/IF(N(Z68)&gt;0,Z68,RiskPerTrade))</f>
        <v/>
      </c>
      <c r="AW68" s="31">
        <f>IF(AU68="","",AU68/Capital)</f>
        <v/>
      </c>
      <c r="AX68" s="37" t="n"/>
      <c r="AY68" s="37" t="n"/>
      <c r="AZ68" s="37" t="n"/>
      <c r="BA68" s="37" t="n"/>
      <c r="BB68" s="37" t="n"/>
      <c r="BC68" s="37" t="n"/>
      <c r="BD68" s="37" t="n"/>
      <c r="BE68" s="5">
        <f>IF(AU68="","",IF(AU68&gt;0,"Win",IF(AU68&lt;0,"Loss","BE")))</f>
        <v/>
      </c>
      <c r="BF68" s="5">
        <f>IF(O68="","",LOOKUP(O68,List_BucketStart,List_BucketLabel))</f>
        <v/>
      </c>
      <c r="BG68" s="57">
        <f>IF(B68="","",B68-WEEKDAY(B68,3))</f>
        <v/>
      </c>
      <c r="BH68" s="28">
        <f>IF(B68="","",COUNTIF($B$6:B68,B68))</f>
        <v/>
      </c>
      <c r="BI68" s="39">
        <f>IF(B68="","",SUMIFS($AU$6:AU68,$B$6:B68,B68)-N(AU68))</f>
        <v/>
      </c>
      <c r="BJ68" s="5">
        <f>IF(OR(B68="",E68=""),"",IF(AND(E68=0,I68="Sell",MAX(N(O68),N(AD68))&gt;ExpiryCutoff),"BREACH","OK"))</f>
        <v/>
      </c>
      <c r="BK68" s="5">
        <f>IF(B68="","",IF(OR(AC68&lt;&gt;"OK",BJ68="BREACH",BH68&gt;MaxTradesDay,BI68&lt;=-DailyLossLimit,OR(AF68="Panic",AF68="Revenge",AF68="Rule break")),"CHECK","OK"))</f>
        <v/>
      </c>
      <c r="BL68" s="39">
        <f>IF(AU68="","",SUM($AU$6:AU68))</f>
        <v/>
      </c>
      <c r="BM68" s="39">
        <f>IF(BL68="","",Capital+BL68)</f>
        <v/>
      </c>
      <c r="BN68" s="39">
        <f>IF(BM68="","",MAX(Capital,MAX($BM$6:BM68)))</f>
        <v/>
      </c>
      <c r="BO68" s="39">
        <f>IF(BM68="","",BN68-BM68)</f>
        <v/>
      </c>
      <c r="BP68" s="58">
        <f>IF(BO68="","",BO68/BN68)</f>
        <v/>
      </c>
      <c r="BQ68" s="28">
        <f>IF(AU68="","",IF(AU68&lt;0,N(BQ67)+1,0))</f>
        <v/>
      </c>
    </row>
    <row r="69">
      <c r="A69" s="28">
        <f>IF(B69="","",COUNT($B$6:B69))</f>
        <v/>
      </c>
      <c r="B69" s="27" t="n"/>
      <c r="C69" s="5">
        <f>IF(B69="","",TEXT(B69,"ddd"))</f>
        <v/>
      </c>
      <c r="D69" s="27" t="n"/>
      <c r="E69" s="28">
        <f>IF(OR(B69="",D69=""),"",MAX(0,NETWORKDAYS(B69,D69)-1))</f>
        <v/>
      </c>
      <c r="F69" s="37" t="n"/>
      <c r="G69" s="36" t="n"/>
      <c r="H69" s="37" t="n"/>
      <c r="I69" s="37" t="n"/>
      <c r="J69" s="37" t="n"/>
      <c r="K69" s="37" t="n"/>
      <c r="L69" s="36" t="n"/>
      <c r="M69" s="36" t="n"/>
      <c r="N69" s="33">
        <f>IF(M69="","",M69*LotSize)</f>
        <v/>
      </c>
      <c r="O69" s="51" t="n"/>
      <c r="P69" s="32" t="n"/>
      <c r="Q69" s="29" t="n"/>
      <c r="R69" s="30">
        <f>IF(OR(G69="",Q69="",H69=""),"",IF(H69="CE",G69-Q69,Q69-G69))</f>
        <v/>
      </c>
      <c r="S69" s="31">
        <f>IF(R69="","",R69/Q69)</f>
        <v/>
      </c>
      <c r="T69" s="38" t="n"/>
      <c r="U69" s="32" t="n"/>
      <c r="V69" s="52" t="n"/>
      <c r="W69" s="37" t="n"/>
      <c r="X69" s="32" t="n"/>
      <c r="Y69" s="32" t="n"/>
      <c r="Z69" s="39">
        <f>IF(OR(X69="",P69="",N69=""),"",ABS(X69-P69)*N69)</f>
        <v/>
      </c>
      <c r="AA69" s="53">
        <f>IF(OR(Z69="",Y69=""),"",IF(Z69=0,"",ABS(P69-Y69)*N69/Z69))</f>
        <v/>
      </c>
      <c r="AB69" s="54">
        <f>IF(Z69="","",Z69/Capital)</f>
        <v/>
      </c>
      <c r="AC69" s="5">
        <f>IF(B69="","",IF(X69="","NO SL",IF(OR(N(M69)&gt;MaxLots,N(AB69)&gt;RiskPct),"OVERSIZED","OK")))</f>
        <v/>
      </c>
      <c r="AD69" s="51" t="n"/>
      <c r="AE69" s="32" t="n"/>
      <c r="AF69" s="37" t="n"/>
      <c r="AG69" s="32" t="n"/>
      <c r="AH69" s="32" t="n"/>
      <c r="AI69" s="39">
        <f>IF(OR(AG69="",P69="",N69=""),"",ABS(AG69-P69)*N69)</f>
        <v/>
      </c>
      <c r="AJ69" s="39">
        <f>IF(OR(AH69="",P69="",N69=""),"",ABS(P69-AH69)*N69)</f>
        <v/>
      </c>
      <c r="AK69" s="39">
        <f>IF(OR(AE69="",P69="",N69=""),"",IF(I69="Buy",AE69-P69,P69-AE69)*N69)</f>
        <v/>
      </c>
      <c r="AL69" s="39">
        <f>IF(OR(AJ69="",AK69=""),"",MAX(0,AJ69-AK69))</f>
        <v/>
      </c>
      <c r="AM69" s="39">
        <f>IF(AK69="","",(P69+AE69)*N69)</f>
        <v/>
      </c>
      <c r="AN69" s="55">
        <f>IF(AK69="","",BrokeragePerOrder*2*MAX(1,N(L69)))</f>
        <v/>
      </c>
      <c r="AO69" s="55">
        <f>IF(AK69="","",STTRate*IF(I69="Buy",AE69,P69)*N69)</f>
        <v/>
      </c>
      <c r="AP69" s="55">
        <f>IF(AK69="","",ExchRate*AM69)</f>
        <v/>
      </c>
      <c r="AQ69" s="55">
        <f>IF(AK69="","",SEBIRate*AM69)</f>
        <v/>
      </c>
      <c r="AR69" s="55">
        <f>IF(AK69="","",StampRate*IF(I69="Buy",P69,AE69)*N69)</f>
        <v/>
      </c>
      <c r="AS69" s="55">
        <f>IF(AK69="","",GSTRate*(AN69+AP69+AQ69))</f>
        <v/>
      </c>
      <c r="AT69" s="55">
        <f>IF(AK69="","",AN69+AO69+AP69+AQ69+AR69+AS69)</f>
        <v/>
      </c>
      <c r="AU69" s="39">
        <f>IF(AK69="","",AK69-AT69)</f>
        <v/>
      </c>
      <c r="AV69" s="56">
        <f>IF(AU69="","",AU69/IF(N(Z69)&gt;0,Z69,RiskPerTrade))</f>
        <v/>
      </c>
      <c r="AW69" s="31">
        <f>IF(AU69="","",AU69/Capital)</f>
        <v/>
      </c>
      <c r="AX69" s="37" t="n"/>
      <c r="AY69" s="37" t="n"/>
      <c r="AZ69" s="37" t="n"/>
      <c r="BA69" s="37" t="n"/>
      <c r="BB69" s="37" t="n"/>
      <c r="BC69" s="37" t="n"/>
      <c r="BD69" s="37" t="n"/>
      <c r="BE69" s="5">
        <f>IF(AU69="","",IF(AU69&gt;0,"Win",IF(AU69&lt;0,"Loss","BE")))</f>
        <v/>
      </c>
      <c r="BF69" s="5">
        <f>IF(O69="","",LOOKUP(O69,List_BucketStart,List_BucketLabel))</f>
        <v/>
      </c>
      <c r="BG69" s="57">
        <f>IF(B69="","",B69-WEEKDAY(B69,3))</f>
        <v/>
      </c>
      <c r="BH69" s="28">
        <f>IF(B69="","",COUNTIF($B$6:B69,B69))</f>
        <v/>
      </c>
      <c r="BI69" s="39">
        <f>IF(B69="","",SUMIFS($AU$6:AU69,$B$6:B69,B69)-N(AU69))</f>
        <v/>
      </c>
      <c r="BJ69" s="5">
        <f>IF(OR(B69="",E69=""),"",IF(AND(E69=0,I69="Sell",MAX(N(O69),N(AD69))&gt;ExpiryCutoff),"BREACH","OK"))</f>
        <v/>
      </c>
      <c r="BK69" s="5">
        <f>IF(B69="","",IF(OR(AC69&lt;&gt;"OK",BJ69="BREACH",BH69&gt;MaxTradesDay,BI69&lt;=-DailyLossLimit,OR(AF69="Panic",AF69="Revenge",AF69="Rule break")),"CHECK","OK"))</f>
        <v/>
      </c>
      <c r="BL69" s="39">
        <f>IF(AU69="","",SUM($AU$6:AU69))</f>
        <v/>
      </c>
      <c r="BM69" s="39">
        <f>IF(BL69="","",Capital+BL69)</f>
        <v/>
      </c>
      <c r="BN69" s="39">
        <f>IF(BM69="","",MAX(Capital,MAX($BM$6:BM69)))</f>
        <v/>
      </c>
      <c r="BO69" s="39">
        <f>IF(BM69="","",BN69-BM69)</f>
        <v/>
      </c>
      <c r="BP69" s="58">
        <f>IF(BO69="","",BO69/BN69)</f>
        <v/>
      </c>
      <c r="BQ69" s="28">
        <f>IF(AU69="","",IF(AU69&lt;0,N(BQ68)+1,0))</f>
        <v/>
      </c>
    </row>
    <row r="70">
      <c r="A70" s="28">
        <f>IF(B70="","",COUNT($B$6:B70))</f>
        <v/>
      </c>
      <c r="B70" s="27" t="n"/>
      <c r="C70" s="5">
        <f>IF(B70="","",TEXT(B70,"ddd"))</f>
        <v/>
      </c>
      <c r="D70" s="27" t="n"/>
      <c r="E70" s="28">
        <f>IF(OR(B70="",D70=""),"",MAX(0,NETWORKDAYS(B70,D70)-1))</f>
        <v/>
      </c>
      <c r="F70" s="37" t="n"/>
      <c r="G70" s="36" t="n"/>
      <c r="H70" s="37" t="n"/>
      <c r="I70" s="37" t="n"/>
      <c r="J70" s="37" t="n"/>
      <c r="K70" s="37" t="n"/>
      <c r="L70" s="36" t="n"/>
      <c r="M70" s="36" t="n"/>
      <c r="N70" s="33">
        <f>IF(M70="","",M70*LotSize)</f>
        <v/>
      </c>
      <c r="O70" s="51" t="n"/>
      <c r="P70" s="32" t="n"/>
      <c r="Q70" s="29" t="n"/>
      <c r="R70" s="30">
        <f>IF(OR(G70="",Q70="",H70=""),"",IF(H70="CE",G70-Q70,Q70-G70))</f>
        <v/>
      </c>
      <c r="S70" s="31">
        <f>IF(R70="","",R70/Q70)</f>
        <v/>
      </c>
      <c r="T70" s="38" t="n"/>
      <c r="U70" s="32" t="n"/>
      <c r="V70" s="52" t="n"/>
      <c r="W70" s="37" t="n"/>
      <c r="X70" s="32" t="n"/>
      <c r="Y70" s="32" t="n"/>
      <c r="Z70" s="39">
        <f>IF(OR(X70="",P70="",N70=""),"",ABS(X70-P70)*N70)</f>
        <v/>
      </c>
      <c r="AA70" s="53">
        <f>IF(OR(Z70="",Y70=""),"",IF(Z70=0,"",ABS(P70-Y70)*N70/Z70))</f>
        <v/>
      </c>
      <c r="AB70" s="54">
        <f>IF(Z70="","",Z70/Capital)</f>
        <v/>
      </c>
      <c r="AC70" s="5">
        <f>IF(B70="","",IF(X70="","NO SL",IF(OR(N(M70)&gt;MaxLots,N(AB70)&gt;RiskPct),"OVERSIZED","OK")))</f>
        <v/>
      </c>
      <c r="AD70" s="51" t="n"/>
      <c r="AE70" s="32" t="n"/>
      <c r="AF70" s="37" t="n"/>
      <c r="AG70" s="32" t="n"/>
      <c r="AH70" s="32" t="n"/>
      <c r="AI70" s="39">
        <f>IF(OR(AG70="",P70="",N70=""),"",ABS(AG70-P70)*N70)</f>
        <v/>
      </c>
      <c r="AJ70" s="39">
        <f>IF(OR(AH70="",P70="",N70=""),"",ABS(P70-AH70)*N70)</f>
        <v/>
      </c>
      <c r="AK70" s="39">
        <f>IF(OR(AE70="",P70="",N70=""),"",IF(I70="Buy",AE70-P70,P70-AE70)*N70)</f>
        <v/>
      </c>
      <c r="AL70" s="39">
        <f>IF(OR(AJ70="",AK70=""),"",MAX(0,AJ70-AK70))</f>
        <v/>
      </c>
      <c r="AM70" s="39">
        <f>IF(AK70="","",(P70+AE70)*N70)</f>
        <v/>
      </c>
      <c r="AN70" s="55">
        <f>IF(AK70="","",BrokeragePerOrder*2*MAX(1,N(L70)))</f>
        <v/>
      </c>
      <c r="AO70" s="55">
        <f>IF(AK70="","",STTRate*IF(I70="Buy",AE70,P70)*N70)</f>
        <v/>
      </c>
      <c r="AP70" s="55">
        <f>IF(AK70="","",ExchRate*AM70)</f>
        <v/>
      </c>
      <c r="AQ70" s="55">
        <f>IF(AK70="","",SEBIRate*AM70)</f>
        <v/>
      </c>
      <c r="AR70" s="55">
        <f>IF(AK70="","",StampRate*IF(I70="Buy",P70,AE70)*N70)</f>
        <v/>
      </c>
      <c r="AS70" s="55">
        <f>IF(AK70="","",GSTRate*(AN70+AP70+AQ70))</f>
        <v/>
      </c>
      <c r="AT70" s="55">
        <f>IF(AK70="","",AN70+AO70+AP70+AQ70+AR70+AS70)</f>
        <v/>
      </c>
      <c r="AU70" s="39">
        <f>IF(AK70="","",AK70-AT70)</f>
        <v/>
      </c>
      <c r="AV70" s="56">
        <f>IF(AU70="","",AU70/IF(N(Z70)&gt;0,Z70,RiskPerTrade))</f>
        <v/>
      </c>
      <c r="AW70" s="31">
        <f>IF(AU70="","",AU70/Capital)</f>
        <v/>
      </c>
      <c r="AX70" s="37" t="n"/>
      <c r="AY70" s="37" t="n"/>
      <c r="AZ70" s="37" t="n"/>
      <c r="BA70" s="37" t="n"/>
      <c r="BB70" s="37" t="n"/>
      <c r="BC70" s="37" t="n"/>
      <c r="BD70" s="37" t="n"/>
      <c r="BE70" s="5">
        <f>IF(AU70="","",IF(AU70&gt;0,"Win",IF(AU70&lt;0,"Loss","BE")))</f>
        <v/>
      </c>
      <c r="BF70" s="5">
        <f>IF(O70="","",LOOKUP(O70,List_BucketStart,List_BucketLabel))</f>
        <v/>
      </c>
      <c r="BG70" s="57">
        <f>IF(B70="","",B70-WEEKDAY(B70,3))</f>
        <v/>
      </c>
      <c r="BH70" s="28">
        <f>IF(B70="","",COUNTIF($B$6:B70,B70))</f>
        <v/>
      </c>
      <c r="BI70" s="39">
        <f>IF(B70="","",SUMIFS($AU$6:AU70,$B$6:B70,B70)-N(AU70))</f>
        <v/>
      </c>
      <c r="BJ70" s="5">
        <f>IF(OR(B70="",E70=""),"",IF(AND(E70=0,I70="Sell",MAX(N(O70),N(AD70))&gt;ExpiryCutoff),"BREACH","OK"))</f>
        <v/>
      </c>
      <c r="BK70" s="5">
        <f>IF(B70="","",IF(OR(AC70&lt;&gt;"OK",BJ70="BREACH",BH70&gt;MaxTradesDay,BI70&lt;=-DailyLossLimit,OR(AF70="Panic",AF70="Revenge",AF70="Rule break")),"CHECK","OK"))</f>
        <v/>
      </c>
      <c r="BL70" s="39">
        <f>IF(AU70="","",SUM($AU$6:AU70))</f>
        <v/>
      </c>
      <c r="BM70" s="39">
        <f>IF(BL70="","",Capital+BL70)</f>
        <v/>
      </c>
      <c r="BN70" s="39">
        <f>IF(BM70="","",MAX(Capital,MAX($BM$6:BM70)))</f>
        <v/>
      </c>
      <c r="BO70" s="39">
        <f>IF(BM70="","",BN70-BM70)</f>
        <v/>
      </c>
      <c r="BP70" s="58">
        <f>IF(BO70="","",BO70/BN70)</f>
        <v/>
      </c>
      <c r="BQ70" s="28">
        <f>IF(AU70="","",IF(AU70&lt;0,N(BQ69)+1,0))</f>
        <v/>
      </c>
    </row>
    <row r="71">
      <c r="A71" s="28">
        <f>IF(B71="","",COUNT($B$6:B71))</f>
        <v/>
      </c>
      <c r="B71" s="27" t="n"/>
      <c r="C71" s="5">
        <f>IF(B71="","",TEXT(B71,"ddd"))</f>
        <v/>
      </c>
      <c r="D71" s="27" t="n"/>
      <c r="E71" s="28">
        <f>IF(OR(B71="",D71=""),"",MAX(0,NETWORKDAYS(B71,D71)-1))</f>
        <v/>
      </c>
      <c r="F71" s="37" t="n"/>
      <c r="G71" s="36" t="n"/>
      <c r="H71" s="37" t="n"/>
      <c r="I71" s="37" t="n"/>
      <c r="J71" s="37" t="n"/>
      <c r="K71" s="37" t="n"/>
      <c r="L71" s="36" t="n"/>
      <c r="M71" s="36" t="n"/>
      <c r="N71" s="33">
        <f>IF(M71="","",M71*LotSize)</f>
        <v/>
      </c>
      <c r="O71" s="51" t="n"/>
      <c r="P71" s="32" t="n"/>
      <c r="Q71" s="29" t="n"/>
      <c r="R71" s="30">
        <f>IF(OR(G71="",Q71="",H71=""),"",IF(H71="CE",G71-Q71,Q71-G71))</f>
        <v/>
      </c>
      <c r="S71" s="31">
        <f>IF(R71="","",R71/Q71)</f>
        <v/>
      </c>
      <c r="T71" s="38" t="n"/>
      <c r="U71" s="32" t="n"/>
      <c r="V71" s="52" t="n"/>
      <c r="W71" s="37" t="n"/>
      <c r="X71" s="32" t="n"/>
      <c r="Y71" s="32" t="n"/>
      <c r="Z71" s="39">
        <f>IF(OR(X71="",P71="",N71=""),"",ABS(X71-P71)*N71)</f>
        <v/>
      </c>
      <c r="AA71" s="53">
        <f>IF(OR(Z71="",Y71=""),"",IF(Z71=0,"",ABS(P71-Y71)*N71/Z71))</f>
        <v/>
      </c>
      <c r="AB71" s="54">
        <f>IF(Z71="","",Z71/Capital)</f>
        <v/>
      </c>
      <c r="AC71" s="5">
        <f>IF(B71="","",IF(X71="","NO SL",IF(OR(N(M71)&gt;MaxLots,N(AB71)&gt;RiskPct),"OVERSIZED","OK")))</f>
        <v/>
      </c>
      <c r="AD71" s="51" t="n"/>
      <c r="AE71" s="32" t="n"/>
      <c r="AF71" s="37" t="n"/>
      <c r="AG71" s="32" t="n"/>
      <c r="AH71" s="32" t="n"/>
      <c r="AI71" s="39">
        <f>IF(OR(AG71="",P71="",N71=""),"",ABS(AG71-P71)*N71)</f>
        <v/>
      </c>
      <c r="AJ71" s="39">
        <f>IF(OR(AH71="",P71="",N71=""),"",ABS(P71-AH71)*N71)</f>
        <v/>
      </c>
      <c r="AK71" s="39">
        <f>IF(OR(AE71="",P71="",N71=""),"",IF(I71="Buy",AE71-P71,P71-AE71)*N71)</f>
        <v/>
      </c>
      <c r="AL71" s="39">
        <f>IF(OR(AJ71="",AK71=""),"",MAX(0,AJ71-AK71))</f>
        <v/>
      </c>
      <c r="AM71" s="39">
        <f>IF(AK71="","",(P71+AE71)*N71)</f>
        <v/>
      </c>
      <c r="AN71" s="55">
        <f>IF(AK71="","",BrokeragePerOrder*2*MAX(1,N(L71)))</f>
        <v/>
      </c>
      <c r="AO71" s="55">
        <f>IF(AK71="","",STTRate*IF(I71="Buy",AE71,P71)*N71)</f>
        <v/>
      </c>
      <c r="AP71" s="55">
        <f>IF(AK71="","",ExchRate*AM71)</f>
        <v/>
      </c>
      <c r="AQ71" s="55">
        <f>IF(AK71="","",SEBIRate*AM71)</f>
        <v/>
      </c>
      <c r="AR71" s="55">
        <f>IF(AK71="","",StampRate*IF(I71="Buy",P71,AE71)*N71)</f>
        <v/>
      </c>
      <c r="AS71" s="55">
        <f>IF(AK71="","",GSTRate*(AN71+AP71+AQ71))</f>
        <v/>
      </c>
      <c r="AT71" s="55">
        <f>IF(AK71="","",AN71+AO71+AP71+AQ71+AR71+AS71)</f>
        <v/>
      </c>
      <c r="AU71" s="39">
        <f>IF(AK71="","",AK71-AT71)</f>
        <v/>
      </c>
      <c r="AV71" s="56">
        <f>IF(AU71="","",AU71/IF(N(Z71)&gt;0,Z71,RiskPerTrade))</f>
        <v/>
      </c>
      <c r="AW71" s="31">
        <f>IF(AU71="","",AU71/Capital)</f>
        <v/>
      </c>
      <c r="AX71" s="37" t="n"/>
      <c r="AY71" s="37" t="n"/>
      <c r="AZ71" s="37" t="n"/>
      <c r="BA71" s="37" t="n"/>
      <c r="BB71" s="37" t="n"/>
      <c r="BC71" s="37" t="n"/>
      <c r="BD71" s="37" t="n"/>
      <c r="BE71" s="5">
        <f>IF(AU71="","",IF(AU71&gt;0,"Win",IF(AU71&lt;0,"Loss","BE")))</f>
        <v/>
      </c>
      <c r="BF71" s="5">
        <f>IF(O71="","",LOOKUP(O71,List_BucketStart,List_BucketLabel))</f>
        <v/>
      </c>
      <c r="BG71" s="57">
        <f>IF(B71="","",B71-WEEKDAY(B71,3))</f>
        <v/>
      </c>
      <c r="BH71" s="28">
        <f>IF(B71="","",COUNTIF($B$6:B71,B71))</f>
        <v/>
      </c>
      <c r="BI71" s="39">
        <f>IF(B71="","",SUMIFS($AU$6:AU71,$B$6:B71,B71)-N(AU71))</f>
        <v/>
      </c>
      <c r="BJ71" s="5">
        <f>IF(OR(B71="",E71=""),"",IF(AND(E71=0,I71="Sell",MAX(N(O71),N(AD71))&gt;ExpiryCutoff),"BREACH","OK"))</f>
        <v/>
      </c>
      <c r="BK71" s="5">
        <f>IF(B71="","",IF(OR(AC71&lt;&gt;"OK",BJ71="BREACH",BH71&gt;MaxTradesDay,BI71&lt;=-DailyLossLimit,OR(AF71="Panic",AF71="Revenge",AF71="Rule break")),"CHECK","OK"))</f>
        <v/>
      </c>
      <c r="BL71" s="39">
        <f>IF(AU71="","",SUM($AU$6:AU71))</f>
        <v/>
      </c>
      <c r="BM71" s="39">
        <f>IF(BL71="","",Capital+BL71)</f>
        <v/>
      </c>
      <c r="BN71" s="39">
        <f>IF(BM71="","",MAX(Capital,MAX($BM$6:BM71)))</f>
        <v/>
      </c>
      <c r="BO71" s="39">
        <f>IF(BM71="","",BN71-BM71)</f>
        <v/>
      </c>
      <c r="BP71" s="58">
        <f>IF(BO71="","",BO71/BN71)</f>
        <v/>
      </c>
      <c r="BQ71" s="28">
        <f>IF(AU71="","",IF(AU71&lt;0,N(BQ70)+1,0))</f>
        <v/>
      </c>
    </row>
    <row r="72">
      <c r="A72" s="28">
        <f>IF(B72="","",COUNT($B$6:B72))</f>
        <v/>
      </c>
      <c r="B72" s="27" t="n"/>
      <c r="C72" s="5">
        <f>IF(B72="","",TEXT(B72,"ddd"))</f>
        <v/>
      </c>
      <c r="D72" s="27" t="n"/>
      <c r="E72" s="28">
        <f>IF(OR(B72="",D72=""),"",MAX(0,NETWORKDAYS(B72,D72)-1))</f>
        <v/>
      </c>
      <c r="F72" s="37" t="n"/>
      <c r="G72" s="36" t="n"/>
      <c r="H72" s="37" t="n"/>
      <c r="I72" s="37" t="n"/>
      <c r="J72" s="37" t="n"/>
      <c r="K72" s="37" t="n"/>
      <c r="L72" s="36" t="n"/>
      <c r="M72" s="36" t="n"/>
      <c r="N72" s="33">
        <f>IF(M72="","",M72*LotSize)</f>
        <v/>
      </c>
      <c r="O72" s="51" t="n"/>
      <c r="P72" s="32" t="n"/>
      <c r="Q72" s="29" t="n"/>
      <c r="R72" s="30">
        <f>IF(OR(G72="",Q72="",H72=""),"",IF(H72="CE",G72-Q72,Q72-G72))</f>
        <v/>
      </c>
      <c r="S72" s="31">
        <f>IF(R72="","",R72/Q72)</f>
        <v/>
      </c>
      <c r="T72" s="38" t="n"/>
      <c r="U72" s="32" t="n"/>
      <c r="V72" s="52" t="n"/>
      <c r="W72" s="37" t="n"/>
      <c r="X72" s="32" t="n"/>
      <c r="Y72" s="32" t="n"/>
      <c r="Z72" s="39">
        <f>IF(OR(X72="",P72="",N72=""),"",ABS(X72-P72)*N72)</f>
        <v/>
      </c>
      <c r="AA72" s="53">
        <f>IF(OR(Z72="",Y72=""),"",IF(Z72=0,"",ABS(P72-Y72)*N72/Z72))</f>
        <v/>
      </c>
      <c r="AB72" s="54">
        <f>IF(Z72="","",Z72/Capital)</f>
        <v/>
      </c>
      <c r="AC72" s="5">
        <f>IF(B72="","",IF(X72="","NO SL",IF(OR(N(M72)&gt;MaxLots,N(AB72)&gt;RiskPct),"OVERSIZED","OK")))</f>
        <v/>
      </c>
      <c r="AD72" s="51" t="n"/>
      <c r="AE72" s="32" t="n"/>
      <c r="AF72" s="37" t="n"/>
      <c r="AG72" s="32" t="n"/>
      <c r="AH72" s="32" t="n"/>
      <c r="AI72" s="39">
        <f>IF(OR(AG72="",P72="",N72=""),"",ABS(AG72-P72)*N72)</f>
        <v/>
      </c>
      <c r="AJ72" s="39">
        <f>IF(OR(AH72="",P72="",N72=""),"",ABS(P72-AH72)*N72)</f>
        <v/>
      </c>
      <c r="AK72" s="39">
        <f>IF(OR(AE72="",P72="",N72=""),"",IF(I72="Buy",AE72-P72,P72-AE72)*N72)</f>
        <v/>
      </c>
      <c r="AL72" s="39">
        <f>IF(OR(AJ72="",AK72=""),"",MAX(0,AJ72-AK72))</f>
        <v/>
      </c>
      <c r="AM72" s="39">
        <f>IF(AK72="","",(P72+AE72)*N72)</f>
        <v/>
      </c>
      <c r="AN72" s="55">
        <f>IF(AK72="","",BrokeragePerOrder*2*MAX(1,N(L72)))</f>
        <v/>
      </c>
      <c r="AO72" s="55">
        <f>IF(AK72="","",STTRate*IF(I72="Buy",AE72,P72)*N72)</f>
        <v/>
      </c>
      <c r="AP72" s="55">
        <f>IF(AK72="","",ExchRate*AM72)</f>
        <v/>
      </c>
      <c r="AQ72" s="55">
        <f>IF(AK72="","",SEBIRate*AM72)</f>
        <v/>
      </c>
      <c r="AR72" s="55">
        <f>IF(AK72="","",StampRate*IF(I72="Buy",P72,AE72)*N72)</f>
        <v/>
      </c>
      <c r="AS72" s="55">
        <f>IF(AK72="","",GSTRate*(AN72+AP72+AQ72))</f>
        <v/>
      </c>
      <c r="AT72" s="55">
        <f>IF(AK72="","",AN72+AO72+AP72+AQ72+AR72+AS72)</f>
        <v/>
      </c>
      <c r="AU72" s="39">
        <f>IF(AK72="","",AK72-AT72)</f>
        <v/>
      </c>
      <c r="AV72" s="56">
        <f>IF(AU72="","",AU72/IF(N(Z72)&gt;0,Z72,RiskPerTrade))</f>
        <v/>
      </c>
      <c r="AW72" s="31">
        <f>IF(AU72="","",AU72/Capital)</f>
        <v/>
      </c>
      <c r="AX72" s="37" t="n"/>
      <c r="AY72" s="37" t="n"/>
      <c r="AZ72" s="37" t="n"/>
      <c r="BA72" s="37" t="n"/>
      <c r="BB72" s="37" t="n"/>
      <c r="BC72" s="37" t="n"/>
      <c r="BD72" s="37" t="n"/>
      <c r="BE72" s="5">
        <f>IF(AU72="","",IF(AU72&gt;0,"Win",IF(AU72&lt;0,"Loss","BE")))</f>
        <v/>
      </c>
      <c r="BF72" s="5">
        <f>IF(O72="","",LOOKUP(O72,List_BucketStart,List_BucketLabel))</f>
        <v/>
      </c>
      <c r="BG72" s="57">
        <f>IF(B72="","",B72-WEEKDAY(B72,3))</f>
        <v/>
      </c>
      <c r="BH72" s="28">
        <f>IF(B72="","",COUNTIF($B$6:B72,B72))</f>
        <v/>
      </c>
      <c r="BI72" s="39">
        <f>IF(B72="","",SUMIFS($AU$6:AU72,$B$6:B72,B72)-N(AU72))</f>
        <v/>
      </c>
      <c r="BJ72" s="5">
        <f>IF(OR(B72="",E72=""),"",IF(AND(E72=0,I72="Sell",MAX(N(O72),N(AD72))&gt;ExpiryCutoff),"BREACH","OK"))</f>
        <v/>
      </c>
      <c r="BK72" s="5">
        <f>IF(B72="","",IF(OR(AC72&lt;&gt;"OK",BJ72="BREACH",BH72&gt;MaxTradesDay,BI72&lt;=-DailyLossLimit,OR(AF72="Panic",AF72="Revenge",AF72="Rule break")),"CHECK","OK"))</f>
        <v/>
      </c>
      <c r="BL72" s="39">
        <f>IF(AU72="","",SUM($AU$6:AU72))</f>
        <v/>
      </c>
      <c r="BM72" s="39">
        <f>IF(BL72="","",Capital+BL72)</f>
        <v/>
      </c>
      <c r="BN72" s="39">
        <f>IF(BM72="","",MAX(Capital,MAX($BM$6:BM72)))</f>
        <v/>
      </c>
      <c r="BO72" s="39">
        <f>IF(BM72="","",BN72-BM72)</f>
        <v/>
      </c>
      <c r="BP72" s="58">
        <f>IF(BO72="","",BO72/BN72)</f>
        <v/>
      </c>
      <c r="BQ72" s="28">
        <f>IF(AU72="","",IF(AU72&lt;0,N(BQ71)+1,0))</f>
        <v/>
      </c>
    </row>
    <row r="73">
      <c r="A73" s="28">
        <f>IF(B73="","",COUNT($B$6:B73))</f>
        <v/>
      </c>
      <c r="B73" s="27" t="n"/>
      <c r="C73" s="5">
        <f>IF(B73="","",TEXT(B73,"ddd"))</f>
        <v/>
      </c>
      <c r="D73" s="27" t="n"/>
      <c r="E73" s="28">
        <f>IF(OR(B73="",D73=""),"",MAX(0,NETWORKDAYS(B73,D73)-1))</f>
        <v/>
      </c>
      <c r="F73" s="37" t="n"/>
      <c r="G73" s="36" t="n"/>
      <c r="H73" s="37" t="n"/>
      <c r="I73" s="37" t="n"/>
      <c r="J73" s="37" t="n"/>
      <c r="K73" s="37" t="n"/>
      <c r="L73" s="36" t="n"/>
      <c r="M73" s="36" t="n"/>
      <c r="N73" s="33">
        <f>IF(M73="","",M73*LotSize)</f>
        <v/>
      </c>
      <c r="O73" s="51" t="n"/>
      <c r="P73" s="32" t="n"/>
      <c r="Q73" s="29" t="n"/>
      <c r="R73" s="30">
        <f>IF(OR(G73="",Q73="",H73=""),"",IF(H73="CE",G73-Q73,Q73-G73))</f>
        <v/>
      </c>
      <c r="S73" s="31">
        <f>IF(R73="","",R73/Q73)</f>
        <v/>
      </c>
      <c r="T73" s="38" t="n"/>
      <c r="U73" s="32" t="n"/>
      <c r="V73" s="52" t="n"/>
      <c r="W73" s="37" t="n"/>
      <c r="X73" s="32" t="n"/>
      <c r="Y73" s="32" t="n"/>
      <c r="Z73" s="39">
        <f>IF(OR(X73="",P73="",N73=""),"",ABS(X73-P73)*N73)</f>
        <v/>
      </c>
      <c r="AA73" s="53">
        <f>IF(OR(Z73="",Y73=""),"",IF(Z73=0,"",ABS(P73-Y73)*N73/Z73))</f>
        <v/>
      </c>
      <c r="AB73" s="54">
        <f>IF(Z73="","",Z73/Capital)</f>
        <v/>
      </c>
      <c r="AC73" s="5">
        <f>IF(B73="","",IF(X73="","NO SL",IF(OR(N(M73)&gt;MaxLots,N(AB73)&gt;RiskPct),"OVERSIZED","OK")))</f>
        <v/>
      </c>
      <c r="AD73" s="51" t="n"/>
      <c r="AE73" s="32" t="n"/>
      <c r="AF73" s="37" t="n"/>
      <c r="AG73" s="32" t="n"/>
      <c r="AH73" s="32" t="n"/>
      <c r="AI73" s="39">
        <f>IF(OR(AG73="",P73="",N73=""),"",ABS(AG73-P73)*N73)</f>
        <v/>
      </c>
      <c r="AJ73" s="39">
        <f>IF(OR(AH73="",P73="",N73=""),"",ABS(P73-AH73)*N73)</f>
        <v/>
      </c>
      <c r="AK73" s="39">
        <f>IF(OR(AE73="",P73="",N73=""),"",IF(I73="Buy",AE73-P73,P73-AE73)*N73)</f>
        <v/>
      </c>
      <c r="AL73" s="39">
        <f>IF(OR(AJ73="",AK73=""),"",MAX(0,AJ73-AK73))</f>
        <v/>
      </c>
      <c r="AM73" s="39">
        <f>IF(AK73="","",(P73+AE73)*N73)</f>
        <v/>
      </c>
      <c r="AN73" s="55">
        <f>IF(AK73="","",BrokeragePerOrder*2*MAX(1,N(L73)))</f>
        <v/>
      </c>
      <c r="AO73" s="55">
        <f>IF(AK73="","",STTRate*IF(I73="Buy",AE73,P73)*N73)</f>
        <v/>
      </c>
      <c r="AP73" s="55">
        <f>IF(AK73="","",ExchRate*AM73)</f>
        <v/>
      </c>
      <c r="AQ73" s="55">
        <f>IF(AK73="","",SEBIRate*AM73)</f>
        <v/>
      </c>
      <c r="AR73" s="55">
        <f>IF(AK73="","",StampRate*IF(I73="Buy",P73,AE73)*N73)</f>
        <v/>
      </c>
      <c r="AS73" s="55">
        <f>IF(AK73="","",GSTRate*(AN73+AP73+AQ73))</f>
        <v/>
      </c>
      <c r="AT73" s="55">
        <f>IF(AK73="","",AN73+AO73+AP73+AQ73+AR73+AS73)</f>
        <v/>
      </c>
      <c r="AU73" s="39">
        <f>IF(AK73="","",AK73-AT73)</f>
        <v/>
      </c>
      <c r="AV73" s="56">
        <f>IF(AU73="","",AU73/IF(N(Z73)&gt;0,Z73,RiskPerTrade))</f>
        <v/>
      </c>
      <c r="AW73" s="31">
        <f>IF(AU73="","",AU73/Capital)</f>
        <v/>
      </c>
      <c r="AX73" s="37" t="n"/>
      <c r="AY73" s="37" t="n"/>
      <c r="AZ73" s="37" t="n"/>
      <c r="BA73" s="37" t="n"/>
      <c r="BB73" s="37" t="n"/>
      <c r="BC73" s="37" t="n"/>
      <c r="BD73" s="37" t="n"/>
      <c r="BE73" s="5">
        <f>IF(AU73="","",IF(AU73&gt;0,"Win",IF(AU73&lt;0,"Loss","BE")))</f>
        <v/>
      </c>
      <c r="BF73" s="5">
        <f>IF(O73="","",LOOKUP(O73,List_BucketStart,List_BucketLabel))</f>
        <v/>
      </c>
      <c r="BG73" s="57">
        <f>IF(B73="","",B73-WEEKDAY(B73,3))</f>
        <v/>
      </c>
      <c r="BH73" s="28">
        <f>IF(B73="","",COUNTIF($B$6:B73,B73))</f>
        <v/>
      </c>
      <c r="BI73" s="39">
        <f>IF(B73="","",SUMIFS($AU$6:AU73,$B$6:B73,B73)-N(AU73))</f>
        <v/>
      </c>
      <c r="BJ73" s="5">
        <f>IF(OR(B73="",E73=""),"",IF(AND(E73=0,I73="Sell",MAX(N(O73),N(AD73))&gt;ExpiryCutoff),"BREACH","OK"))</f>
        <v/>
      </c>
      <c r="BK73" s="5">
        <f>IF(B73="","",IF(OR(AC73&lt;&gt;"OK",BJ73="BREACH",BH73&gt;MaxTradesDay,BI73&lt;=-DailyLossLimit,OR(AF73="Panic",AF73="Revenge",AF73="Rule break")),"CHECK","OK"))</f>
        <v/>
      </c>
      <c r="BL73" s="39">
        <f>IF(AU73="","",SUM($AU$6:AU73))</f>
        <v/>
      </c>
      <c r="BM73" s="39">
        <f>IF(BL73="","",Capital+BL73)</f>
        <v/>
      </c>
      <c r="BN73" s="39">
        <f>IF(BM73="","",MAX(Capital,MAX($BM$6:BM73)))</f>
        <v/>
      </c>
      <c r="BO73" s="39">
        <f>IF(BM73="","",BN73-BM73)</f>
        <v/>
      </c>
      <c r="BP73" s="58">
        <f>IF(BO73="","",BO73/BN73)</f>
        <v/>
      </c>
      <c r="BQ73" s="28">
        <f>IF(AU73="","",IF(AU73&lt;0,N(BQ72)+1,0))</f>
        <v/>
      </c>
    </row>
    <row r="74">
      <c r="A74" s="28">
        <f>IF(B74="","",COUNT($B$6:B74))</f>
        <v/>
      </c>
      <c r="B74" s="27" t="n"/>
      <c r="C74" s="5">
        <f>IF(B74="","",TEXT(B74,"ddd"))</f>
        <v/>
      </c>
      <c r="D74" s="27" t="n"/>
      <c r="E74" s="28">
        <f>IF(OR(B74="",D74=""),"",MAX(0,NETWORKDAYS(B74,D74)-1))</f>
        <v/>
      </c>
      <c r="F74" s="37" t="n"/>
      <c r="G74" s="36" t="n"/>
      <c r="H74" s="37" t="n"/>
      <c r="I74" s="37" t="n"/>
      <c r="J74" s="37" t="n"/>
      <c r="K74" s="37" t="n"/>
      <c r="L74" s="36" t="n"/>
      <c r="M74" s="36" t="n"/>
      <c r="N74" s="33">
        <f>IF(M74="","",M74*LotSize)</f>
        <v/>
      </c>
      <c r="O74" s="51" t="n"/>
      <c r="P74" s="32" t="n"/>
      <c r="Q74" s="29" t="n"/>
      <c r="R74" s="30">
        <f>IF(OR(G74="",Q74="",H74=""),"",IF(H74="CE",G74-Q74,Q74-G74))</f>
        <v/>
      </c>
      <c r="S74" s="31">
        <f>IF(R74="","",R74/Q74)</f>
        <v/>
      </c>
      <c r="T74" s="38" t="n"/>
      <c r="U74" s="32" t="n"/>
      <c r="V74" s="52" t="n"/>
      <c r="W74" s="37" t="n"/>
      <c r="X74" s="32" t="n"/>
      <c r="Y74" s="32" t="n"/>
      <c r="Z74" s="39">
        <f>IF(OR(X74="",P74="",N74=""),"",ABS(X74-P74)*N74)</f>
        <v/>
      </c>
      <c r="AA74" s="53">
        <f>IF(OR(Z74="",Y74=""),"",IF(Z74=0,"",ABS(P74-Y74)*N74/Z74))</f>
        <v/>
      </c>
      <c r="AB74" s="54">
        <f>IF(Z74="","",Z74/Capital)</f>
        <v/>
      </c>
      <c r="AC74" s="5">
        <f>IF(B74="","",IF(X74="","NO SL",IF(OR(N(M74)&gt;MaxLots,N(AB74)&gt;RiskPct),"OVERSIZED","OK")))</f>
        <v/>
      </c>
      <c r="AD74" s="51" t="n"/>
      <c r="AE74" s="32" t="n"/>
      <c r="AF74" s="37" t="n"/>
      <c r="AG74" s="32" t="n"/>
      <c r="AH74" s="32" t="n"/>
      <c r="AI74" s="39">
        <f>IF(OR(AG74="",P74="",N74=""),"",ABS(AG74-P74)*N74)</f>
        <v/>
      </c>
      <c r="AJ74" s="39">
        <f>IF(OR(AH74="",P74="",N74=""),"",ABS(P74-AH74)*N74)</f>
        <v/>
      </c>
      <c r="AK74" s="39">
        <f>IF(OR(AE74="",P74="",N74=""),"",IF(I74="Buy",AE74-P74,P74-AE74)*N74)</f>
        <v/>
      </c>
      <c r="AL74" s="39">
        <f>IF(OR(AJ74="",AK74=""),"",MAX(0,AJ74-AK74))</f>
        <v/>
      </c>
      <c r="AM74" s="39">
        <f>IF(AK74="","",(P74+AE74)*N74)</f>
        <v/>
      </c>
      <c r="AN74" s="55">
        <f>IF(AK74="","",BrokeragePerOrder*2*MAX(1,N(L74)))</f>
        <v/>
      </c>
      <c r="AO74" s="55">
        <f>IF(AK74="","",STTRate*IF(I74="Buy",AE74,P74)*N74)</f>
        <v/>
      </c>
      <c r="AP74" s="55">
        <f>IF(AK74="","",ExchRate*AM74)</f>
        <v/>
      </c>
      <c r="AQ74" s="55">
        <f>IF(AK74="","",SEBIRate*AM74)</f>
        <v/>
      </c>
      <c r="AR74" s="55">
        <f>IF(AK74="","",StampRate*IF(I74="Buy",P74,AE74)*N74)</f>
        <v/>
      </c>
      <c r="AS74" s="55">
        <f>IF(AK74="","",GSTRate*(AN74+AP74+AQ74))</f>
        <v/>
      </c>
      <c r="AT74" s="55">
        <f>IF(AK74="","",AN74+AO74+AP74+AQ74+AR74+AS74)</f>
        <v/>
      </c>
      <c r="AU74" s="39">
        <f>IF(AK74="","",AK74-AT74)</f>
        <v/>
      </c>
      <c r="AV74" s="56">
        <f>IF(AU74="","",AU74/IF(N(Z74)&gt;0,Z74,RiskPerTrade))</f>
        <v/>
      </c>
      <c r="AW74" s="31">
        <f>IF(AU74="","",AU74/Capital)</f>
        <v/>
      </c>
      <c r="AX74" s="37" t="n"/>
      <c r="AY74" s="37" t="n"/>
      <c r="AZ74" s="37" t="n"/>
      <c r="BA74" s="37" t="n"/>
      <c r="BB74" s="37" t="n"/>
      <c r="BC74" s="37" t="n"/>
      <c r="BD74" s="37" t="n"/>
      <c r="BE74" s="5">
        <f>IF(AU74="","",IF(AU74&gt;0,"Win",IF(AU74&lt;0,"Loss","BE")))</f>
        <v/>
      </c>
      <c r="BF74" s="5">
        <f>IF(O74="","",LOOKUP(O74,List_BucketStart,List_BucketLabel))</f>
        <v/>
      </c>
      <c r="BG74" s="57">
        <f>IF(B74="","",B74-WEEKDAY(B74,3))</f>
        <v/>
      </c>
      <c r="BH74" s="28">
        <f>IF(B74="","",COUNTIF($B$6:B74,B74))</f>
        <v/>
      </c>
      <c r="BI74" s="39">
        <f>IF(B74="","",SUMIFS($AU$6:AU74,$B$6:B74,B74)-N(AU74))</f>
        <v/>
      </c>
      <c r="BJ74" s="5">
        <f>IF(OR(B74="",E74=""),"",IF(AND(E74=0,I74="Sell",MAX(N(O74),N(AD74))&gt;ExpiryCutoff),"BREACH","OK"))</f>
        <v/>
      </c>
      <c r="BK74" s="5">
        <f>IF(B74="","",IF(OR(AC74&lt;&gt;"OK",BJ74="BREACH",BH74&gt;MaxTradesDay,BI74&lt;=-DailyLossLimit,OR(AF74="Panic",AF74="Revenge",AF74="Rule break")),"CHECK","OK"))</f>
        <v/>
      </c>
      <c r="BL74" s="39">
        <f>IF(AU74="","",SUM($AU$6:AU74))</f>
        <v/>
      </c>
      <c r="BM74" s="39">
        <f>IF(BL74="","",Capital+BL74)</f>
        <v/>
      </c>
      <c r="BN74" s="39">
        <f>IF(BM74="","",MAX(Capital,MAX($BM$6:BM74)))</f>
        <v/>
      </c>
      <c r="BO74" s="39">
        <f>IF(BM74="","",BN74-BM74)</f>
        <v/>
      </c>
      <c r="BP74" s="58">
        <f>IF(BO74="","",BO74/BN74)</f>
        <v/>
      </c>
      <c r="BQ74" s="28">
        <f>IF(AU74="","",IF(AU74&lt;0,N(BQ73)+1,0))</f>
        <v/>
      </c>
    </row>
    <row r="75">
      <c r="A75" s="28">
        <f>IF(B75="","",COUNT($B$6:B75))</f>
        <v/>
      </c>
      <c r="B75" s="27" t="n"/>
      <c r="C75" s="5">
        <f>IF(B75="","",TEXT(B75,"ddd"))</f>
        <v/>
      </c>
      <c r="D75" s="27" t="n"/>
      <c r="E75" s="28">
        <f>IF(OR(B75="",D75=""),"",MAX(0,NETWORKDAYS(B75,D75)-1))</f>
        <v/>
      </c>
      <c r="F75" s="37" t="n"/>
      <c r="G75" s="36" t="n"/>
      <c r="H75" s="37" t="n"/>
      <c r="I75" s="37" t="n"/>
      <c r="J75" s="37" t="n"/>
      <c r="K75" s="37" t="n"/>
      <c r="L75" s="36" t="n"/>
      <c r="M75" s="36" t="n"/>
      <c r="N75" s="33">
        <f>IF(M75="","",M75*LotSize)</f>
        <v/>
      </c>
      <c r="O75" s="51" t="n"/>
      <c r="P75" s="32" t="n"/>
      <c r="Q75" s="29" t="n"/>
      <c r="R75" s="30">
        <f>IF(OR(G75="",Q75="",H75=""),"",IF(H75="CE",G75-Q75,Q75-G75))</f>
        <v/>
      </c>
      <c r="S75" s="31">
        <f>IF(R75="","",R75/Q75)</f>
        <v/>
      </c>
      <c r="T75" s="38" t="n"/>
      <c r="U75" s="32" t="n"/>
      <c r="V75" s="52" t="n"/>
      <c r="W75" s="37" t="n"/>
      <c r="X75" s="32" t="n"/>
      <c r="Y75" s="32" t="n"/>
      <c r="Z75" s="39">
        <f>IF(OR(X75="",P75="",N75=""),"",ABS(X75-P75)*N75)</f>
        <v/>
      </c>
      <c r="AA75" s="53">
        <f>IF(OR(Z75="",Y75=""),"",IF(Z75=0,"",ABS(P75-Y75)*N75/Z75))</f>
        <v/>
      </c>
      <c r="AB75" s="54">
        <f>IF(Z75="","",Z75/Capital)</f>
        <v/>
      </c>
      <c r="AC75" s="5">
        <f>IF(B75="","",IF(X75="","NO SL",IF(OR(N(M75)&gt;MaxLots,N(AB75)&gt;RiskPct),"OVERSIZED","OK")))</f>
        <v/>
      </c>
      <c r="AD75" s="51" t="n"/>
      <c r="AE75" s="32" t="n"/>
      <c r="AF75" s="37" t="n"/>
      <c r="AG75" s="32" t="n"/>
      <c r="AH75" s="32" t="n"/>
      <c r="AI75" s="39">
        <f>IF(OR(AG75="",P75="",N75=""),"",ABS(AG75-P75)*N75)</f>
        <v/>
      </c>
      <c r="AJ75" s="39">
        <f>IF(OR(AH75="",P75="",N75=""),"",ABS(P75-AH75)*N75)</f>
        <v/>
      </c>
      <c r="AK75" s="39">
        <f>IF(OR(AE75="",P75="",N75=""),"",IF(I75="Buy",AE75-P75,P75-AE75)*N75)</f>
        <v/>
      </c>
      <c r="AL75" s="39">
        <f>IF(OR(AJ75="",AK75=""),"",MAX(0,AJ75-AK75))</f>
        <v/>
      </c>
      <c r="AM75" s="39">
        <f>IF(AK75="","",(P75+AE75)*N75)</f>
        <v/>
      </c>
      <c r="AN75" s="55">
        <f>IF(AK75="","",BrokeragePerOrder*2*MAX(1,N(L75)))</f>
        <v/>
      </c>
      <c r="AO75" s="55">
        <f>IF(AK75="","",STTRate*IF(I75="Buy",AE75,P75)*N75)</f>
        <v/>
      </c>
      <c r="AP75" s="55">
        <f>IF(AK75="","",ExchRate*AM75)</f>
        <v/>
      </c>
      <c r="AQ75" s="55">
        <f>IF(AK75="","",SEBIRate*AM75)</f>
        <v/>
      </c>
      <c r="AR75" s="55">
        <f>IF(AK75="","",StampRate*IF(I75="Buy",P75,AE75)*N75)</f>
        <v/>
      </c>
      <c r="AS75" s="55">
        <f>IF(AK75="","",GSTRate*(AN75+AP75+AQ75))</f>
        <v/>
      </c>
      <c r="AT75" s="55">
        <f>IF(AK75="","",AN75+AO75+AP75+AQ75+AR75+AS75)</f>
        <v/>
      </c>
      <c r="AU75" s="39">
        <f>IF(AK75="","",AK75-AT75)</f>
        <v/>
      </c>
      <c r="AV75" s="56">
        <f>IF(AU75="","",AU75/IF(N(Z75)&gt;0,Z75,RiskPerTrade))</f>
        <v/>
      </c>
      <c r="AW75" s="31">
        <f>IF(AU75="","",AU75/Capital)</f>
        <v/>
      </c>
      <c r="AX75" s="37" t="n"/>
      <c r="AY75" s="37" t="n"/>
      <c r="AZ75" s="37" t="n"/>
      <c r="BA75" s="37" t="n"/>
      <c r="BB75" s="37" t="n"/>
      <c r="BC75" s="37" t="n"/>
      <c r="BD75" s="37" t="n"/>
      <c r="BE75" s="5">
        <f>IF(AU75="","",IF(AU75&gt;0,"Win",IF(AU75&lt;0,"Loss","BE")))</f>
        <v/>
      </c>
      <c r="BF75" s="5">
        <f>IF(O75="","",LOOKUP(O75,List_BucketStart,List_BucketLabel))</f>
        <v/>
      </c>
      <c r="BG75" s="57">
        <f>IF(B75="","",B75-WEEKDAY(B75,3))</f>
        <v/>
      </c>
      <c r="BH75" s="28">
        <f>IF(B75="","",COUNTIF($B$6:B75,B75))</f>
        <v/>
      </c>
      <c r="BI75" s="39">
        <f>IF(B75="","",SUMIFS($AU$6:AU75,$B$6:B75,B75)-N(AU75))</f>
        <v/>
      </c>
      <c r="BJ75" s="5">
        <f>IF(OR(B75="",E75=""),"",IF(AND(E75=0,I75="Sell",MAX(N(O75),N(AD75))&gt;ExpiryCutoff),"BREACH","OK"))</f>
        <v/>
      </c>
      <c r="BK75" s="5">
        <f>IF(B75="","",IF(OR(AC75&lt;&gt;"OK",BJ75="BREACH",BH75&gt;MaxTradesDay,BI75&lt;=-DailyLossLimit,OR(AF75="Panic",AF75="Revenge",AF75="Rule break")),"CHECK","OK"))</f>
        <v/>
      </c>
      <c r="BL75" s="39">
        <f>IF(AU75="","",SUM($AU$6:AU75))</f>
        <v/>
      </c>
      <c r="BM75" s="39">
        <f>IF(BL75="","",Capital+BL75)</f>
        <v/>
      </c>
      <c r="BN75" s="39">
        <f>IF(BM75="","",MAX(Capital,MAX($BM$6:BM75)))</f>
        <v/>
      </c>
      <c r="BO75" s="39">
        <f>IF(BM75="","",BN75-BM75)</f>
        <v/>
      </c>
      <c r="BP75" s="58">
        <f>IF(BO75="","",BO75/BN75)</f>
        <v/>
      </c>
      <c r="BQ75" s="28">
        <f>IF(AU75="","",IF(AU75&lt;0,N(BQ74)+1,0))</f>
        <v/>
      </c>
    </row>
    <row r="76">
      <c r="A76" s="28">
        <f>IF(B76="","",COUNT($B$6:B76))</f>
        <v/>
      </c>
      <c r="B76" s="27" t="n"/>
      <c r="C76" s="5">
        <f>IF(B76="","",TEXT(B76,"ddd"))</f>
        <v/>
      </c>
      <c r="D76" s="27" t="n"/>
      <c r="E76" s="28">
        <f>IF(OR(B76="",D76=""),"",MAX(0,NETWORKDAYS(B76,D76)-1))</f>
        <v/>
      </c>
      <c r="F76" s="37" t="n"/>
      <c r="G76" s="36" t="n"/>
      <c r="H76" s="37" t="n"/>
      <c r="I76" s="37" t="n"/>
      <c r="J76" s="37" t="n"/>
      <c r="K76" s="37" t="n"/>
      <c r="L76" s="36" t="n"/>
      <c r="M76" s="36" t="n"/>
      <c r="N76" s="33">
        <f>IF(M76="","",M76*LotSize)</f>
        <v/>
      </c>
      <c r="O76" s="51" t="n"/>
      <c r="P76" s="32" t="n"/>
      <c r="Q76" s="29" t="n"/>
      <c r="R76" s="30">
        <f>IF(OR(G76="",Q76="",H76=""),"",IF(H76="CE",G76-Q76,Q76-G76))</f>
        <v/>
      </c>
      <c r="S76" s="31">
        <f>IF(R76="","",R76/Q76)</f>
        <v/>
      </c>
      <c r="T76" s="38" t="n"/>
      <c r="U76" s="32" t="n"/>
      <c r="V76" s="52" t="n"/>
      <c r="W76" s="37" t="n"/>
      <c r="X76" s="32" t="n"/>
      <c r="Y76" s="32" t="n"/>
      <c r="Z76" s="39">
        <f>IF(OR(X76="",P76="",N76=""),"",ABS(X76-P76)*N76)</f>
        <v/>
      </c>
      <c r="AA76" s="53">
        <f>IF(OR(Z76="",Y76=""),"",IF(Z76=0,"",ABS(P76-Y76)*N76/Z76))</f>
        <v/>
      </c>
      <c r="AB76" s="54">
        <f>IF(Z76="","",Z76/Capital)</f>
        <v/>
      </c>
      <c r="AC76" s="5">
        <f>IF(B76="","",IF(X76="","NO SL",IF(OR(N(M76)&gt;MaxLots,N(AB76)&gt;RiskPct),"OVERSIZED","OK")))</f>
        <v/>
      </c>
      <c r="AD76" s="51" t="n"/>
      <c r="AE76" s="32" t="n"/>
      <c r="AF76" s="37" t="n"/>
      <c r="AG76" s="32" t="n"/>
      <c r="AH76" s="32" t="n"/>
      <c r="AI76" s="39">
        <f>IF(OR(AG76="",P76="",N76=""),"",ABS(AG76-P76)*N76)</f>
        <v/>
      </c>
      <c r="AJ76" s="39">
        <f>IF(OR(AH76="",P76="",N76=""),"",ABS(P76-AH76)*N76)</f>
        <v/>
      </c>
      <c r="AK76" s="39">
        <f>IF(OR(AE76="",P76="",N76=""),"",IF(I76="Buy",AE76-P76,P76-AE76)*N76)</f>
        <v/>
      </c>
      <c r="AL76" s="39">
        <f>IF(OR(AJ76="",AK76=""),"",MAX(0,AJ76-AK76))</f>
        <v/>
      </c>
      <c r="AM76" s="39">
        <f>IF(AK76="","",(P76+AE76)*N76)</f>
        <v/>
      </c>
      <c r="AN76" s="55">
        <f>IF(AK76="","",BrokeragePerOrder*2*MAX(1,N(L76)))</f>
        <v/>
      </c>
      <c r="AO76" s="55">
        <f>IF(AK76="","",STTRate*IF(I76="Buy",AE76,P76)*N76)</f>
        <v/>
      </c>
      <c r="AP76" s="55">
        <f>IF(AK76="","",ExchRate*AM76)</f>
        <v/>
      </c>
      <c r="AQ76" s="55">
        <f>IF(AK76="","",SEBIRate*AM76)</f>
        <v/>
      </c>
      <c r="AR76" s="55">
        <f>IF(AK76="","",StampRate*IF(I76="Buy",P76,AE76)*N76)</f>
        <v/>
      </c>
      <c r="AS76" s="55">
        <f>IF(AK76="","",GSTRate*(AN76+AP76+AQ76))</f>
        <v/>
      </c>
      <c r="AT76" s="55">
        <f>IF(AK76="","",AN76+AO76+AP76+AQ76+AR76+AS76)</f>
        <v/>
      </c>
      <c r="AU76" s="39">
        <f>IF(AK76="","",AK76-AT76)</f>
        <v/>
      </c>
      <c r="AV76" s="56">
        <f>IF(AU76="","",AU76/IF(N(Z76)&gt;0,Z76,RiskPerTrade))</f>
        <v/>
      </c>
      <c r="AW76" s="31">
        <f>IF(AU76="","",AU76/Capital)</f>
        <v/>
      </c>
      <c r="AX76" s="37" t="n"/>
      <c r="AY76" s="37" t="n"/>
      <c r="AZ76" s="37" t="n"/>
      <c r="BA76" s="37" t="n"/>
      <c r="BB76" s="37" t="n"/>
      <c r="BC76" s="37" t="n"/>
      <c r="BD76" s="37" t="n"/>
      <c r="BE76" s="5">
        <f>IF(AU76="","",IF(AU76&gt;0,"Win",IF(AU76&lt;0,"Loss","BE")))</f>
        <v/>
      </c>
      <c r="BF76" s="5">
        <f>IF(O76="","",LOOKUP(O76,List_BucketStart,List_BucketLabel))</f>
        <v/>
      </c>
      <c r="BG76" s="57">
        <f>IF(B76="","",B76-WEEKDAY(B76,3))</f>
        <v/>
      </c>
      <c r="BH76" s="28">
        <f>IF(B76="","",COUNTIF($B$6:B76,B76))</f>
        <v/>
      </c>
      <c r="BI76" s="39">
        <f>IF(B76="","",SUMIFS($AU$6:AU76,$B$6:B76,B76)-N(AU76))</f>
        <v/>
      </c>
      <c r="BJ76" s="5">
        <f>IF(OR(B76="",E76=""),"",IF(AND(E76=0,I76="Sell",MAX(N(O76),N(AD76))&gt;ExpiryCutoff),"BREACH","OK"))</f>
        <v/>
      </c>
      <c r="BK76" s="5">
        <f>IF(B76="","",IF(OR(AC76&lt;&gt;"OK",BJ76="BREACH",BH76&gt;MaxTradesDay,BI76&lt;=-DailyLossLimit,OR(AF76="Panic",AF76="Revenge",AF76="Rule break")),"CHECK","OK"))</f>
        <v/>
      </c>
      <c r="BL76" s="39">
        <f>IF(AU76="","",SUM($AU$6:AU76))</f>
        <v/>
      </c>
      <c r="BM76" s="39">
        <f>IF(BL76="","",Capital+BL76)</f>
        <v/>
      </c>
      <c r="BN76" s="39">
        <f>IF(BM76="","",MAX(Capital,MAX($BM$6:BM76)))</f>
        <v/>
      </c>
      <c r="BO76" s="39">
        <f>IF(BM76="","",BN76-BM76)</f>
        <v/>
      </c>
      <c r="BP76" s="58">
        <f>IF(BO76="","",BO76/BN76)</f>
        <v/>
      </c>
      <c r="BQ76" s="28">
        <f>IF(AU76="","",IF(AU76&lt;0,N(BQ75)+1,0))</f>
        <v/>
      </c>
    </row>
    <row r="77">
      <c r="A77" s="28">
        <f>IF(B77="","",COUNT($B$6:B77))</f>
        <v/>
      </c>
      <c r="B77" s="27" t="n"/>
      <c r="C77" s="5">
        <f>IF(B77="","",TEXT(B77,"ddd"))</f>
        <v/>
      </c>
      <c r="D77" s="27" t="n"/>
      <c r="E77" s="28">
        <f>IF(OR(B77="",D77=""),"",MAX(0,NETWORKDAYS(B77,D77)-1))</f>
        <v/>
      </c>
      <c r="F77" s="37" t="n"/>
      <c r="G77" s="36" t="n"/>
      <c r="H77" s="37" t="n"/>
      <c r="I77" s="37" t="n"/>
      <c r="J77" s="37" t="n"/>
      <c r="K77" s="37" t="n"/>
      <c r="L77" s="36" t="n"/>
      <c r="M77" s="36" t="n"/>
      <c r="N77" s="33">
        <f>IF(M77="","",M77*LotSize)</f>
        <v/>
      </c>
      <c r="O77" s="51" t="n"/>
      <c r="P77" s="32" t="n"/>
      <c r="Q77" s="29" t="n"/>
      <c r="R77" s="30">
        <f>IF(OR(G77="",Q77="",H77=""),"",IF(H77="CE",G77-Q77,Q77-G77))</f>
        <v/>
      </c>
      <c r="S77" s="31">
        <f>IF(R77="","",R77/Q77)</f>
        <v/>
      </c>
      <c r="T77" s="38" t="n"/>
      <c r="U77" s="32" t="n"/>
      <c r="V77" s="52" t="n"/>
      <c r="W77" s="37" t="n"/>
      <c r="X77" s="32" t="n"/>
      <c r="Y77" s="32" t="n"/>
      <c r="Z77" s="39">
        <f>IF(OR(X77="",P77="",N77=""),"",ABS(X77-P77)*N77)</f>
        <v/>
      </c>
      <c r="AA77" s="53">
        <f>IF(OR(Z77="",Y77=""),"",IF(Z77=0,"",ABS(P77-Y77)*N77/Z77))</f>
        <v/>
      </c>
      <c r="AB77" s="54">
        <f>IF(Z77="","",Z77/Capital)</f>
        <v/>
      </c>
      <c r="AC77" s="5">
        <f>IF(B77="","",IF(X77="","NO SL",IF(OR(N(M77)&gt;MaxLots,N(AB77)&gt;RiskPct),"OVERSIZED","OK")))</f>
        <v/>
      </c>
      <c r="AD77" s="51" t="n"/>
      <c r="AE77" s="32" t="n"/>
      <c r="AF77" s="37" t="n"/>
      <c r="AG77" s="32" t="n"/>
      <c r="AH77" s="32" t="n"/>
      <c r="AI77" s="39">
        <f>IF(OR(AG77="",P77="",N77=""),"",ABS(AG77-P77)*N77)</f>
        <v/>
      </c>
      <c r="AJ77" s="39">
        <f>IF(OR(AH77="",P77="",N77=""),"",ABS(P77-AH77)*N77)</f>
        <v/>
      </c>
      <c r="AK77" s="39">
        <f>IF(OR(AE77="",P77="",N77=""),"",IF(I77="Buy",AE77-P77,P77-AE77)*N77)</f>
        <v/>
      </c>
      <c r="AL77" s="39">
        <f>IF(OR(AJ77="",AK77=""),"",MAX(0,AJ77-AK77))</f>
        <v/>
      </c>
      <c r="AM77" s="39">
        <f>IF(AK77="","",(P77+AE77)*N77)</f>
        <v/>
      </c>
      <c r="AN77" s="55">
        <f>IF(AK77="","",BrokeragePerOrder*2*MAX(1,N(L77)))</f>
        <v/>
      </c>
      <c r="AO77" s="55">
        <f>IF(AK77="","",STTRate*IF(I77="Buy",AE77,P77)*N77)</f>
        <v/>
      </c>
      <c r="AP77" s="55">
        <f>IF(AK77="","",ExchRate*AM77)</f>
        <v/>
      </c>
      <c r="AQ77" s="55">
        <f>IF(AK77="","",SEBIRate*AM77)</f>
        <v/>
      </c>
      <c r="AR77" s="55">
        <f>IF(AK77="","",StampRate*IF(I77="Buy",P77,AE77)*N77)</f>
        <v/>
      </c>
      <c r="AS77" s="55">
        <f>IF(AK77="","",GSTRate*(AN77+AP77+AQ77))</f>
        <v/>
      </c>
      <c r="AT77" s="55">
        <f>IF(AK77="","",AN77+AO77+AP77+AQ77+AR77+AS77)</f>
        <v/>
      </c>
      <c r="AU77" s="39">
        <f>IF(AK77="","",AK77-AT77)</f>
        <v/>
      </c>
      <c r="AV77" s="56">
        <f>IF(AU77="","",AU77/IF(N(Z77)&gt;0,Z77,RiskPerTrade))</f>
        <v/>
      </c>
      <c r="AW77" s="31">
        <f>IF(AU77="","",AU77/Capital)</f>
        <v/>
      </c>
      <c r="AX77" s="37" t="n"/>
      <c r="AY77" s="37" t="n"/>
      <c r="AZ77" s="37" t="n"/>
      <c r="BA77" s="37" t="n"/>
      <c r="BB77" s="37" t="n"/>
      <c r="BC77" s="37" t="n"/>
      <c r="BD77" s="37" t="n"/>
      <c r="BE77" s="5">
        <f>IF(AU77="","",IF(AU77&gt;0,"Win",IF(AU77&lt;0,"Loss","BE")))</f>
        <v/>
      </c>
      <c r="BF77" s="5">
        <f>IF(O77="","",LOOKUP(O77,List_BucketStart,List_BucketLabel))</f>
        <v/>
      </c>
      <c r="BG77" s="57">
        <f>IF(B77="","",B77-WEEKDAY(B77,3))</f>
        <v/>
      </c>
      <c r="BH77" s="28">
        <f>IF(B77="","",COUNTIF($B$6:B77,B77))</f>
        <v/>
      </c>
      <c r="BI77" s="39">
        <f>IF(B77="","",SUMIFS($AU$6:AU77,$B$6:B77,B77)-N(AU77))</f>
        <v/>
      </c>
      <c r="BJ77" s="5">
        <f>IF(OR(B77="",E77=""),"",IF(AND(E77=0,I77="Sell",MAX(N(O77),N(AD77))&gt;ExpiryCutoff),"BREACH","OK"))</f>
        <v/>
      </c>
      <c r="BK77" s="5">
        <f>IF(B77="","",IF(OR(AC77&lt;&gt;"OK",BJ77="BREACH",BH77&gt;MaxTradesDay,BI77&lt;=-DailyLossLimit,OR(AF77="Panic",AF77="Revenge",AF77="Rule break")),"CHECK","OK"))</f>
        <v/>
      </c>
      <c r="BL77" s="39">
        <f>IF(AU77="","",SUM($AU$6:AU77))</f>
        <v/>
      </c>
      <c r="BM77" s="39">
        <f>IF(BL77="","",Capital+BL77)</f>
        <v/>
      </c>
      <c r="BN77" s="39">
        <f>IF(BM77="","",MAX(Capital,MAX($BM$6:BM77)))</f>
        <v/>
      </c>
      <c r="BO77" s="39">
        <f>IF(BM77="","",BN77-BM77)</f>
        <v/>
      </c>
      <c r="BP77" s="58">
        <f>IF(BO77="","",BO77/BN77)</f>
        <v/>
      </c>
      <c r="BQ77" s="28">
        <f>IF(AU77="","",IF(AU77&lt;0,N(BQ76)+1,0))</f>
        <v/>
      </c>
    </row>
    <row r="78">
      <c r="A78" s="28">
        <f>IF(B78="","",COUNT($B$6:B78))</f>
        <v/>
      </c>
      <c r="B78" s="27" t="n"/>
      <c r="C78" s="5">
        <f>IF(B78="","",TEXT(B78,"ddd"))</f>
        <v/>
      </c>
      <c r="D78" s="27" t="n"/>
      <c r="E78" s="28">
        <f>IF(OR(B78="",D78=""),"",MAX(0,NETWORKDAYS(B78,D78)-1))</f>
        <v/>
      </c>
      <c r="F78" s="37" t="n"/>
      <c r="G78" s="36" t="n"/>
      <c r="H78" s="37" t="n"/>
      <c r="I78" s="37" t="n"/>
      <c r="J78" s="37" t="n"/>
      <c r="K78" s="37" t="n"/>
      <c r="L78" s="36" t="n"/>
      <c r="M78" s="36" t="n"/>
      <c r="N78" s="33">
        <f>IF(M78="","",M78*LotSize)</f>
        <v/>
      </c>
      <c r="O78" s="51" t="n"/>
      <c r="P78" s="32" t="n"/>
      <c r="Q78" s="29" t="n"/>
      <c r="R78" s="30">
        <f>IF(OR(G78="",Q78="",H78=""),"",IF(H78="CE",G78-Q78,Q78-G78))</f>
        <v/>
      </c>
      <c r="S78" s="31">
        <f>IF(R78="","",R78/Q78)</f>
        <v/>
      </c>
      <c r="T78" s="38" t="n"/>
      <c r="U78" s="32" t="n"/>
      <c r="V78" s="52" t="n"/>
      <c r="W78" s="37" t="n"/>
      <c r="X78" s="32" t="n"/>
      <c r="Y78" s="32" t="n"/>
      <c r="Z78" s="39">
        <f>IF(OR(X78="",P78="",N78=""),"",ABS(X78-P78)*N78)</f>
        <v/>
      </c>
      <c r="AA78" s="53">
        <f>IF(OR(Z78="",Y78=""),"",IF(Z78=0,"",ABS(P78-Y78)*N78/Z78))</f>
        <v/>
      </c>
      <c r="AB78" s="54">
        <f>IF(Z78="","",Z78/Capital)</f>
        <v/>
      </c>
      <c r="AC78" s="5">
        <f>IF(B78="","",IF(X78="","NO SL",IF(OR(N(M78)&gt;MaxLots,N(AB78)&gt;RiskPct),"OVERSIZED","OK")))</f>
        <v/>
      </c>
      <c r="AD78" s="51" t="n"/>
      <c r="AE78" s="32" t="n"/>
      <c r="AF78" s="37" t="n"/>
      <c r="AG78" s="32" t="n"/>
      <c r="AH78" s="32" t="n"/>
      <c r="AI78" s="39">
        <f>IF(OR(AG78="",P78="",N78=""),"",ABS(AG78-P78)*N78)</f>
        <v/>
      </c>
      <c r="AJ78" s="39">
        <f>IF(OR(AH78="",P78="",N78=""),"",ABS(P78-AH78)*N78)</f>
        <v/>
      </c>
      <c r="AK78" s="39">
        <f>IF(OR(AE78="",P78="",N78=""),"",IF(I78="Buy",AE78-P78,P78-AE78)*N78)</f>
        <v/>
      </c>
      <c r="AL78" s="39">
        <f>IF(OR(AJ78="",AK78=""),"",MAX(0,AJ78-AK78))</f>
        <v/>
      </c>
      <c r="AM78" s="39">
        <f>IF(AK78="","",(P78+AE78)*N78)</f>
        <v/>
      </c>
      <c r="AN78" s="55">
        <f>IF(AK78="","",BrokeragePerOrder*2*MAX(1,N(L78)))</f>
        <v/>
      </c>
      <c r="AO78" s="55">
        <f>IF(AK78="","",STTRate*IF(I78="Buy",AE78,P78)*N78)</f>
        <v/>
      </c>
      <c r="AP78" s="55">
        <f>IF(AK78="","",ExchRate*AM78)</f>
        <v/>
      </c>
      <c r="AQ78" s="55">
        <f>IF(AK78="","",SEBIRate*AM78)</f>
        <v/>
      </c>
      <c r="AR78" s="55">
        <f>IF(AK78="","",StampRate*IF(I78="Buy",P78,AE78)*N78)</f>
        <v/>
      </c>
      <c r="AS78" s="55">
        <f>IF(AK78="","",GSTRate*(AN78+AP78+AQ78))</f>
        <v/>
      </c>
      <c r="AT78" s="55">
        <f>IF(AK78="","",AN78+AO78+AP78+AQ78+AR78+AS78)</f>
        <v/>
      </c>
      <c r="AU78" s="39">
        <f>IF(AK78="","",AK78-AT78)</f>
        <v/>
      </c>
      <c r="AV78" s="56">
        <f>IF(AU78="","",AU78/IF(N(Z78)&gt;0,Z78,RiskPerTrade))</f>
        <v/>
      </c>
      <c r="AW78" s="31">
        <f>IF(AU78="","",AU78/Capital)</f>
        <v/>
      </c>
      <c r="AX78" s="37" t="n"/>
      <c r="AY78" s="37" t="n"/>
      <c r="AZ78" s="37" t="n"/>
      <c r="BA78" s="37" t="n"/>
      <c r="BB78" s="37" t="n"/>
      <c r="BC78" s="37" t="n"/>
      <c r="BD78" s="37" t="n"/>
      <c r="BE78" s="5">
        <f>IF(AU78="","",IF(AU78&gt;0,"Win",IF(AU78&lt;0,"Loss","BE")))</f>
        <v/>
      </c>
      <c r="BF78" s="5">
        <f>IF(O78="","",LOOKUP(O78,List_BucketStart,List_BucketLabel))</f>
        <v/>
      </c>
      <c r="BG78" s="57">
        <f>IF(B78="","",B78-WEEKDAY(B78,3))</f>
        <v/>
      </c>
      <c r="BH78" s="28">
        <f>IF(B78="","",COUNTIF($B$6:B78,B78))</f>
        <v/>
      </c>
      <c r="BI78" s="39">
        <f>IF(B78="","",SUMIFS($AU$6:AU78,$B$6:B78,B78)-N(AU78))</f>
        <v/>
      </c>
      <c r="BJ78" s="5">
        <f>IF(OR(B78="",E78=""),"",IF(AND(E78=0,I78="Sell",MAX(N(O78),N(AD78))&gt;ExpiryCutoff),"BREACH","OK"))</f>
        <v/>
      </c>
      <c r="BK78" s="5">
        <f>IF(B78="","",IF(OR(AC78&lt;&gt;"OK",BJ78="BREACH",BH78&gt;MaxTradesDay,BI78&lt;=-DailyLossLimit,OR(AF78="Panic",AF78="Revenge",AF78="Rule break")),"CHECK","OK"))</f>
        <v/>
      </c>
      <c r="BL78" s="39">
        <f>IF(AU78="","",SUM($AU$6:AU78))</f>
        <v/>
      </c>
      <c r="BM78" s="39">
        <f>IF(BL78="","",Capital+BL78)</f>
        <v/>
      </c>
      <c r="BN78" s="39">
        <f>IF(BM78="","",MAX(Capital,MAX($BM$6:BM78)))</f>
        <v/>
      </c>
      <c r="BO78" s="39">
        <f>IF(BM78="","",BN78-BM78)</f>
        <v/>
      </c>
      <c r="BP78" s="58">
        <f>IF(BO78="","",BO78/BN78)</f>
        <v/>
      </c>
      <c r="BQ78" s="28">
        <f>IF(AU78="","",IF(AU78&lt;0,N(BQ77)+1,0))</f>
        <v/>
      </c>
    </row>
    <row r="79">
      <c r="A79" s="28">
        <f>IF(B79="","",COUNT($B$6:B79))</f>
        <v/>
      </c>
      <c r="B79" s="27" t="n"/>
      <c r="C79" s="5">
        <f>IF(B79="","",TEXT(B79,"ddd"))</f>
        <v/>
      </c>
      <c r="D79" s="27" t="n"/>
      <c r="E79" s="28">
        <f>IF(OR(B79="",D79=""),"",MAX(0,NETWORKDAYS(B79,D79)-1))</f>
        <v/>
      </c>
      <c r="F79" s="37" t="n"/>
      <c r="G79" s="36" t="n"/>
      <c r="H79" s="37" t="n"/>
      <c r="I79" s="37" t="n"/>
      <c r="J79" s="37" t="n"/>
      <c r="K79" s="37" t="n"/>
      <c r="L79" s="36" t="n"/>
      <c r="M79" s="36" t="n"/>
      <c r="N79" s="33">
        <f>IF(M79="","",M79*LotSize)</f>
        <v/>
      </c>
      <c r="O79" s="51" t="n"/>
      <c r="P79" s="32" t="n"/>
      <c r="Q79" s="29" t="n"/>
      <c r="R79" s="30">
        <f>IF(OR(G79="",Q79="",H79=""),"",IF(H79="CE",G79-Q79,Q79-G79))</f>
        <v/>
      </c>
      <c r="S79" s="31">
        <f>IF(R79="","",R79/Q79)</f>
        <v/>
      </c>
      <c r="T79" s="38" t="n"/>
      <c r="U79" s="32" t="n"/>
      <c r="V79" s="52" t="n"/>
      <c r="W79" s="37" t="n"/>
      <c r="X79" s="32" t="n"/>
      <c r="Y79" s="32" t="n"/>
      <c r="Z79" s="39">
        <f>IF(OR(X79="",P79="",N79=""),"",ABS(X79-P79)*N79)</f>
        <v/>
      </c>
      <c r="AA79" s="53">
        <f>IF(OR(Z79="",Y79=""),"",IF(Z79=0,"",ABS(P79-Y79)*N79/Z79))</f>
        <v/>
      </c>
      <c r="AB79" s="54">
        <f>IF(Z79="","",Z79/Capital)</f>
        <v/>
      </c>
      <c r="AC79" s="5">
        <f>IF(B79="","",IF(X79="","NO SL",IF(OR(N(M79)&gt;MaxLots,N(AB79)&gt;RiskPct),"OVERSIZED","OK")))</f>
        <v/>
      </c>
      <c r="AD79" s="51" t="n"/>
      <c r="AE79" s="32" t="n"/>
      <c r="AF79" s="37" t="n"/>
      <c r="AG79" s="32" t="n"/>
      <c r="AH79" s="32" t="n"/>
      <c r="AI79" s="39">
        <f>IF(OR(AG79="",P79="",N79=""),"",ABS(AG79-P79)*N79)</f>
        <v/>
      </c>
      <c r="AJ79" s="39">
        <f>IF(OR(AH79="",P79="",N79=""),"",ABS(P79-AH79)*N79)</f>
        <v/>
      </c>
      <c r="AK79" s="39">
        <f>IF(OR(AE79="",P79="",N79=""),"",IF(I79="Buy",AE79-P79,P79-AE79)*N79)</f>
        <v/>
      </c>
      <c r="AL79" s="39">
        <f>IF(OR(AJ79="",AK79=""),"",MAX(0,AJ79-AK79))</f>
        <v/>
      </c>
      <c r="AM79" s="39">
        <f>IF(AK79="","",(P79+AE79)*N79)</f>
        <v/>
      </c>
      <c r="AN79" s="55">
        <f>IF(AK79="","",BrokeragePerOrder*2*MAX(1,N(L79)))</f>
        <v/>
      </c>
      <c r="AO79" s="55">
        <f>IF(AK79="","",STTRate*IF(I79="Buy",AE79,P79)*N79)</f>
        <v/>
      </c>
      <c r="AP79" s="55">
        <f>IF(AK79="","",ExchRate*AM79)</f>
        <v/>
      </c>
      <c r="AQ79" s="55">
        <f>IF(AK79="","",SEBIRate*AM79)</f>
        <v/>
      </c>
      <c r="AR79" s="55">
        <f>IF(AK79="","",StampRate*IF(I79="Buy",P79,AE79)*N79)</f>
        <v/>
      </c>
      <c r="AS79" s="55">
        <f>IF(AK79="","",GSTRate*(AN79+AP79+AQ79))</f>
        <v/>
      </c>
      <c r="AT79" s="55">
        <f>IF(AK79="","",AN79+AO79+AP79+AQ79+AR79+AS79)</f>
        <v/>
      </c>
      <c r="AU79" s="39">
        <f>IF(AK79="","",AK79-AT79)</f>
        <v/>
      </c>
      <c r="AV79" s="56">
        <f>IF(AU79="","",AU79/IF(N(Z79)&gt;0,Z79,RiskPerTrade))</f>
        <v/>
      </c>
      <c r="AW79" s="31">
        <f>IF(AU79="","",AU79/Capital)</f>
        <v/>
      </c>
      <c r="AX79" s="37" t="n"/>
      <c r="AY79" s="37" t="n"/>
      <c r="AZ79" s="37" t="n"/>
      <c r="BA79" s="37" t="n"/>
      <c r="BB79" s="37" t="n"/>
      <c r="BC79" s="37" t="n"/>
      <c r="BD79" s="37" t="n"/>
      <c r="BE79" s="5">
        <f>IF(AU79="","",IF(AU79&gt;0,"Win",IF(AU79&lt;0,"Loss","BE")))</f>
        <v/>
      </c>
      <c r="BF79" s="5">
        <f>IF(O79="","",LOOKUP(O79,List_BucketStart,List_BucketLabel))</f>
        <v/>
      </c>
      <c r="BG79" s="57">
        <f>IF(B79="","",B79-WEEKDAY(B79,3))</f>
        <v/>
      </c>
      <c r="BH79" s="28">
        <f>IF(B79="","",COUNTIF($B$6:B79,B79))</f>
        <v/>
      </c>
      <c r="BI79" s="39">
        <f>IF(B79="","",SUMIFS($AU$6:AU79,$B$6:B79,B79)-N(AU79))</f>
        <v/>
      </c>
      <c r="BJ79" s="5">
        <f>IF(OR(B79="",E79=""),"",IF(AND(E79=0,I79="Sell",MAX(N(O79),N(AD79))&gt;ExpiryCutoff),"BREACH","OK"))</f>
        <v/>
      </c>
      <c r="BK79" s="5">
        <f>IF(B79="","",IF(OR(AC79&lt;&gt;"OK",BJ79="BREACH",BH79&gt;MaxTradesDay,BI79&lt;=-DailyLossLimit,OR(AF79="Panic",AF79="Revenge",AF79="Rule break")),"CHECK","OK"))</f>
        <v/>
      </c>
      <c r="BL79" s="39">
        <f>IF(AU79="","",SUM($AU$6:AU79))</f>
        <v/>
      </c>
      <c r="BM79" s="39">
        <f>IF(BL79="","",Capital+BL79)</f>
        <v/>
      </c>
      <c r="BN79" s="39">
        <f>IF(BM79="","",MAX(Capital,MAX($BM$6:BM79)))</f>
        <v/>
      </c>
      <c r="BO79" s="39">
        <f>IF(BM79="","",BN79-BM79)</f>
        <v/>
      </c>
      <c r="BP79" s="58">
        <f>IF(BO79="","",BO79/BN79)</f>
        <v/>
      </c>
      <c r="BQ79" s="28">
        <f>IF(AU79="","",IF(AU79&lt;0,N(BQ78)+1,0))</f>
        <v/>
      </c>
    </row>
    <row r="80">
      <c r="A80" s="28">
        <f>IF(B80="","",COUNT($B$6:B80))</f>
        <v/>
      </c>
      <c r="B80" s="27" t="n"/>
      <c r="C80" s="5">
        <f>IF(B80="","",TEXT(B80,"ddd"))</f>
        <v/>
      </c>
      <c r="D80" s="27" t="n"/>
      <c r="E80" s="28">
        <f>IF(OR(B80="",D80=""),"",MAX(0,NETWORKDAYS(B80,D80)-1))</f>
        <v/>
      </c>
      <c r="F80" s="37" t="n"/>
      <c r="G80" s="36" t="n"/>
      <c r="H80" s="37" t="n"/>
      <c r="I80" s="37" t="n"/>
      <c r="J80" s="37" t="n"/>
      <c r="K80" s="37" t="n"/>
      <c r="L80" s="36" t="n"/>
      <c r="M80" s="36" t="n"/>
      <c r="N80" s="33">
        <f>IF(M80="","",M80*LotSize)</f>
        <v/>
      </c>
      <c r="O80" s="51" t="n"/>
      <c r="P80" s="32" t="n"/>
      <c r="Q80" s="29" t="n"/>
      <c r="R80" s="30">
        <f>IF(OR(G80="",Q80="",H80=""),"",IF(H80="CE",G80-Q80,Q80-G80))</f>
        <v/>
      </c>
      <c r="S80" s="31">
        <f>IF(R80="","",R80/Q80)</f>
        <v/>
      </c>
      <c r="T80" s="38" t="n"/>
      <c r="U80" s="32" t="n"/>
      <c r="V80" s="52" t="n"/>
      <c r="W80" s="37" t="n"/>
      <c r="X80" s="32" t="n"/>
      <c r="Y80" s="32" t="n"/>
      <c r="Z80" s="39">
        <f>IF(OR(X80="",P80="",N80=""),"",ABS(X80-P80)*N80)</f>
        <v/>
      </c>
      <c r="AA80" s="53">
        <f>IF(OR(Z80="",Y80=""),"",IF(Z80=0,"",ABS(P80-Y80)*N80/Z80))</f>
        <v/>
      </c>
      <c r="AB80" s="54">
        <f>IF(Z80="","",Z80/Capital)</f>
        <v/>
      </c>
      <c r="AC80" s="5">
        <f>IF(B80="","",IF(X80="","NO SL",IF(OR(N(M80)&gt;MaxLots,N(AB80)&gt;RiskPct),"OVERSIZED","OK")))</f>
        <v/>
      </c>
      <c r="AD80" s="51" t="n"/>
      <c r="AE80" s="32" t="n"/>
      <c r="AF80" s="37" t="n"/>
      <c r="AG80" s="32" t="n"/>
      <c r="AH80" s="32" t="n"/>
      <c r="AI80" s="39">
        <f>IF(OR(AG80="",P80="",N80=""),"",ABS(AG80-P80)*N80)</f>
        <v/>
      </c>
      <c r="AJ80" s="39">
        <f>IF(OR(AH80="",P80="",N80=""),"",ABS(P80-AH80)*N80)</f>
        <v/>
      </c>
      <c r="AK80" s="39">
        <f>IF(OR(AE80="",P80="",N80=""),"",IF(I80="Buy",AE80-P80,P80-AE80)*N80)</f>
        <v/>
      </c>
      <c r="AL80" s="39">
        <f>IF(OR(AJ80="",AK80=""),"",MAX(0,AJ80-AK80))</f>
        <v/>
      </c>
      <c r="AM80" s="39">
        <f>IF(AK80="","",(P80+AE80)*N80)</f>
        <v/>
      </c>
      <c r="AN80" s="55">
        <f>IF(AK80="","",BrokeragePerOrder*2*MAX(1,N(L80)))</f>
        <v/>
      </c>
      <c r="AO80" s="55">
        <f>IF(AK80="","",STTRate*IF(I80="Buy",AE80,P80)*N80)</f>
        <v/>
      </c>
      <c r="AP80" s="55">
        <f>IF(AK80="","",ExchRate*AM80)</f>
        <v/>
      </c>
      <c r="AQ80" s="55">
        <f>IF(AK80="","",SEBIRate*AM80)</f>
        <v/>
      </c>
      <c r="AR80" s="55">
        <f>IF(AK80="","",StampRate*IF(I80="Buy",P80,AE80)*N80)</f>
        <v/>
      </c>
      <c r="AS80" s="55">
        <f>IF(AK80="","",GSTRate*(AN80+AP80+AQ80))</f>
        <v/>
      </c>
      <c r="AT80" s="55">
        <f>IF(AK80="","",AN80+AO80+AP80+AQ80+AR80+AS80)</f>
        <v/>
      </c>
      <c r="AU80" s="39">
        <f>IF(AK80="","",AK80-AT80)</f>
        <v/>
      </c>
      <c r="AV80" s="56">
        <f>IF(AU80="","",AU80/IF(N(Z80)&gt;0,Z80,RiskPerTrade))</f>
        <v/>
      </c>
      <c r="AW80" s="31">
        <f>IF(AU80="","",AU80/Capital)</f>
        <v/>
      </c>
      <c r="AX80" s="37" t="n"/>
      <c r="AY80" s="37" t="n"/>
      <c r="AZ80" s="37" t="n"/>
      <c r="BA80" s="37" t="n"/>
      <c r="BB80" s="37" t="n"/>
      <c r="BC80" s="37" t="n"/>
      <c r="BD80" s="37" t="n"/>
      <c r="BE80" s="5">
        <f>IF(AU80="","",IF(AU80&gt;0,"Win",IF(AU80&lt;0,"Loss","BE")))</f>
        <v/>
      </c>
      <c r="BF80" s="5">
        <f>IF(O80="","",LOOKUP(O80,List_BucketStart,List_BucketLabel))</f>
        <v/>
      </c>
      <c r="BG80" s="57">
        <f>IF(B80="","",B80-WEEKDAY(B80,3))</f>
        <v/>
      </c>
      <c r="BH80" s="28">
        <f>IF(B80="","",COUNTIF($B$6:B80,B80))</f>
        <v/>
      </c>
      <c r="BI80" s="39">
        <f>IF(B80="","",SUMIFS($AU$6:AU80,$B$6:B80,B80)-N(AU80))</f>
        <v/>
      </c>
      <c r="BJ80" s="5">
        <f>IF(OR(B80="",E80=""),"",IF(AND(E80=0,I80="Sell",MAX(N(O80),N(AD80))&gt;ExpiryCutoff),"BREACH","OK"))</f>
        <v/>
      </c>
      <c r="BK80" s="5">
        <f>IF(B80="","",IF(OR(AC80&lt;&gt;"OK",BJ80="BREACH",BH80&gt;MaxTradesDay,BI80&lt;=-DailyLossLimit,OR(AF80="Panic",AF80="Revenge",AF80="Rule break")),"CHECK","OK"))</f>
        <v/>
      </c>
      <c r="BL80" s="39">
        <f>IF(AU80="","",SUM($AU$6:AU80))</f>
        <v/>
      </c>
      <c r="BM80" s="39">
        <f>IF(BL80="","",Capital+BL80)</f>
        <v/>
      </c>
      <c r="BN80" s="39">
        <f>IF(BM80="","",MAX(Capital,MAX($BM$6:BM80)))</f>
        <v/>
      </c>
      <c r="BO80" s="39">
        <f>IF(BM80="","",BN80-BM80)</f>
        <v/>
      </c>
      <c r="BP80" s="58">
        <f>IF(BO80="","",BO80/BN80)</f>
        <v/>
      </c>
      <c r="BQ80" s="28">
        <f>IF(AU80="","",IF(AU80&lt;0,N(BQ79)+1,0))</f>
        <v/>
      </c>
    </row>
    <row r="81">
      <c r="A81" s="28">
        <f>IF(B81="","",COUNT($B$6:B81))</f>
        <v/>
      </c>
      <c r="B81" s="27" t="n"/>
      <c r="C81" s="5">
        <f>IF(B81="","",TEXT(B81,"ddd"))</f>
        <v/>
      </c>
      <c r="D81" s="27" t="n"/>
      <c r="E81" s="28">
        <f>IF(OR(B81="",D81=""),"",MAX(0,NETWORKDAYS(B81,D81)-1))</f>
        <v/>
      </c>
      <c r="F81" s="37" t="n"/>
      <c r="G81" s="36" t="n"/>
      <c r="H81" s="37" t="n"/>
      <c r="I81" s="37" t="n"/>
      <c r="J81" s="37" t="n"/>
      <c r="K81" s="37" t="n"/>
      <c r="L81" s="36" t="n"/>
      <c r="M81" s="36" t="n"/>
      <c r="N81" s="33">
        <f>IF(M81="","",M81*LotSize)</f>
        <v/>
      </c>
      <c r="O81" s="51" t="n"/>
      <c r="P81" s="32" t="n"/>
      <c r="Q81" s="29" t="n"/>
      <c r="R81" s="30">
        <f>IF(OR(G81="",Q81="",H81=""),"",IF(H81="CE",G81-Q81,Q81-G81))</f>
        <v/>
      </c>
      <c r="S81" s="31">
        <f>IF(R81="","",R81/Q81)</f>
        <v/>
      </c>
      <c r="T81" s="38" t="n"/>
      <c r="U81" s="32" t="n"/>
      <c r="V81" s="52" t="n"/>
      <c r="W81" s="37" t="n"/>
      <c r="X81" s="32" t="n"/>
      <c r="Y81" s="32" t="n"/>
      <c r="Z81" s="39">
        <f>IF(OR(X81="",P81="",N81=""),"",ABS(X81-P81)*N81)</f>
        <v/>
      </c>
      <c r="AA81" s="53">
        <f>IF(OR(Z81="",Y81=""),"",IF(Z81=0,"",ABS(P81-Y81)*N81/Z81))</f>
        <v/>
      </c>
      <c r="AB81" s="54">
        <f>IF(Z81="","",Z81/Capital)</f>
        <v/>
      </c>
      <c r="AC81" s="5">
        <f>IF(B81="","",IF(X81="","NO SL",IF(OR(N(M81)&gt;MaxLots,N(AB81)&gt;RiskPct),"OVERSIZED","OK")))</f>
        <v/>
      </c>
      <c r="AD81" s="51" t="n"/>
      <c r="AE81" s="32" t="n"/>
      <c r="AF81" s="37" t="n"/>
      <c r="AG81" s="32" t="n"/>
      <c r="AH81" s="32" t="n"/>
      <c r="AI81" s="39">
        <f>IF(OR(AG81="",P81="",N81=""),"",ABS(AG81-P81)*N81)</f>
        <v/>
      </c>
      <c r="AJ81" s="39">
        <f>IF(OR(AH81="",P81="",N81=""),"",ABS(P81-AH81)*N81)</f>
        <v/>
      </c>
      <c r="AK81" s="39">
        <f>IF(OR(AE81="",P81="",N81=""),"",IF(I81="Buy",AE81-P81,P81-AE81)*N81)</f>
        <v/>
      </c>
      <c r="AL81" s="39">
        <f>IF(OR(AJ81="",AK81=""),"",MAX(0,AJ81-AK81))</f>
        <v/>
      </c>
      <c r="AM81" s="39">
        <f>IF(AK81="","",(P81+AE81)*N81)</f>
        <v/>
      </c>
      <c r="AN81" s="55">
        <f>IF(AK81="","",BrokeragePerOrder*2*MAX(1,N(L81)))</f>
        <v/>
      </c>
      <c r="AO81" s="55">
        <f>IF(AK81="","",STTRate*IF(I81="Buy",AE81,P81)*N81)</f>
        <v/>
      </c>
      <c r="AP81" s="55">
        <f>IF(AK81="","",ExchRate*AM81)</f>
        <v/>
      </c>
      <c r="AQ81" s="55">
        <f>IF(AK81="","",SEBIRate*AM81)</f>
        <v/>
      </c>
      <c r="AR81" s="55">
        <f>IF(AK81="","",StampRate*IF(I81="Buy",P81,AE81)*N81)</f>
        <v/>
      </c>
      <c r="AS81" s="55">
        <f>IF(AK81="","",GSTRate*(AN81+AP81+AQ81))</f>
        <v/>
      </c>
      <c r="AT81" s="55">
        <f>IF(AK81="","",AN81+AO81+AP81+AQ81+AR81+AS81)</f>
        <v/>
      </c>
      <c r="AU81" s="39">
        <f>IF(AK81="","",AK81-AT81)</f>
        <v/>
      </c>
      <c r="AV81" s="56">
        <f>IF(AU81="","",AU81/IF(N(Z81)&gt;0,Z81,RiskPerTrade))</f>
        <v/>
      </c>
      <c r="AW81" s="31">
        <f>IF(AU81="","",AU81/Capital)</f>
        <v/>
      </c>
      <c r="AX81" s="37" t="n"/>
      <c r="AY81" s="37" t="n"/>
      <c r="AZ81" s="37" t="n"/>
      <c r="BA81" s="37" t="n"/>
      <c r="BB81" s="37" t="n"/>
      <c r="BC81" s="37" t="n"/>
      <c r="BD81" s="37" t="n"/>
      <c r="BE81" s="5">
        <f>IF(AU81="","",IF(AU81&gt;0,"Win",IF(AU81&lt;0,"Loss","BE")))</f>
        <v/>
      </c>
      <c r="BF81" s="5">
        <f>IF(O81="","",LOOKUP(O81,List_BucketStart,List_BucketLabel))</f>
        <v/>
      </c>
      <c r="BG81" s="57">
        <f>IF(B81="","",B81-WEEKDAY(B81,3))</f>
        <v/>
      </c>
      <c r="BH81" s="28">
        <f>IF(B81="","",COUNTIF($B$6:B81,B81))</f>
        <v/>
      </c>
      <c r="BI81" s="39">
        <f>IF(B81="","",SUMIFS($AU$6:AU81,$B$6:B81,B81)-N(AU81))</f>
        <v/>
      </c>
      <c r="BJ81" s="5">
        <f>IF(OR(B81="",E81=""),"",IF(AND(E81=0,I81="Sell",MAX(N(O81),N(AD81))&gt;ExpiryCutoff),"BREACH","OK"))</f>
        <v/>
      </c>
      <c r="BK81" s="5">
        <f>IF(B81="","",IF(OR(AC81&lt;&gt;"OK",BJ81="BREACH",BH81&gt;MaxTradesDay,BI81&lt;=-DailyLossLimit,OR(AF81="Panic",AF81="Revenge",AF81="Rule break")),"CHECK","OK"))</f>
        <v/>
      </c>
      <c r="BL81" s="39">
        <f>IF(AU81="","",SUM($AU$6:AU81))</f>
        <v/>
      </c>
      <c r="BM81" s="39">
        <f>IF(BL81="","",Capital+BL81)</f>
        <v/>
      </c>
      <c r="BN81" s="39">
        <f>IF(BM81="","",MAX(Capital,MAX($BM$6:BM81)))</f>
        <v/>
      </c>
      <c r="BO81" s="39">
        <f>IF(BM81="","",BN81-BM81)</f>
        <v/>
      </c>
      <c r="BP81" s="58">
        <f>IF(BO81="","",BO81/BN81)</f>
        <v/>
      </c>
      <c r="BQ81" s="28">
        <f>IF(AU81="","",IF(AU81&lt;0,N(BQ80)+1,0))</f>
        <v/>
      </c>
    </row>
    <row r="82">
      <c r="A82" s="28">
        <f>IF(B82="","",COUNT($B$6:B82))</f>
        <v/>
      </c>
      <c r="B82" s="27" t="n"/>
      <c r="C82" s="5">
        <f>IF(B82="","",TEXT(B82,"ddd"))</f>
        <v/>
      </c>
      <c r="D82" s="27" t="n"/>
      <c r="E82" s="28">
        <f>IF(OR(B82="",D82=""),"",MAX(0,NETWORKDAYS(B82,D82)-1))</f>
        <v/>
      </c>
      <c r="F82" s="37" t="n"/>
      <c r="G82" s="36" t="n"/>
      <c r="H82" s="37" t="n"/>
      <c r="I82" s="37" t="n"/>
      <c r="J82" s="37" t="n"/>
      <c r="K82" s="37" t="n"/>
      <c r="L82" s="36" t="n"/>
      <c r="M82" s="36" t="n"/>
      <c r="N82" s="33">
        <f>IF(M82="","",M82*LotSize)</f>
        <v/>
      </c>
      <c r="O82" s="51" t="n"/>
      <c r="P82" s="32" t="n"/>
      <c r="Q82" s="29" t="n"/>
      <c r="R82" s="30">
        <f>IF(OR(G82="",Q82="",H82=""),"",IF(H82="CE",G82-Q82,Q82-G82))</f>
        <v/>
      </c>
      <c r="S82" s="31">
        <f>IF(R82="","",R82/Q82)</f>
        <v/>
      </c>
      <c r="T82" s="38" t="n"/>
      <c r="U82" s="32" t="n"/>
      <c r="V82" s="52" t="n"/>
      <c r="W82" s="37" t="n"/>
      <c r="X82" s="32" t="n"/>
      <c r="Y82" s="32" t="n"/>
      <c r="Z82" s="39">
        <f>IF(OR(X82="",P82="",N82=""),"",ABS(X82-P82)*N82)</f>
        <v/>
      </c>
      <c r="AA82" s="53">
        <f>IF(OR(Z82="",Y82=""),"",IF(Z82=0,"",ABS(P82-Y82)*N82/Z82))</f>
        <v/>
      </c>
      <c r="AB82" s="54">
        <f>IF(Z82="","",Z82/Capital)</f>
        <v/>
      </c>
      <c r="AC82" s="5">
        <f>IF(B82="","",IF(X82="","NO SL",IF(OR(N(M82)&gt;MaxLots,N(AB82)&gt;RiskPct),"OVERSIZED","OK")))</f>
        <v/>
      </c>
      <c r="AD82" s="51" t="n"/>
      <c r="AE82" s="32" t="n"/>
      <c r="AF82" s="37" t="n"/>
      <c r="AG82" s="32" t="n"/>
      <c r="AH82" s="32" t="n"/>
      <c r="AI82" s="39">
        <f>IF(OR(AG82="",P82="",N82=""),"",ABS(AG82-P82)*N82)</f>
        <v/>
      </c>
      <c r="AJ82" s="39">
        <f>IF(OR(AH82="",P82="",N82=""),"",ABS(P82-AH82)*N82)</f>
        <v/>
      </c>
      <c r="AK82" s="39">
        <f>IF(OR(AE82="",P82="",N82=""),"",IF(I82="Buy",AE82-P82,P82-AE82)*N82)</f>
        <v/>
      </c>
      <c r="AL82" s="39">
        <f>IF(OR(AJ82="",AK82=""),"",MAX(0,AJ82-AK82))</f>
        <v/>
      </c>
      <c r="AM82" s="39">
        <f>IF(AK82="","",(P82+AE82)*N82)</f>
        <v/>
      </c>
      <c r="AN82" s="55">
        <f>IF(AK82="","",BrokeragePerOrder*2*MAX(1,N(L82)))</f>
        <v/>
      </c>
      <c r="AO82" s="55">
        <f>IF(AK82="","",STTRate*IF(I82="Buy",AE82,P82)*N82)</f>
        <v/>
      </c>
      <c r="AP82" s="55">
        <f>IF(AK82="","",ExchRate*AM82)</f>
        <v/>
      </c>
      <c r="AQ82" s="55">
        <f>IF(AK82="","",SEBIRate*AM82)</f>
        <v/>
      </c>
      <c r="AR82" s="55">
        <f>IF(AK82="","",StampRate*IF(I82="Buy",P82,AE82)*N82)</f>
        <v/>
      </c>
      <c r="AS82" s="55">
        <f>IF(AK82="","",GSTRate*(AN82+AP82+AQ82))</f>
        <v/>
      </c>
      <c r="AT82" s="55">
        <f>IF(AK82="","",AN82+AO82+AP82+AQ82+AR82+AS82)</f>
        <v/>
      </c>
      <c r="AU82" s="39">
        <f>IF(AK82="","",AK82-AT82)</f>
        <v/>
      </c>
      <c r="AV82" s="56">
        <f>IF(AU82="","",AU82/IF(N(Z82)&gt;0,Z82,RiskPerTrade))</f>
        <v/>
      </c>
      <c r="AW82" s="31">
        <f>IF(AU82="","",AU82/Capital)</f>
        <v/>
      </c>
      <c r="AX82" s="37" t="n"/>
      <c r="AY82" s="37" t="n"/>
      <c r="AZ82" s="37" t="n"/>
      <c r="BA82" s="37" t="n"/>
      <c r="BB82" s="37" t="n"/>
      <c r="BC82" s="37" t="n"/>
      <c r="BD82" s="37" t="n"/>
      <c r="BE82" s="5">
        <f>IF(AU82="","",IF(AU82&gt;0,"Win",IF(AU82&lt;0,"Loss","BE")))</f>
        <v/>
      </c>
      <c r="BF82" s="5">
        <f>IF(O82="","",LOOKUP(O82,List_BucketStart,List_BucketLabel))</f>
        <v/>
      </c>
      <c r="BG82" s="57">
        <f>IF(B82="","",B82-WEEKDAY(B82,3))</f>
        <v/>
      </c>
      <c r="BH82" s="28">
        <f>IF(B82="","",COUNTIF($B$6:B82,B82))</f>
        <v/>
      </c>
      <c r="BI82" s="39">
        <f>IF(B82="","",SUMIFS($AU$6:AU82,$B$6:B82,B82)-N(AU82))</f>
        <v/>
      </c>
      <c r="BJ82" s="5">
        <f>IF(OR(B82="",E82=""),"",IF(AND(E82=0,I82="Sell",MAX(N(O82),N(AD82))&gt;ExpiryCutoff),"BREACH","OK"))</f>
        <v/>
      </c>
      <c r="BK82" s="5">
        <f>IF(B82="","",IF(OR(AC82&lt;&gt;"OK",BJ82="BREACH",BH82&gt;MaxTradesDay,BI82&lt;=-DailyLossLimit,OR(AF82="Panic",AF82="Revenge",AF82="Rule break")),"CHECK","OK"))</f>
        <v/>
      </c>
      <c r="BL82" s="39">
        <f>IF(AU82="","",SUM($AU$6:AU82))</f>
        <v/>
      </c>
      <c r="BM82" s="39">
        <f>IF(BL82="","",Capital+BL82)</f>
        <v/>
      </c>
      <c r="BN82" s="39">
        <f>IF(BM82="","",MAX(Capital,MAX($BM$6:BM82)))</f>
        <v/>
      </c>
      <c r="BO82" s="39">
        <f>IF(BM82="","",BN82-BM82)</f>
        <v/>
      </c>
      <c r="BP82" s="58">
        <f>IF(BO82="","",BO82/BN82)</f>
        <v/>
      </c>
      <c r="BQ82" s="28">
        <f>IF(AU82="","",IF(AU82&lt;0,N(BQ81)+1,0))</f>
        <v/>
      </c>
    </row>
    <row r="83">
      <c r="A83" s="28">
        <f>IF(B83="","",COUNT($B$6:B83))</f>
        <v/>
      </c>
      <c r="B83" s="27" t="n"/>
      <c r="C83" s="5">
        <f>IF(B83="","",TEXT(B83,"ddd"))</f>
        <v/>
      </c>
      <c r="D83" s="27" t="n"/>
      <c r="E83" s="28">
        <f>IF(OR(B83="",D83=""),"",MAX(0,NETWORKDAYS(B83,D83)-1))</f>
        <v/>
      </c>
      <c r="F83" s="37" t="n"/>
      <c r="G83" s="36" t="n"/>
      <c r="H83" s="37" t="n"/>
      <c r="I83" s="37" t="n"/>
      <c r="J83" s="37" t="n"/>
      <c r="K83" s="37" t="n"/>
      <c r="L83" s="36" t="n"/>
      <c r="M83" s="36" t="n"/>
      <c r="N83" s="33">
        <f>IF(M83="","",M83*LotSize)</f>
        <v/>
      </c>
      <c r="O83" s="51" t="n"/>
      <c r="P83" s="32" t="n"/>
      <c r="Q83" s="29" t="n"/>
      <c r="R83" s="30">
        <f>IF(OR(G83="",Q83="",H83=""),"",IF(H83="CE",G83-Q83,Q83-G83))</f>
        <v/>
      </c>
      <c r="S83" s="31">
        <f>IF(R83="","",R83/Q83)</f>
        <v/>
      </c>
      <c r="T83" s="38" t="n"/>
      <c r="U83" s="32" t="n"/>
      <c r="V83" s="52" t="n"/>
      <c r="W83" s="37" t="n"/>
      <c r="X83" s="32" t="n"/>
      <c r="Y83" s="32" t="n"/>
      <c r="Z83" s="39">
        <f>IF(OR(X83="",P83="",N83=""),"",ABS(X83-P83)*N83)</f>
        <v/>
      </c>
      <c r="AA83" s="53">
        <f>IF(OR(Z83="",Y83=""),"",IF(Z83=0,"",ABS(P83-Y83)*N83/Z83))</f>
        <v/>
      </c>
      <c r="AB83" s="54">
        <f>IF(Z83="","",Z83/Capital)</f>
        <v/>
      </c>
      <c r="AC83" s="5">
        <f>IF(B83="","",IF(X83="","NO SL",IF(OR(N(M83)&gt;MaxLots,N(AB83)&gt;RiskPct),"OVERSIZED","OK")))</f>
        <v/>
      </c>
      <c r="AD83" s="51" t="n"/>
      <c r="AE83" s="32" t="n"/>
      <c r="AF83" s="37" t="n"/>
      <c r="AG83" s="32" t="n"/>
      <c r="AH83" s="32" t="n"/>
      <c r="AI83" s="39">
        <f>IF(OR(AG83="",P83="",N83=""),"",ABS(AG83-P83)*N83)</f>
        <v/>
      </c>
      <c r="AJ83" s="39">
        <f>IF(OR(AH83="",P83="",N83=""),"",ABS(P83-AH83)*N83)</f>
        <v/>
      </c>
      <c r="AK83" s="39">
        <f>IF(OR(AE83="",P83="",N83=""),"",IF(I83="Buy",AE83-P83,P83-AE83)*N83)</f>
        <v/>
      </c>
      <c r="AL83" s="39">
        <f>IF(OR(AJ83="",AK83=""),"",MAX(0,AJ83-AK83))</f>
        <v/>
      </c>
      <c r="AM83" s="39">
        <f>IF(AK83="","",(P83+AE83)*N83)</f>
        <v/>
      </c>
      <c r="AN83" s="55">
        <f>IF(AK83="","",BrokeragePerOrder*2*MAX(1,N(L83)))</f>
        <v/>
      </c>
      <c r="AO83" s="55">
        <f>IF(AK83="","",STTRate*IF(I83="Buy",AE83,P83)*N83)</f>
        <v/>
      </c>
      <c r="AP83" s="55">
        <f>IF(AK83="","",ExchRate*AM83)</f>
        <v/>
      </c>
      <c r="AQ83" s="55">
        <f>IF(AK83="","",SEBIRate*AM83)</f>
        <v/>
      </c>
      <c r="AR83" s="55">
        <f>IF(AK83="","",StampRate*IF(I83="Buy",P83,AE83)*N83)</f>
        <v/>
      </c>
      <c r="AS83" s="55">
        <f>IF(AK83="","",GSTRate*(AN83+AP83+AQ83))</f>
        <v/>
      </c>
      <c r="AT83" s="55">
        <f>IF(AK83="","",AN83+AO83+AP83+AQ83+AR83+AS83)</f>
        <v/>
      </c>
      <c r="AU83" s="39">
        <f>IF(AK83="","",AK83-AT83)</f>
        <v/>
      </c>
      <c r="AV83" s="56">
        <f>IF(AU83="","",AU83/IF(N(Z83)&gt;0,Z83,RiskPerTrade))</f>
        <v/>
      </c>
      <c r="AW83" s="31">
        <f>IF(AU83="","",AU83/Capital)</f>
        <v/>
      </c>
      <c r="AX83" s="37" t="n"/>
      <c r="AY83" s="37" t="n"/>
      <c r="AZ83" s="37" t="n"/>
      <c r="BA83" s="37" t="n"/>
      <c r="BB83" s="37" t="n"/>
      <c r="BC83" s="37" t="n"/>
      <c r="BD83" s="37" t="n"/>
      <c r="BE83" s="5">
        <f>IF(AU83="","",IF(AU83&gt;0,"Win",IF(AU83&lt;0,"Loss","BE")))</f>
        <v/>
      </c>
      <c r="BF83" s="5">
        <f>IF(O83="","",LOOKUP(O83,List_BucketStart,List_BucketLabel))</f>
        <v/>
      </c>
      <c r="BG83" s="57">
        <f>IF(B83="","",B83-WEEKDAY(B83,3))</f>
        <v/>
      </c>
      <c r="BH83" s="28">
        <f>IF(B83="","",COUNTIF($B$6:B83,B83))</f>
        <v/>
      </c>
      <c r="BI83" s="39">
        <f>IF(B83="","",SUMIFS($AU$6:AU83,$B$6:B83,B83)-N(AU83))</f>
        <v/>
      </c>
      <c r="BJ83" s="5">
        <f>IF(OR(B83="",E83=""),"",IF(AND(E83=0,I83="Sell",MAX(N(O83),N(AD83))&gt;ExpiryCutoff),"BREACH","OK"))</f>
        <v/>
      </c>
      <c r="BK83" s="5">
        <f>IF(B83="","",IF(OR(AC83&lt;&gt;"OK",BJ83="BREACH",BH83&gt;MaxTradesDay,BI83&lt;=-DailyLossLimit,OR(AF83="Panic",AF83="Revenge",AF83="Rule break")),"CHECK","OK"))</f>
        <v/>
      </c>
      <c r="BL83" s="39">
        <f>IF(AU83="","",SUM($AU$6:AU83))</f>
        <v/>
      </c>
      <c r="BM83" s="39">
        <f>IF(BL83="","",Capital+BL83)</f>
        <v/>
      </c>
      <c r="BN83" s="39">
        <f>IF(BM83="","",MAX(Capital,MAX($BM$6:BM83)))</f>
        <v/>
      </c>
      <c r="BO83" s="39">
        <f>IF(BM83="","",BN83-BM83)</f>
        <v/>
      </c>
      <c r="BP83" s="58">
        <f>IF(BO83="","",BO83/BN83)</f>
        <v/>
      </c>
      <c r="BQ83" s="28">
        <f>IF(AU83="","",IF(AU83&lt;0,N(BQ82)+1,0))</f>
        <v/>
      </c>
    </row>
    <row r="84">
      <c r="A84" s="28">
        <f>IF(B84="","",COUNT($B$6:B84))</f>
        <v/>
      </c>
      <c r="B84" s="27" t="n"/>
      <c r="C84" s="5">
        <f>IF(B84="","",TEXT(B84,"ddd"))</f>
        <v/>
      </c>
      <c r="D84" s="27" t="n"/>
      <c r="E84" s="28">
        <f>IF(OR(B84="",D84=""),"",MAX(0,NETWORKDAYS(B84,D84)-1))</f>
        <v/>
      </c>
      <c r="F84" s="37" t="n"/>
      <c r="G84" s="36" t="n"/>
      <c r="H84" s="37" t="n"/>
      <c r="I84" s="37" t="n"/>
      <c r="J84" s="37" t="n"/>
      <c r="K84" s="37" t="n"/>
      <c r="L84" s="36" t="n"/>
      <c r="M84" s="36" t="n"/>
      <c r="N84" s="33">
        <f>IF(M84="","",M84*LotSize)</f>
        <v/>
      </c>
      <c r="O84" s="51" t="n"/>
      <c r="P84" s="32" t="n"/>
      <c r="Q84" s="29" t="n"/>
      <c r="R84" s="30">
        <f>IF(OR(G84="",Q84="",H84=""),"",IF(H84="CE",G84-Q84,Q84-G84))</f>
        <v/>
      </c>
      <c r="S84" s="31">
        <f>IF(R84="","",R84/Q84)</f>
        <v/>
      </c>
      <c r="T84" s="38" t="n"/>
      <c r="U84" s="32" t="n"/>
      <c r="V84" s="52" t="n"/>
      <c r="W84" s="37" t="n"/>
      <c r="X84" s="32" t="n"/>
      <c r="Y84" s="32" t="n"/>
      <c r="Z84" s="39">
        <f>IF(OR(X84="",P84="",N84=""),"",ABS(X84-P84)*N84)</f>
        <v/>
      </c>
      <c r="AA84" s="53">
        <f>IF(OR(Z84="",Y84=""),"",IF(Z84=0,"",ABS(P84-Y84)*N84/Z84))</f>
        <v/>
      </c>
      <c r="AB84" s="54">
        <f>IF(Z84="","",Z84/Capital)</f>
        <v/>
      </c>
      <c r="AC84" s="5">
        <f>IF(B84="","",IF(X84="","NO SL",IF(OR(N(M84)&gt;MaxLots,N(AB84)&gt;RiskPct),"OVERSIZED","OK")))</f>
        <v/>
      </c>
      <c r="AD84" s="51" t="n"/>
      <c r="AE84" s="32" t="n"/>
      <c r="AF84" s="37" t="n"/>
      <c r="AG84" s="32" t="n"/>
      <c r="AH84" s="32" t="n"/>
      <c r="AI84" s="39">
        <f>IF(OR(AG84="",P84="",N84=""),"",ABS(AG84-P84)*N84)</f>
        <v/>
      </c>
      <c r="AJ84" s="39">
        <f>IF(OR(AH84="",P84="",N84=""),"",ABS(P84-AH84)*N84)</f>
        <v/>
      </c>
      <c r="AK84" s="39">
        <f>IF(OR(AE84="",P84="",N84=""),"",IF(I84="Buy",AE84-P84,P84-AE84)*N84)</f>
        <v/>
      </c>
      <c r="AL84" s="39">
        <f>IF(OR(AJ84="",AK84=""),"",MAX(0,AJ84-AK84))</f>
        <v/>
      </c>
      <c r="AM84" s="39">
        <f>IF(AK84="","",(P84+AE84)*N84)</f>
        <v/>
      </c>
      <c r="AN84" s="55">
        <f>IF(AK84="","",BrokeragePerOrder*2*MAX(1,N(L84)))</f>
        <v/>
      </c>
      <c r="AO84" s="55">
        <f>IF(AK84="","",STTRate*IF(I84="Buy",AE84,P84)*N84)</f>
        <v/>
      </c>
      <c r="AP84" s="55">
        <f>IF(AK84="","",ExchRate*AM84)</f>
        <v/>
      </c>
      <c r="AQ84" s="55">
        <f>IF(AK84="","",SEBIRate*AM84)</f>
        <v/>
      </c>
      <c r="AR84" s="55">
        <f>IF(AK84="","",StampRate*IF(I84="Buy",P84,AE84)*N84)</f>
        <v/>
      </c>
      <c r="AS84" s="55">
        <f>IF(AK84="","",GSTRate*(AN84+AP84+AQ84))</f>
        <v/>
      </c>
      <c r="AT84" s="55">
        <f>IF(AK84="","",AN84+AO84+AP84+AQ84+AR84+AS84)</f>
        <v/>
      </c>
      <c r="AU84" s="39">
        <f>IF(AK84="","",AK84-AT84)</f>
        <v/>
      </c>
      <c r="AV84" s="56">
        <f>IF(AU84="","",AU84/IF(N(Z84)&gt;0,Z84,RiskPerTrade))</f>
        <v/>
      </c>
      <c r="AW84" s="31">
        <f>IF(AU84="","",AU84/Capital)</f>
        <v/>
      </c>
      <c r="AX84" s="37" t="n"/>
      <c r="AY84" s="37" t="n"/>
      <c r="AZ84" s="37" t="n"/>
      <c r="BA84" s="37" t="n"/>
      <c r="BB84" s="37" t="n"/>
      <c r="BC84" s="37" t="n"/>
      <c r="BD84" s="37" t="n"/>
      <c r="BE84" s="5">
        <f>IF(AU84="","",IF(AU84&gt;0,"Win",IF(AU84&lt;0,"Loss","BE")))</f>
        <v/>
      </c>
      <c r="BF84" s="5">
        <f>IF(O84="","",LOOKUP(O84,List_BucketStart,List_BucketLabel))</f>
        <v/>
      </c>
      <c r="BG84" s="57">
        <f>IF(B84="","",B84-WEEKDAY(B84,3))</f>
        <v/>
      </c>
      <c r="BH84" s="28">
        <f>IF(B84="","",COUNTIF($B$6:B84,B84))</f>
        <v/>
      </c>
      <c r="BI84" s="39">
        <f>IF(B84="","",SUMIFS($AU$6:AU84,$B$6:B84,B84)-N(AU84))</f>
        <v/>
      </c>
      <c r="BJ84" s="5">
        <f>IF(OR(B84="",E84=""),"",IF(AND(E84=0,I84="Sell",MAX(N(O84),N(AD84))&gt;ExpiryCutoff),"BREACH","OK"))</f>
        <v/>
      </c>
      <c r="BK84" s="5">
        <f>IF(B84="","",IF(OR(AC84&lt;&gt;"OK",BJ84="BREACH",BH84&gt;MaxTradesDay,BI84&lt;=-DailyLossLimit,OR(AF84="Panic",AF84="Revenge",AF84="Rule break")),"CHECK","OK"))</f>
        <v/>
      </c>
      <c r="BL84" s="39">
        <f>IF(AU84="","",SUM($AU$6:AU84))</f>
        <v/>
      </c>
      <c r="BM84" s="39">
        <f>IF(BL84="","",Capital+BL84)</f>
        <v/>
      </c>
      <c r="BN84" s="39">
        <f>IF(BM84="","",MAX(Capital,MAX($BM$6:BM84)))</f>
        <v/>
      </c>
      <c r="BO84" s="39">
        <f>IF(BM84="","",BN84-BM84)</f>
        <v/>
      </c>
      <c r="BP84" s="58">
        <f>IF(BO84="","",BO84/BN84)</f>
        <v/>
      </c>
      <c r="BQ84" s="28">
        <f>IF(AU84="","",IF(AU84&lt;0,N(BQ83)+1,0))</f>
        <v/>
      </c>
    </row>
    <row r="85">
      <c r="A85" s="28">
        <f>IF(B85="","",COUNT($B$6:B85))</f>
        <v/>
      </c>
      <c r="B85" s="27" t="n"/>
      <c r="C85" s="5">
        <f>IF(B85="","",TEXT(B85,"ddd"))</f>
        <v/>
      </c>
      <c r="D85" s="27" t="n"/>
      <c r="E85" s="28">
        <f>IF(OR(B85="",D85=""),"",MAX(0,NETWORKDAYS(B85,D85)-1))</f>
        <v/>
      </c>
      <c r="F85" s="37" t="n"/>
      <c r="G85" s="36" t="n"/>
      <c r="H85" s="37" t="n"/>
      <c r="I85" s="37" t="n"/>
      <c r="J85" s="37" t="n"/>
      <c r="K85" s="37" t="n"/>
      <c r="L85" s="36" t="n"/>
      <c r="M85" s="36" t="n"/>
      <c r="N85" s="33">
        <f>IF(M85="","",M85*LotSize)</f>
        <v/>
      </c>
      <c r="O85" s="51" t="n"/>
      <c r="P85" s="32" t="n"/>
      <c r="Q85" s="29" t="n"/>
      <c r="R85" s="30">
        <f>IF(OR(G85="",Q85="",H85=""),"",IF(H85="CE",G85-Q85,Q85-G85))</f>
        <v/>
      </c>
      <c r="S85" s="31">
        <f>IF(R85="","",R85/Q85)</f>
        <v/>
      </c>
      <c r="T85" s="38" t="n"/>
      <c r="U85" s="32" t="n"/>
      <c r="V85" s="52" t="n"/>
      <c r="W85" s="37" t="n"/>
      <c r="X85" s="32" t="n"/>
      <c r="Y85" s="32" t="n"/>
      <c r="Z85" s="39">
        <f>IF(OR(X85="",P85="",N85=""),"",ABS(X85-P85)*N85)</f>
        <v/>
      </c>
      <c r="AA85" s="53">
        <f>IF(OR(Z85="",Y85=""),"",IF(Z85=0,"",ABS(P85-Y85)*N85/Z85))</f>
        <v/>
      </c>
      <c r="AB85" s="54">
        <f>IF(Z85="","",Z85/Capital)</f>
        <v/>
      </c>
      <c r="AC85" s="5">
        <f>IF(B85="","",IF(X85="","NO SL",IF(OR(N(M85)&gt;MaxLots,N(AB85)&gt;RiskPct),"OVERSIZED","OK")))</f>
        <v/>
      </c>
      <c r="AD85" s="51" t="n"/>
      <c r="AE85" s="32" t="n"/>
      <c r="AF85" s="37" t="n"/>
      <c r="AG85" s="32" t="n"/>
      <c r="AH85" s="32" t="n"/>
      <c r="AI85" s="39">
        <f>IF(OR(AG85="",P85="",N85=""),"",ABS(AG85-P85)*N85)</f>
        <v/>
      </c>
      <c r="AJ85" s="39">
        <f>IF(OR(AH85="",P85="",N85=""),"",ABS(P85-AH85)*N85)</f>
        <v/>
      </c>
      <c r="AK85" s="39">
        <f>IF(OR(AE85="",P85="",N85=""),"",IF(I85="Buy",AE85-P85,P85-AE85)*N85)</f>
        <v/>
      </c>
      <c r="AL85" s="39">
        <f>IF(OR(AJ85="",AK85=""),"",MAX(0,AJ85-AK85))</f>
        <v/>
      </c>
      <c r="AM85" s="39">
        <f>IF(AK85="","",(P85+AE85)*N85)</f>
        <v/>
      </c>
      <c r="AN85" s="55">
        <f>IF(AK85="","",BrokeragePerOrder*2*MAX(1,N(L85)))</f>
        <v/>
      </c>
      <c r="AO85" s="55">
        <f>IF(AK85="","",STTRate*IF(I85="Buy",AE85,P85)*N85)</f>
        <v/>
      </c>
      <c r="AP85" s="55">
        <f>IF(AK85="","",ExchRate*AM85)</f>
        <v/>
      </c>
      <c r="AQ85" s="55">
        <f>IF(AK85="","",SEBIRate*AM85)</f>
        <v/>
      </c>
      <c r="AR85" s="55">
        <f>IF(AK85="","",StampRate*IF(I85="Buy",P85,AE85)*N85)</f>
        <v/>
      </c>
      <c r="AS85" s="55">
        <f>IF(AK85="","",GSTRate*(AN85+AP85+AQ85))</f>
        <v/>
      </c>
      <c r="AT85" s="55">
        <f>IF(AK85="","",AN85+AO85+AP85+AQ85+AR85+AS85)</f>
        <v/>
      </c>
      <c r="AU85" s="39">
        <f>IF(AK85="","",AK85-AT85)</f>
        <v/>
      </c>
      <c r="AV85" s="56">
        <f>IF(AU85="","",AU85/IF(N(Z85)&gt;0,Z85,RiskPerTrade))</f>
        <v/>
      </c>
      <c r="AW85" s="31">
        <f>IF(AU85="","",AU85/Capital)</f>
        <v/>
      </c>
      <c r="AX85" s="37" t="n"/>
      <c r="AY85" s="37" t="n"/>
      <c r="AZ85" s="37" t="n"/>
      <c r="BA85" s="37" t="n"/>
      <c r="BB85" s="37" t="n"/>
      <c r="BC85" s="37" t="n"/>
      <c r="BD85" s="37" t="n"/>
      <c r="BE85" s="5">
        <f>IF(AU85="","",IF(AU85&gt;0,"Win",IF(AU85&lt;0,"Loss","BE")))</f>
        <v/>
      </c>
      <c r="BF85" s="5">
        <f>IF(O85="","",LOOKUP(O85,List_BucketStart,List_BucketLabel))</f>
        <v/>
      </c>
      <c r="BG85" s="57">
        <f>IF(B85="","",B85-WEEKDAY(B85,3))</f>
        <v/>
      </c>
      <c r="BH85" s="28">
        <f>IF(B85="","",COUNTIF($B$6:B85,B85))</f>
        <v/>
      </c>
      <c r="BI85" s="39">
        <f>IF(B85="","",SUMIFS($AU$6:AU85,$B$6:B85,B85)-N(AU85))</f>
        <v/>
      </c>
      <c r="BJ85" s="5">
        <f>IF(OR(B85="",E85=""),"",IF(AND(E85=0,I85="Sell",MAX(N(O85),N(AD85))&gt;ExpiryCutoff),"BREACH","OK"))</f>
        <v/>
      </c>
      <c r="BK85" s="5">
        <f>IF(B85="","",IF(OR(AC85&lt;&gt;"OK",BJ85="BREACH",BH85&gt;MaxTradesDay,BI85&lt;=-DailyLossLimit,OR(AF85="Panic",AF85="Revenge",AF85="Rule break")),"CHECK","OK"))</f>
        <v/>
      </c>
      <c r="BL85" s="39">
        <f>IF(AU85="","",SUM($AU$6:AU85))</f>
        <v/>
      </c>
      <c r="BM85" s="39">
        <f>IF(BL85="","",Capital+BL85)</f>
        <v/>
      </c>
      <c r="BN85" s="39">
        <f>IF(BM85="","",MAX(Capital,MAX($BM$6:BM85)))</f>
        <v/>
      </c>
      <c r="BO85" s="39">
        <f>IF(BM85="","",BN85-BM85)</f>
        <v/>
      </c>
      <c r="BP85" s="58">
        <f>IF(BO85="","",BO85/BN85)</f>
        <v/>
      </c>
      <c r="BQ85" s="28">
        <f>IF(AU85="","",IF(AU85&lt;0,N(BQ84)+1,0))</f>
        <v/>
      </c>
    </row>
    <row r="86">
      <c r="A86" s="28">
        <f>IF(B86="","",COUNT($B$6:B86))</f>
        <v/>
      </c>
      <c r="B86" s="27" t="n"/>
      <c r="C86" s="5">
        <f>IF(B86="","",TEXT(B86,"ddd"))</f>
        <v/>
      </c>
      <c r="D86" s="27" t="n"/>
      <c r="E86" s="28">
        <f>IF(OR(B86="",D86=""),"",MAX(0,NETWORKDAYS(B86,D86)-1))</f>
        <v/>
      </c>
      <c r="F86" s="37" t="n"/>
      <c r="G86" s="36" t="n"/>
      <c r="H86" s="37" t="n"/>
      <c r="I86" s="37" t="n"/>
      <c r="J86" s="37" t="n"/>
      <c r="K86" s="37" t="n"/>
      <c r="L86" s="36" t="n"/>
      <c r="M86" s="36" t="n"/>
      <c r="N86" s="33">
        <f>IF(M86="","",M86*LotSize)</f>
        <v/>
      </c>
      <c r="O86" s="51" t="n"/>
      <c r="P86" s="32" t="n"/>
      <c r="Q86" s="29" t="n"/>
      <c r="R86" s="30">
        <f>IF(OR(G86="",Q86="",H86=""),"",IF(H86="CE",G86-Q86,Q86-G86))</f>
        <v/>
      </c>
      <c r="S86" s="31">
        <f>IF(R86="","",R86/Q86)</f>
        <v/>
      </c>
      <c r="T86" s="38" t="n"/>
      <c r="U86" s="32" t="n"/>
      <c r="V86" s="52" t="n"/>
      <c r="W86" s="37" t="n"/>
      <c r="X86" s="32" t="n"/>
      <c r="Y86" s="32" t="n"/>
      <c r="Z86" s="39">
        <f>IF(OR(X86="",P86="",N86=""),"",ABS(X86-P86)*N86)</f>
        <v/>
      </c>
      <c r="AA86" s="53">
        <f>IF(OR(Z86="",Y86=""),"",IF(Z86=0,"",ABS(P86-Y86)*N86/Z86))</f>
        <v/>
      </c>
      <c r="AB86" s="54">
        <f>IF(Z86="","",Z86/Capital)</f>
        <v/>
      </c>
      <c r="AC86" s="5">
        <f>IF(B86="","",IF(X86="","NO SL",IF(OR(N(M86)&gt;MaxLots,N(AB86)&gt;RiskPct),"OVERSIZED","OK")))</f>
        <v/>
      </c>
      <c r="AD86" s="51" t="n"/>
      <c r="AE86" s="32" t="n"/>
      <c r="AF86" s="37" t="n"/>
      <c r="AG86" s="32" t="n"/>
      <c r="AH86" s="32" t="n"/>
      <c r="AI86" s="39">
        <f>IF(OR(AG86="",P86="",N86=""),"",ABS(AG86-P86)*N86)</f>
        <v/>
      </c>
      <c r="AJ86" s="39">
        <f>IF(OR(AH86="",P86="",N86=""),"",ABS(P86-AH86)*N86)</f>
        <v/>
      </c>
      <c r="AK86" s="39">
        <f>IF(OR(AE86="",P86="",N86=""),"",IF(I86="Buy",AE86-P86,P86-AE86)*N86)</f>
        <v/>
      </c>
      <c r="AL86" s="39">
        <f>IF(OR(AJ86="",AK86=""),"",MAX(0,AJ86-AK86))</f>
        <v/>
      </c>
      <c r="AM86" s="39">
        <f>IF(AK86="","",(P86+AE86)*N86)</f>
        <v/>
      </c>
      <c r="AN86" s="55">
        <f>IF(AK86="","",BrokeragePerOrder*2*MAX(1,N(L86)))</f>
        <v/>
      </c>
      <c r="AO86" s="55">
        <f>IF(AK86="","",STTRate*IF(I86="Buy",AE86,P86)*N86)</f>
        <v/>
      </c>
      <c r="AP86" s="55">
        <f>IF(AK86="","",ExchRate*AM86)</f>
        <v/>
      </c>
      <c r="AQ86" s="55">
        <f>IF(AK86="","",SEBIRate*AM86)</f>
        <v/>
      </c>
      <c r="AR86" s="55">
        <f>IF(AK86="","",StampRate*IF(I86="Buy",P86,AE86)*N86)</f>
        <v/>
      </c>
      <c r="AS86" s="55">
        <f>IF(AK86="","",GSTRate*(AN86+AP86+AQ86))</f>
        <v/>
      </c>
      <c r="AT86" s="55">
        <f>IF(AK86="","",AN86+AO86+AP86+AQ86+AR86+AS86)</f>
        <v/>
      </c>
      <c r="AU86" s="39">
        <f>IF(AK86="","",AK86-AT86)</f>
        <v/>
      </c>
      <c r="AV86" s="56">
        <f>IF(AU86="","",AU86/IF(N(Z86)&gt;0,Z86,RiskPerTrade))</f>
        <v/>
      </c>
      <c r="AW86" s="31">
        <f>IF(AU86="","",AU86/Capital)</f>
        <v/>
      </c>
      <c r="AX86" s="37" t="n"/>
      <c r="AY86" s="37" t="n"/>
      <c r="AZ86" s="37" t="n"/>
      <c r="BA86" s="37" t="n"/>
      <c r="BB86" s="37" t="n"/>
      <c r="BC86" s="37" t="n"/>
      <c r="BD86" s="37" t="n"/>
      <c r="BE86" s="5">
        <f>IF(AU86="","",IF(AU86&gt;0,"Win",IF(AU86&lt;0,"Loss","BE")))</f>
        <v/>
      </c>
      <c r="BF86" s="5">
        <f>IF(O86="","",LOOKUP(O86,List_BucketStart,List_BucketLabel))</f>
        <v/>
      </c>
      <c r="BG86" s="57">
        <f>IF(B86="","",B86-WEEKDAY(B86,3))</f>
        <v/>
      </c>
      <c r="BH86" s="28">
        <f>IF(B86="","",COUNTIF($B$6:B86,B86))</f>
        <v/>
      </c>
      <c r="BI86" s="39">
        <f>IF(B86="","",SUMIFS($AU$6:AU86,$B$6:B86,B86)-N(AU86))</f>
        <v/>
      </c>
      <c r="BJ86" s="5">
        <f>IF(OR(B86="",E86=""),"",IF(AND(E86=0,I86="Sell",MAX(N(O86),N(AD86))&gt;ExpiryCutoff),"BREACH","OK"))</f>
        <v/>
      </c>
      <c r="BK86" s="5">
        <f>IF(B86="","",IF(OR(AC86&lt;&gt;"OK",BJ86="BREACH",BH86&gt;MaxTradesDay,BI86&lt;=-DailyLossLimit,OR(AF86="Panic",AF86="Revenge",AF86="Rule break")),"CHECK","OK"))</f>
        <v/>
      </c>
      <c r="BL86" s="39">
        <f>IF(AU86="","",SUM($AU$6:AU86))</f>
        <v/>
      </c>
      <c r="BM86" s="39">
        <f>IF(BL86="","",Capital+BL86)</f>
        <v/>
      </c>
      <c r="BN86" s="39">
        <f>IF(BM86="","",MAX(Capital,MAX($BM$6:BM86)))</f>
        <v/>
      </c>
      <c r="BO86" s="39">
        <f>IF(BM86="","",BN86-BM86)</f>
        <v/>
      </c>
      <c r="BP86" s="58">
        <f>IF(BO86="","",BO86/BN86)</f>
        <v/>
      </c>
      <c r="BQ86" s="28">
        <f>IF(AU86="","",IF(AU86&lt;0,N(BQ85)+1,0))</f>
        <v/>
      </c>
    </row>
    <row r="87">
      <c r="A87" s="28">
        <f>IF(B87="","",COUNT($B$6:B87))</f>
        <v/>
      </c>
      <c r="B87" s="27" t="n"/>
      <c r="C87" s="5">
        <f>IF(B87="","",TEXT(B87,"ddd"))</f>
        <v/>
      </c>
      <c r="D87" s="27" t="n"/>
      <c r="E87" s="28">
        <f>IF(OR(B87="",D87=""),"",MAX(0,NETWORKDAYS(B87,D87)-1))</f>
        <v/>
      </c>
      <c r="F87" s="37" t="n"/>
      <c r="G87" s="36" t="n"/>
      <c r="H87" s="37" t="n"/>
      <c r="I87" s="37" t="n"/>
      <c r="J87" s="37" t="n"/>
      <c r="K87" s="37" t="n"/>
      <c r="L87" s="36" t="n"/>
      <c r="M87" s="36" t="n"/>
      <c r="N87" s="33">
        <f>IF(M87="","",M87*LotSize)</f>
        <v/>
      </c>
      <c r="O87" s="51" t="n"/>
      <c r="P87" s="32" t="n"/>
      <c r="Q87" s="29" t="n"/>
      <c r="R87" s="30">
        <f>IF(OR(G87="",Q87="",H87=""),"",IF(H87="CE",G87-Q87,Q87-G87))</f>
        <v/>
      </c>
      <c r="S87" s="31">
        <f>IF(R87="","",R87/Q87)</f>
        <v/>
      </c>
      <c r="T87" s="38" t="n"/>
      <c r="U87" s="32" t="n"/>
      <c r="V87" s="52" t="n"/>
      <c r="W87" s="37" t="n"/>
      <c r="X87" s="32" t="n"/>
      <c r="Y87" s="32" t="n"/>
      <c r="Z87" s="39">
        <f>IF(OR(X87="",P87="",N87=""),"",ABS(X87-P87)*N87)</f>
        <v/>
      </c>
      <c r="AA87" s="53">
        <f>IF(OR(Z87="",Y87=""),"",IF(Z87=0,"",ABS(P87-Y87)*N87/Z87))</f>
        <v/>
      </c>
      <c r="AB87" s="54">
        <f>IF(Z87="","",Z87/Capital)</f>
        <v/>
      </c>
      <c r="AC87" s="5">
        <f>IF(B87="","",IF(X87="","NO SL",IF(OR(N(M87)&gt;MaxLots,N(AB87)&gt;RiskPct),"OVERSIZED","OK")))</f>
        <v/>
      </c>
      <c r="AD87" s="51" t="n"/>
      <c r="AE87" s="32" t="n"/>
      <c r="AF87" s="37" t="n"/>
      <c r="AG87" s="32" t="n"/>
      <c r="AH87" s="32" t="n"/>
      <c r="AI87" s="39">
        <f>IF(OR(AG87="",P87="",N87=""),"",ABS(AG87-P87)*N87)</f>
        <v/>
      </c>
      <c r="AJ87" s="39">
        <f>IF(OR(AH87="",P87="",N87=""),"",ABS(P87-AH87)*N87)</f>
        <v/>
      </c>
      <c r="AK87" s="39">
        <f>IF(OR(AE87="",P87="",N87=""),"",IF(I87="Buy",AE87-P87,P87-AE87)*N87)</f>
        <v/>
      </c>
      <c r="AL87" s="39">
        <f>IF(OR(AJ87="",AK87=""),"",MAX(0,AJ87-AK87))</f>
        <v/>
      </c>
      <c r="AM87" s="39">
        <f>IF(AK87="","",(P87+AE87)*N87)</f>
        <v/>
      </c>
      <c r="AN87" s="55">
        <f>IF(AK87="","",BrokeragePerOrder*2*MAX(1,N(L87)))</f>
        <v/>
      </c>
      <c r="AO87" s="55">
        <f>IF(AK87="","",STTRate*IF(I87="Buy",AE87,P87)*N87)</f>
        <v/>
      </c>
      <c r="AP87" s="55">
        <f>IF(AK87="","",ExchRate*AM87)</f>
        <v/>
      </c>
      <c r="AQ87" s="55">
        <f>IF(AK87="","",SEBIRate*AM87)</f>
        <v/>
      </c>
      <c r="AR87" s="55">
        <f>IF(AK87="","",StampRate*IF(I87="Buy",P87,AE87)*N87)</f>
        <v/>
      </c>
      <c r="AS87" s="55">
        <f>IF(AK87="","",GSTRate*(AN87+AP87+AQ87))</f>
        <v/>
      </c>
      <c r="AT87" s="55">
        <f>IF(AK87="","",AN87+AO87+AP87+AQ87+AR87+AS87)</f>
        <v/>
      </c>
      <c r="AU87" s="39">
        <f>IF(AK87="","",AK87-AT87)</f>
        <v/>
      </c>
      <c r="AV87" s="56">
        <f>IF(AU87="","",AU87/IF(N(Z87)&gt;0,Z87,RiskPerTrade))</f>
        <v/>
      </c>
      <c r="AW87" s="31">
        <f>IF(AU87="","",AU87/Capital)</f>
        <v/>
      </c>
      <c r="AX87" s="37" t="n"/>
      <c r="AY87" s="37" t="n"/>
      <c r="AZ87" s="37" t="n"/>
      <c r="BA87" s="37" t="n"/>
      <c r="BB87" s="37" t="n"/>
      <c r="BC87" s="37" t="n"/>
      <c r="BD87" s="37" t="n"/>
      <c r="BE87" s="5">
        <f>IF(AU87="","",IF(AU87&gt;0,"Win",IF(AU87&lt;0,"Loss","BE")))</f>
        <v/>
      </c>
      <c r="BF87" s="5">
        <f>IF(O87="","",LOOKUP(O87,List_BucketStart,List_BucketLabel))</f>
        <v/>
      </c>
      <c r="BG87" s="57">
        <f>IF(B87="","",B87-WEEKDAY(B87,3))</f>
        <v/>
      </c>
      <c r="BH87" s="28">
        <f>IF(B87="","",COUNTIF($B$6:B87,B87))</f>
        <v/>
      </c>
      <c r="BI87" s="39">
        <f>IF(B87="","",SUMIFS($AU$6:AU87,$B$6:B87,B87)-N(AU87))</f>
        <v/>
      </c>
      <c r="BJ87" s="5">
        <f>IF(OR(B87="",E87=""),"",IF(AND(E87=0,I87="Sell",MAX(N(O87),N(AD87))&gt;ExpiryCutoff),"BREACH","OK"))</f>
        <v/>
      </c>
      <c r="BK87" s="5">
        <f>IF(B87="","",IF(OR(AC87&lt;&gt;"OK",BJ87="BREACH",BH87&gt;MaxTradesDay,BI87&lt;=-DailyLossLimit,OR(AF87="Panic",AF87="Revenge",AF87="Rule break")),"CHECK","OK"))</f>
        <v/>
      </c>
      <c r="BL87" s="39">
        <f>IF(AU87="","",SUM($AU$6:AU87))</f>
        <v/>
      </c>
      <c r="BM87" s="39">
        <f>IF(BL87="","",Capital+BL87)</f>
        <v/>
      </c>
      <c r="BN87" s="39">
        <f>IF(BM87="","",MAX(Capital,MAX($BM$6:BM87)))</f>
        <v/>
      </c>
      <c r="BO87" s="39">
        <f>IF(BM87="","",BN87-BM87)</f>
        <v/>
      </c>
      <c r="BP87" s="58">
        <f>IF(BO87="","",BO87/BN87)</f>
        <v/>
      </c>
      <c r="BQ87" s="28">
        <f>IF(AU87="","",IF(AU87&lt;0,N(BQ86)+1,0))</f>
        <v/>
      </c>
    </row>
    <row r="88">
      <c r="A88" s="28">
        <f>IF(B88="","",COUNT($B$6:B88))</f>
        <v/>
      </c>
      <c r="B88" s="27" t="n"/>
      <c r="C88" s="5">
        <f>IF(B88="","",TEXT(B88,"ddd"))</f>
        <v/>
      </c>
      <c r="D88" s="27" t="n"/>
      <c r="E88" s="28">
        <f>IF(OR(B88="",D88=""),"",MAX(0,NETWORKDAYS(B88,D88)-1))</f>
        <v/>
      </c>
      <c r="F88" s="37" t="n"/>
      <c r="G88" s="36" t="n"/>
      <c r="H88" s="37" t="n"/>
      <c r="I88" s="37" t="n"/>
      <c r="J88" s="37" t="n"/>
      <c r="K88" s="37" t="n"/>
      <c r="L88" s="36" t="n"/>
      <c r="M88" s="36" t="n"/>
      <c r="N88" s="33">
        <f>IF(M88="","",M88*LotSize)</f>
        <v/>
      </c>
      <c r="O88" s="51" t="n"/>
      <c r="P88" s="32" t="n"/>
      <c r="Q88" s="29" t="n"/>
      <c r="R88" s="30">
        <f>IF(OR(G88="",Q88="",H88=""),"",IF(H88="CE",G88-Q88,Q88-G88))</f>
        <v/>
      </c>
      <c r="S88" s="31">
        <f>IF(R88="","",R88/Q88)</f>
        <v/>
      </c>
      <c r="T88" s="38" t="n"/>
      <c r="U88" s="32" t="n"/>
      <c r="V88" s="52" t="n"/>
      <c r="W88" s="37" t="n"/>
      <c r="X88" s="32" t="n"/>
      <c r="Y88" s="32" t="n"/>
      <c r="Z88" s="39">
        <f>IF(OR(X88="",P88="",N88=""),"",ABS(X88-P88)*N88)</f>
        <v/>
      </c>
      <c r="AA88" s="53">
        <f>IF(OR(Z88="",Y88=""),"",IF(Z88=0,"",ABS(P88-Y88)*N88/Z88))</f>
        <v/>
      </c>
      <c r="AB88" s="54">
        <f>IF(Z88="","",Z88/Capital)</f>
        <v/>
      </c>
      <c r="AC88" s="5">
        <f>IF(B88="","",IF(X88="","NO SL",IF(OR(N(M88)&gt;MaxLots,N(AB88)&gt;RiskPct),"OVERSIZED","OK")))</f>
        <v/>
      </c>
      <c r="AD88" s="51" t="n"/>
      <c r="AE88" s="32" t="n"/>
      <c r="AF88" s="37" t="n"/>
      <c r="AG88" s="32" t="n"/>
      <c r="AH88" s="32" t="n"/>
      <c r="AI88" s="39">
        <f>IF(OR(AG88="",P88="",N88=""),"",ABS(AG88-P88)*N88)</f>
        <v/>
      </c>
      <c r="AJ88" s="39">
        <f>IF(OR(AH88="",P88="",N88=""),"",ABS(P88-AH88)*N88)</f>
        <v/>
      </c>
      <c r="AK88" s="39">
        <f>IF(OR(AE88="",P88="",N88=""),"",IF(I88="Buy",AE88-P88,P88-AE88)*N88)</f>
        <v/>
      </c>
      <c r="AL88" s="39">
        <f>IF(OR(AJ88="",AK88=""),"",MAX(0,AJ88-AK88))</f>
        <v/>
      </c>
      <c r="AM88" s="39">
        <f>IF(AK88="","",(P88+AE88)*N88)</f>
        <v/>
      </c>
      <c r="AN88" s="55">
        <f>IF(AK88="","",BrokeragePerOrder*2*MAX(1,N(L88)))</f>
        <v/>
      </c>
      <c r="AO88" s="55">
        <f>IF(AK88="","",STTRate*IF(I88="Buy",AE88,P88)*N88)</f>
        <v/>
      </c>
      <c r="AP88" s="55">
        <f>IF(AK88="","",ExchRate*AM88)</f>
        <v/>
      </c>
      <c r="AQ88" s="55">
        <f>IF(AK88="","",SEBIRate*AM88)</f>
        <v/>
      </c>
      <c r="AR88" s="55">
        <f>IF(AK88="","",StampRate*IF(I88="Buy",P88,AE88)*N88)</f>
        <v/>
      </c>
      <c r="AS88" s="55">
        <f>IF(AK88="","",GSTRate*(AN88+AP88+AQ88))</f>
        <v/>
      </c>
      <c r="AT88" s="55">
        <f>IF(AK88="","",AN88+AO88+AP88+AQ88+AR88+AS88)</f>
        <v/>
      </c>
      <c r="AU88" s="39">
        <f>IF(AK88="","",AK88-AT88)</f>
        <v/>
      </c>
      <c r="AV88" s="56">
        <f>IF(AU88="","",AU88/IF(N(Z88)&gt;0,Z88,RiskPerTrade))</f>
        <v/>
      </c>
      <c r="AW88" s="31">
        <f>IF(AU88="","",AU88/Capital)</f>
        <v/>
      </c>
      <c r="AX88" s="37" t="n"/>
      <c r="AY88" s="37" t="n"/>
      <c r="AZ88" s="37" t="n"/>
      <c r="BA88" s="37" t="n"/>
      <c r="BB88" s="37" t="n"/>
      <c r="BC88" s="37" t="n"/>
      <c r="BD88" s="37" t="n"/>
      <c r="BE88" s="5">
        <f>IF(AU88="","",IF(AU88&gt;0,"Win",IF(AU88&lt;0,"Loss","BE")))</f>
        <v/>
      </c>
      <c r="BF88" s="5">
        <f>IF(O88="","",LOOKUP(O88,List_BucketStart,List_BucketLabel))</f>
        <v/>
      </c>
      <c r="BG88" s="57">
        <f>IF(B88="","",B88-WEEKDAY(B88,3))</f>
        <v/>
      </c>
      <c r="BH88" s="28">
        <f>IF(B88="","",COUNTIF($B$6:B88,B88))</f>
        <v/>
      </c>
      <c r="BI88" s="39">
        <f>IF(B88="","",SUMIFS($AU$6:AU88,$B$6:B88,B88)-N(AU88))</f>
        <v/>
      </c>
      <c r="BJ88" s="5">
        <f>IF(OR(B88="",E88=""),"",IF(AND(E88=0,I88="Sell",MAX(N(O88),N(AD88))&gt;ExpiryCutoff),"BREACH","OK"))</f>
        <v/>
      </c>
      <c r="BK88" s="5">
        <f>IF(B88="","",IF(OR(AC88&lt;&gt;"OK",BJ88="BREACH",BH88&gt;MaxTradesDay,BI88&lt;=-DailyLossLimit,OR(AF88="Panic",AF88="Revenge",AF88="Rule break")),"CHECK","OK"))</f>
        <v/>
      </c>
      <c r="BL88" s="39">
        <f>IF(AU88="","",SUM($AU$6:AU88))</f>
        <v/>
      </c>
      <c r="BM88" s="39">
        <f>IF(BL88="","",Capital+BL88)</f>
        <v/>
      </c>
      <c r="BN88" s="39">
        <f>IF(BM88="","",MAX(Capital,MAX($BM$6:BM88)))</f>
        <v/>
      </c>
      <c r="BO88" s="39">
        <f>IF(BM88="","",BN88-BM88)</f>
        <v/>
      </c>
      <c r="BP88" s="58">
        <f>IF(BO88="","",BO88/BN88)</f>
        <v/>
      </c>
      <c r="BQ88" s="28">
        <f>IF(AU88="","",IF(AU88&lt;0,N(BQ87)+1,0))</f>
        <v/>
      </c>
    </row>
    <row r="89">
      <c r="A89" s="28">
        <f>IF(B89="","",COUNT($B$6:B89))</f>
        <v/>
      </c>
      <c r="B89" s="27" t="n"/>
      <c r="C89" s="5">
        <f>IF(B89="","",TEXT(B89,"ddd"))</f>
        <v/>
      </c>
      <c r="D89" s="27" t="n"/>
      <c r="E89" s="28">
        <f>IF(OR(B89="",D89=""),"",MAX(0,NETWORKDAYS(B89,D89)-1))</f>
        <v/>
      </c>
      <c r="F89" s="37" t="n"/>
      <c r="G89" s="36" t="n"/>
      <c r="H89" s="37" t="n"/>
      <c r="I89" s="37" t="n"/>
      <c r="J89" s="37" t="n"/>
      <c r="K89" s="37" t="n"/>
      <c r="L89" s="36" t="n"/>
      <c r="M89" s="36" t="n"/>
      <c r="N89" s="33">
        <f>IF(M89="","",M89*LotSize)</f>
        <v/>
      </c>
      <c r="O89" s="51" t="n"/>
      <c r="P89" s="32" t="n"/>
      <c r="Q89" s="29" t="n"/>
      <c r="R89" s="30">
        <f>IF(OR(G89="",Q89="",H89=""),"",IF(H89="CE",G89-Q89,Q89-G89))</f>
        <v/>
      </c>
      <c r="S89" s="31">
        <f>IF(R89="","",R89/Q89)</f>
        <v/>
      </c>
      <c r="T89" s="38" t="n"/>
      <c r="U89" s="32" t="n"/>
      <c r="V89" s="52" t="n"/>
      <c r="W89" s="37" t="n"/>
      <c r="X89" s="32" t="n"/>
      <c r="Y89" s="32" t="n"/>
      <c r="Z89" s="39">
        <f>IF(OR(X89="",P89="",N89=""),"",ABS(X89-P89)*N89)</f>
        <v/>
      </c>
      <c r="AA89" s="53">
        <f>IF(OR(Z89="",Y89=""),"",IF(Z89=0,"",ABS(P89-Y89)*N89/Z89))</f>
        <v/>
      </c>
      <c r="AB89" s="54">
        <f>IF(Z89="","",Z89/Capital)</f>
        <v/>
      </c>
      <c r="AC89" s="5">
        <f>IF(B89="","",IF(X89="","NO SL",IF(OR(N(M89)&gt;MaxLots,N(AB89)&gt;RiskPct),"OVERSIZED","OK")))</f>
        <v/>
      </c>
      <c r="AD89" s="51" t="n"/>
      <c r="AE89" s="32" t="n"/>
      <c r="AF89" s="37" t="n"/>
      <c r="AG89" s="32" t="n"/>
      <c r="AH89" s="32" t="n"/>
      <c r="AI89" s="39">
        <f>IF(OR(AG89="",P89="",N89=""),"",ABS(AG89-P89)*N89)</f>
        <v/>
      </c>
      <c r="AJ89" s="39">
        <f>IF(OR(AH89="",P89="",N89=""),"",ABS(P89-AH89)*N89)</f>
        <v/>
      </c>
      <c r="AK89" s="39">
        <f>IF(OR(AE89="",P89="",N89=""),"",IF(I89="Buy",AE89-P89,P89-AE89)*N89)</f>
        <v/>
      </c>
      <c r="AL89" s="39">
        <f>IF(OR(AJ89="",AK89=""),"",MAX(0,AJ89-AK89))</f>
        <v/>
      </c>
      <c r="AM89" s="39">
        <f>IF(AK89="","",(P89+AE89)*N89)</f>
        <v/>
      </c>
      <c r="AN89" s="55">
        <f>IF(AK89="","",BrokeragePerOrder*2*MAX(1,N(L89)))</f>
        <v/>
      </c>
      <c r="AO89" s="55">
        <f>IF(AK89="","",STTRate*IF(I89="Buy",AE89,P89)*N89)</f>
        <v/>
      </c>
      <c r="AP89" s="55">
        <f>IF(AK89="","",ExchRate*AM89)</f>
        <v/>
      </c>
      <c r="AQ89" s="55">
        <f>IF(AK89="","",SEBIRate*AM89)</f>
        <v/>
      </c>
      <c r="AR89" s="55">
        <f>IF(AK89="","",StampRate*IF(I89="Buy",P89,AE89)*N89)</f>
        <v/>
      </c>
      <c r="AS89" s="55">
        <f>IF(AK89="","",GSTRate*(AN89+AP89+AQ89))</f>
        <v/>
      </c>
      <c r="AT89" s="55">
        <f>IF(AK89="","",AN89+AO89+AP89+AQ89+AR89+AS89)</f>
        <v/>
      </c>
      <c r="AU89" s="39">
        <f>IF(AK89="","",AK89-AT89)</f>
        <v/>
      </c>
      <c r="AV89" s="56">
        <f>IF(AU89="","",AU89/IF(N(Z89)&gt;0,Z89,RiskPerTrade))</f>
        <v/>
      </c>
      <c r="AW89" s="31">
        <f>IF(AU89="","",AU89/Capital)</f>
        <v/>
      </c>
      <c r="AX89" s="37" t="n"/>
      <c r="AY89" s="37" t="n"/>
      <c r="AZ89" s="37" t="n"/>
      <c r="BA89" s="37" t="n"/>
      <c r="BB89" s="37" t="n"/>
      <c r="BC89" s="37" t="n"/>
      <c r="BD89" s="37" t="n"/>
      <c r="BE89" s="5">
        <f>IF(AU89="","",IF(AU89&gt;0,"Win",IF(AU89&lt;0,"Loss","BE")))</f>
        <v/>
      </c>
      <c r="BF89" s="5">
        <f>IF(O89="","",LOOKUP(O89,List_BucketStart,List_BucketLabel))</f>
        <v/>
      </c>
      <c r="BG89" s="57">
        <f>IF(B89="","",B89-WEEKDAY(B89,3))</f>
        <v/>
      </c>
      <c r="BH89" s="28">
        <f>IF(B89="","",COUNTIF($B$6:B89,B89))</f>
        <v/>
      </c>
      <c r="BI89" s="39">
        <f>IF(B89="","",SUMIFS($AU$6:AU89,$B$6:B89,B89)-N(AU89))</f>
        <v/>
      </c>
      <c r="BJ89" s="5">
        <f>IF(OR(B89="",E89=""),"",IF(AND(E89=0,I89="Sell",MAX(N(O89),N(AD89))&gt;ExpiryCutoff),"BREACH","OK"))</f>
        <v/>
      </c>
      <c r="BK89" s="5">
        <f>IF(B89="","",IF(OR(AC89&lt;&gt;"OK",BJ89="BREACH",BH89&gt;MaxTradesDay,BI89&lt;=-DailyLossLimit,OR(AF89="Panic",AF89="Revenge",AF89="Rule break")),"CHECK","OK"))</f>
        <v/>
      </c>
      <c r="BL89" s="39">
        <f>IF(AU89="","",SUM($AU$6:AU89))</f>
        <v/>
      </c>
      <c r="BM89" s="39">
        <f>IF(BL89="","",Capital+BL89)</f>
        <v/>
      </c>
      <c r="BN89" s="39">
        <f>IF(BM89="","",MAX(Capital,MAX($BM$6:BM89)))</f>
        <v/>
      </c>
      <c r="BO89" s="39">
        <f>IF(BM89="","",BN89-BM89)</f>
        <v/>
      </c>
      <c r="BP89" s="58">
        <f>IF(BO89="","",BO89/BN89)</f>
        <v/>
      </c>
      <c r="BQ89" s="28">
        <f>IF(AU89="","",IF(AU89&lt;0,N(BQ88)+1,0))</f>
        <v/>
      </c>
    </row>
    <row r="90">
      <c r="A90" s="28">
        <f>IF(B90="","",COUNT($B$6:B90))</f>
        <v/>
      </c>
      <c r="B90" s="27" t="n"/>
      <c r="C90" s="5">
        <f>IF(B90="","",TEXT(B90,"ddd"))</f>
        <v/>
      </c>
      <c r="D90" s="27" t="n"/>
      <c r="E90" s="28">
        <f>IF(OR(B90="",D90=""),"",MAX(0,NETWORKDAYS(B90,D90)-1))</f>
        <v/>
      </c>
      <c r="F90" s="37" t="n"/>
      <c r="G90" s="36" t="n"/>
      <c r="H90" s="37" t="n"/>
      <c r="I90" s="37" t="n"/>
      <c r="J90" s="37" t="n"/>
      <c r="K90" s="37" t="n"/>
      <c r="L90" s="36" t="n"/>
      <c r="M90" s="36" t="n"/>
      <c r="N90" s="33">
        <f>IF(M90="","",M90*LotSize)</f>
        <v/>
      </c>
      <c r="O90" s="51" t="n"/>
      <c r="P90" s="32" t="n"/>
      <c r="Q90" s="29" t="n"/>
      <c r="R90" s="30">
        <f>IF(OR(G90="",Q90="",H90=""),"",IF(H90="CE",G90-Q90,Q90-G90))</f>
        <v/>
      </c>
      <c r="S90" s="31">
        <f>IF(R90="","",R90/Q90)</f>
        <v/>
      </c>
      <c r="T90" s="38" t="n"/>
      <c r="U90" s="32" t="n"/>
      <c r="V90" s="52" t="n"/>
      <c r="W90" s="37" t="n"/>
      <c r="X90" s="32" t="n"/>
      <c r="Y90" s="32" t="n"/>
      <c r="Z90" s="39">
        <f>IF(OR(X90="",P90="",N90=""),"",ABS(X90-P90)*N90)</f>
        <v/>
      </c>
      <c r="AA90" s="53">
        <f>IF(OR(Z90="",Y90=""),"",IF(Z90=0,"",ABS(P90-Y90)*N90/Z90))</f>
        <v/>
      </c>
      <c r="AB90" s="54">
        <f>IF(Z90="","",Z90/Capital)</f>
        <v/>
      </c>
      <c r="AC90" s="5">
        <f>IF(B90="","",IF(X90="","NO SL",IF(OR(N(M90)&gt;MaxLots,N(AB90)&gt;RiskPct),"OVERSIZED","OK")))</f>
        <v/>
      </c>
      <c r="AD90" s="51" t="n"/>
      <c r="AE90" s="32" t="n"/>
      <c r="AF90" s="37" t="n"/>
      <c r="AG90" s="32" t="n"/>
      <c r="AH90" s="32" t="n"/>
      <c r="AI90" s="39">
        <f>IF(OR(AG90="",P90="",N90=""),"",ABS(AG90-P90)*N90)</f>
        <v/>
      </c>
      <c r="AJ90" s="39">
        <f>IF(OR(AH90="",P90="",N90=""),"",ABS(P90-AH90)*N90)</f>
        <v/>
      </c>
      <c r="AK90" s="39">
        <f>IF(OR(AE90="",P90="",N90=""),"",IF(I90="Buy",AE90-P90,P90-AE90)*N90)</f>
        <v/>
      </c>
      <c r="AL90" s="39">
        <f>IF(OR(AJ90="",AK90=""),"",MAX(0,AJ90-AK90))</f>
        <v/>
      </c>
      <c r="AM90" s="39">
        <f>IF(AK90="","",(P90+AE90)*N90)</f>
        <v/>
      </c>
      <c r="AN90" s="55">
        <f>IF(AK90="","",BrokeragePerOrder*2*MAX(1,N(L90)))</f>
        <v/>
      </c>
      <c r="AO90" s="55">
        <f>IF(AK90="","",STTRate*IF(I90="Buy",AE90,P90)*N90)</f>
        <v/>
      </c>
      <c r="AP90" s="55">
        <f>IF(AK90="","",ExchRate*AM90)</f>
        <v/>
      </c>
      <c r="AQ90" s="55">
        <f>IF(AK90="","",SEBIRate*AM90)</f>
        <v/>
      </c>
      <c r="AR90" s="55">
        <f>IF(AK90="","",StampRate*IF(I90="Buy",P90,AE90)*N90)</f>
        <v/>
      </c>
      <c r="AS90" s="55">
        <f>IF(AK90="","",GSTRate*(AN90+AP90+AQ90))</f>
        <v/>
      </c>
      <c r="AT90" s="55">
        <f>IF(AK90="","",AN90+AO90+AP90+AQ90+AR90+AS90)</f>
        <v/>
      </c>
      <c r="AU90" s="39">
        <f>IF(AK90="","",AK90-AT90)</f>
        <v/>
      </c>
      <c r="AV90" s="56">
        <f>IF(AU90="","",AU90/IF(N(Z90)&gt;0,Z90,RiskPerTrade))</f>
        <v/>
      </c>
      <c r="AW90" s="31">
        <f>IF(AU90="","",AU90/Capital)</f>
        <v/>
      </c>
      <c r="AX90" s="37" t="n"/>
      <c r="AY90" s="37" t="n"/>
      <c r="AZ90" s="37" t="n"/>
      <c r="BA90" s="37" t="n"/>
      <c r="BB90" s="37" t="n"/>
      <c r="BC90" s="37" t="n"/>
      <c r="BD90" s="37" t="n"/>
      <c r="BE90" s="5">
        <f>IF(AU90="","",IF(AU90&gt;0,"Win",IF(AU90&lt;0,"Loss","BE")))</f>
        <v/>
      </c>
      <c r="BF90" s="5">
        <f>IF(O90="","",LOOKUP(O90,List_BucketStart,List_BucketLabel))</f>
        <v/>
      </c>
      <c r="BG90" s="57">
        <f>IF(B90="","",B90-WEEKDAY(B90,3))</f>
        <v/>
      </c>
      <c r="BH90" s="28">
        <f>IF(B90="","",COUNTIF($B$6:B90,B90))</f>
        <v/>
      </c>
      <c r="BI90" s="39">
        <f>IF(B90="","",SUMIFS($AU$6:AU90,$B$6:B90,B90)-N(AU90))</f>
        <v/>
      </c>
      <c r="BJ90" s="5">
        <f>IF(OR(B90="",E90=""),"",IF(AND(E90=0,I90="Sell",MAX(N(O90),N(AD90))&gt;ExpiryCutoff),"BREACH","OK"))</f>
        <v/>
      </c>
      <c r="BK90" s="5">
        <f>IF(B90="","",IF(OR(AC90&lt;&gt;"OK",BJ90="BREACH",BH90&gt;MaxTradesDay,BI90&lt;=-DailyLossLimit,OR(AF90="Panic",AF90="Revenge",AF90="Rule break")),"CHECK","OK"))</f>
        <v/>
      </c>
      <c r="BL90" s="39">
        <f>IF(AU90="","",SUM($AU$6:AU90))</f>
        <v/>
      </c>
      <c r="BM90" s="39">
        <f>IF(BL90="","",Capital+BL90)</f>
        <v/>
      </c>
      <c r="BN90" s="39">
        <f>IF(BM90="","",MAX(Capital,MAX($BM$6:BM90)))</f>
        <v/>
      </c>
      <c r="BO90" s="39">
        <f>IF(BM90="","",BN90-BM90)</f>
        <v/>
      </c>
      <c r="BP90" s="58">
        <f>IF(BO90="","",BO90/BN90)</f>
        <v/>
      </c>
      <c r="BQ90" s="28">
        <f>IF(AU90="","",IF(AU90&lt;0,N(BQ89)+1,0))</f>
        <v/>
      </c>
    </row>
    <row r="91">
      <c r="A91" s="28">
        <f>IF(B91="","",COUNT($B$6:B91))</f>
        <v/>
      </c>
      <c r="B91" s="27" t="n"/>
      <c r="C91" s="5">
        <f>IF(B91="","",TEXT(B91,"ddd"))</f>
        <v/>
      </c>
      <c r="D91" s="27" t="n"/>
      <c r="E91" s="28">
        <f>IF(OR(B91="",D91=""),"",MAX(0,NETWORKDAYS(B91,D91)-1))</f>
        <v/>
      </c>
      <c r="F91" s="37" t="n"/>
      <c r="G91" s="36" t="n"/>
      <c r="H91" s="37" t="n"/>
      <c r="I91" s="37" t="n"/>
      <c r="J91" s="37" t="n"/>
      <c r="K91" s="37" t="n"/>
      <c r="L91" s="36" t="n"/>
      <c r="M91" s="36" t="n"/>
      <c r="N91" s="33">
        <f>IF(M91="","",M91*LotSize)</f>
        <v/>
      </c>
      <c r="O91" s="51" t="n"/>
      <c r="P91" s="32" t="n"/>
      <c r="Q91" s="29" t="n"/>
      <c r="R91" s="30">
        <f>IF(OR(G91="",Q91="",H91=""),"",IF(H91="CE",G91-Q91,Q91-G91))</f>
        <v/>
      </c>
      <c r="S91" s="31">
        <f>IF(R91="","",R91/Q91)</f>
        <v/>
      </c>
      <c r="T91" s="38" t="n"/>
      <c r="U91" s="32" t="n"/>
      <c r="V91" s="52" t="n"/>
      <c r="W91" s="37" t="n"/>
      <c r="X91" s="32" t="n"/>
      <c r="Y91" s="32" t="n"/>
      <c r="Z91" s="39">
        <f>IF(OR(X91="",P91="",N91=""),"",ABS(X91-P91)*N91)</f>
        <v/>
      </c>
      <c r="AA91" s="53">
        <f>IF(OR(Z91="",Y91=""),"",IF(Z91=0,"",ABS(P91-Y91)*N91/Z91))</f>
        <v/>
      </c>
      <c r="AB91" s="54">
        <f>IF(Z91="","",Z91/Capital)</f>
        <v/>
      </c>
      <c r="AC91" s="5">
        <f>IF(B91="","",IF(X91="","NO SL",IF(OR(N(M91)&gt;MaxLots,N(AB91)&gt;RiskPct),"OVERSIZED","OK")))</f>
        <v/>
      </c>
      <c r="AD91" s="51" t="n"/>
      <c r="AE91" s="32" t="n"/>
      <c r="AF91" s="37" t="n"/>
      <c r="AG91" s="32" t="n"/>
      <c r="AH91" s="32" t="n"/>
      <c r="AI91" s="39">
        <f>IF(OR(AG91="",P91="",N91=""),"",ABS(AG91-P91)*N91)</f>
        <v/>
      </c>
      <c r="AJ91" s="39">
        <f>IF(OR(AH91="",P91="",N91=""),"",ABS(P91-AH91)*N91)</f>
        <v/>
      </c>
      <c r="AK91" s="39">
        <f>IF(OR(AE91="",P91="",N91=""),"",IF(I91="Buy",AE91-P91,P91-AE91)*N91)</f>
        <v/>
      </c>
      <c r="AL91" s="39">
        <f>IF(OR(AJ91="",AK91=""),"",MAX(0,AJ91-AK91))</f>
        <v/>
      </c>
      <c r="AM91" s="39">
        <f>IF(AK91="","",(P91+AE91)*N91)</f>
        <v/>
      </c>
      <c r="AN91" s="55">
        <f>IF(AK91="","",BrokeragePerOrder*2*MAX(1,N(L91)))</f>
        <v/>
      </c>
      <c r="AO91" s="55">
        <f>IF(AK91="","",STTRate*IF(I91="Buy",AE91,P91)*N91)</f>
        <v/>
      </c>
      <c r="AP91" s="55">
        <f>IF(AK91="","",ExchRate*AM91)</f>
        <v/>
      </c>
      <c r="AQ91" s="55">
        <f>IF(AK91="","",SEBIRate*AM91)</f>
        <v/>
      </c>
      <c r="AR91" s="55">
        <f>IF(AK91="","",StampRate*IF(I91="Buy",P91,AE91)*N91)</f>
        <v/>
      </c>
      <c r="AS91" s="55">
        <f>IF(AK91="","",GSTRate*(AN91+AP91+AQ91))</f>
        <v/>
      </c>
      <c r="AT91" s="55">
        <f>IF(AK91="","",AN91+AO91+AP91+AQ91+AR91+AS91)</f>
        <v/>
      </c>
      <c r="AU91" s="39">
        <f>IF(AK91="","",AK91-AT91)</f>
        <v/>
      </c>
      <c r="AV91" s="56">
        <f>IF(AU91="","",AU91/IF(N(Z91)&gt;0,Z91,RiskPerTrade))</f>
        <v/>
      </c>
      <c r="AW91" s="31">
        <f>IF(AU91="","",AU91/Capital)</f>
        <v/>
      </c>
      <c r="AX91" s="37" t="n"/>
      <c r="AY91" s="37" t="n"/>
      <c r="AZ91" s="37" t="n"/>
      <c r="BA91" s="37" t="n"/>
      <c r="BB91" s="37" t="n"/>
      <c r="BC91" s="37" t="n"/>
      <c r="BD91" s="37" t="n"/>
      <c r="BE91" s="5">
        <f>IF(AU91="","",IF(AU91&gt;0,"Win",IF(AU91&lt;0,"Loss","BE")))</f>
        <v/>
      </c>
      <c r="BF91" s="5">
        <f>IF(O91="","",LOOKUP(O91,List_BucketStart,List_BucketLabel))</f>
        <v/>
      </c>
      <c r="BG91" s="57">
        <f>IF(B91="","",B91-WEEKDAY(B91,3))</f>
        <v/>
      </c>
      <c r="BH91" s="28">
        <f>IF(B91="","",COUNTIF($B$6:B91,B91))</f>
        <v/>
      </c>
      <c r="BI91" s="39">
        <f>IF(B91="","",SUMIFS($AU$6:AU91,$B$6:B91,B91)-N(AU91))</f>
        <v/>
      </c>
      <c r="BJ91" s="5">
        <f>IF(OR(B91="",E91=""),"",IF(AND(E91=0,I91="Sell",MAX(N(O91),N(AD91))&gt;ExpiryCutoff),"BREACH","OK"))</f>
        <v/>
      </c>
      <c r="BK91" s="5">
        <f>IF(B91="","",IF(OR(AC91&lt;&gt;"OK",BJ91="BREACH",BH91&gt;MaxTradesDay,BI91&lt;=-DailyLossLimit,OR(AF91="Panic",AF91="Revenge",AF91="Rule break")),"CHECK","OK"))</f>
        <v/>
      </c>
      <c r="BL91" s="39">
        <f>IF(AU91="","",SUM($AU$6:AU91))</f>
        <v/>
      </c>
      <c r="BM91" s="39">
        <f>IF(BL91="","",Capital+BL91)</f>
        <v/>
      </c>
      <c r="BN91" s="39">
        <f>IF(BM91="","",MAX(Capital,MAX($BM$6:BM91)))</f>
        <v/>
      </c>
      <c r="BO91" s="39">
        <f>IF(BM91="","",BN91-BM91)</f>
        <v/>
      </c>
      <c r="BP91" s="58">
        <f>IF(BO91="","",BO91/BN91)</f>
        <v/>
      </c>
      <c r="BQ91" s="28">
        <f>IF(AU91="","",IF(AU91&lt;0,N(BQ90)+1,0))</f>
        <v/>
      </c>
    </row>
    <row r="92">
      <c r="A92" s="28">
        <f>IF(B92="","",COUNT($B$6:B92))</f>
        <v/>
      </c>
      <c r="B92" s="27" t="n"/>
      <c r="C92" s="5">
        <f>IF(B92="","",TEXT(B92,"ddd"))</f>
        <v/>
      </c>
      <c r="D92" s="27" t="n"/>
      <c r="E92" s="28">
        <f>IF(OR(B92="",D92=""),"",MAX(0,NETWORKDAYS(B92,D92)-1))</f>
        <v/>
      </c>
      <c r="F92" s="37" t="n"/>
      <c r="G92" s="36" t="n"/>
      <c r="H92" s="37" t="n"/>
      <c r="I92" s="37" t="n"/>
      <c r="J92" s="37" t="n"/>
      <c r="K92" s="37" t="n"/>
      <c r="L92" s="36" t="n"/>
      <c r="M92" s="36" t="n"/>
      <c r="N92" s="33">
        <f>IF(M92="","",M92*LotSize)</f>
        <v/>
      </c>
      <c r="O92" s="51" t="n"/>
      <c r="P92" s="32" t="n"/>
      <c r="Q92" s="29" t="n"/>
      <c r="R92" s="30">
        <f>IF(OR(G92="",Q92="",H92=""),"",IF(H92="CE",G92-Q92,Q92-G92))</f>
        <v/>
      </c>
      <c r="S92" s="31">
        <f>IF(R92="","",R92/Q92)</f>
        <v/>
      </c>
      <c r="T92" s="38" t="n"/>
      <c r="U92" s="32" t="n"/>
      <c r="V92" s="52" t="n"/>
      <c r="W92" s="37" t="n"/>
      <c r="X92" s="32" t="n"/>
      <c r="Y92" s="32" t="n"/>
      <c r="Z92" s="39">
        <f>IF(OR(X92="",P92="",N92=""),"",ABS(X92-P92)*N92)</f>
        <v/>
      </c>
      <c r="AA92" s="53">
        <f>IF(OR(Z92="",Y92=""),"",IF(Z92=0,"",ABS(P92-Y92)*N92/Z92))</f>
        <v/>
      </c>
      <c r="AB92" s="54">
        <f>IF(Z92="","",Z92/Capital)</f>
        <v/>
      </c>
      <c r="AC92" s="5">
        <f>IF(B92="","",IF(X92="","NO SL",IF(OR(N(M92)&gt;MaxLots,N(AB92)&gt;RiskPct),"OVERSIZED","OK")))</f>
        <v/>
      </c>
      <c r="AD92" s="51" t="n"/>
      <c r="AE92" s="32" t="n"/>
      <c r="AF92" s="37" t="n"/>
      <c r="AG92" s="32" t="n"/>
      <c r="AH92" s="32" t="n"/>
      <c r="AI92" s="39">
        <f>IF(OR(AG92="",P92="",N92=""),"",ABS(AG92-P92)*N92)</f>
        <v/>
      </c>
      <c r="AJ92" s="39">
        <f>IF(OR(AH92="",P92="",N92=""),"",ABS(P92-AH92)*N92)</f>
        <v/>
      </c>
      <c r="AK92" s="39">
        <f>IF(OR(AE92="",P92="",N92=""),"",IF(I92="Buy",AE92-P92,P92-AE92)*N92)</f>
        <v/>
      </c>
      <c r="AL92" s="39">
        <f>IF(OR(AJ92="",AK92=""),"",MAX(0,AJ92-AK92))</f>
        <v/>
      </c>
      <c r="AM92" s="39">
        <f>IF(AK92="","",(P92+AE92)*N92)</f>
        <v/>
      </c>
      <c r="AN92" s="55">
        <f>IF(AK92="","",BrokeragePerOrder*2*MAX(1,N(L92)))</f>
        <v/>
      </c>
      <c r="AO92" s="55">
        <f>IF(AK92="","",STTRate*IF(I92="Buy",AE92,P92)*N92)</f>
        <v/>
      </c>
      <c r="AP92" s="55">
        <f>IF(AK92="","",ExchRate*AM92)</f>
        <v/>
      </c>
      <c r="AQ92" s="55">
        <f>IF(AK92="","",SEBIRate*AM92)</f>
        <v/>
      </c>
      <c r="AR92" s="55">
        <f>IF(AK92="","",StampRate*IF(I92="Buy",P92,AE92)*N92)</f>
        <v/>
      </c>
      <c r="AS92" s="55">
        <f>IF(AK92="","",GSTRate*(AN92+AP92+AQ92))</f>
        <v/>
      </c>
      <c r="AT92" s="55">
        <f>IF(AK92="","",AN92+AO92+AP92+AQ92+AR92+AS92)</f>
        <v/>
      </c>
      <c r="AU92" s="39">
        <f>IF(AK92="","",AK92-AT92)</f>
        <v/>
      </c>
      <c r="AV92" s="56">
        <f>IF(AU92="","",AU92/IF(N(Z92)&gt;0,Z92,RiskPerTrade))</f>
        <v/>
      </c>
      <c r="AW92" s="31">
        <f>IF(AU92="","",AU92/Capital)</f>
        <v/>
      </c>
      <c r="AX92" s="37" t="n"/>
      <c r="AY92" s="37" t="n"/>
      <c r="AZ92" s="37" t="n"/>
      <c r="BA92" s="37" t="n"/>
      <c r="BB92" s="37" t="n"/>
      <c r="BC92" s="37" t="n"/>
      <c r="BD92" s="37" t="n"/>
      <c r="BE92" s="5">
        <f>IF(AU92="","",IF(AU92&gt;0,"Win",IF(AU92&lt;0,"Loss","BE")))</f>
        <v/>
      </c>
      <c r="BF92" s="5">
        <f>IF(O92="","",LOOKUP(O92,List_BucketStart,List_BucketLabel))</f>
        <v/>
      </c>
      <c r="BG92" s="57">
        <f>IF(B92="","",B92-WEEKDAY(B92,3))</f>
        <v/>
      </c>
      <c r="BH92" s="28">
        <f>IF(B92="","",COUNTIF($B$6:B92,B92))</f>
        <v/>
      </c>
      <c r="BI92" s="39">
        <f>IF(B92="","",SUMIFS($AU$6:AU92,$B$6:B92,B92)-N(AU92))</f>
        <v/>
      </c>
      <c r="BJ92" s="5">
        <f>IF(OR(B92="",E92=""),"",IF(AND(E92=0,I92="Sell",MAX(N(O92),N(AD92))&gt;ExpiryCutoff),"BREACH","OK"))</f>
        <v/>
      </c>
      <c r="BK92" s="5">
        <f>IF(B92="","",IF(OR(AC92&lt;&gt;"OK",BJ92="BREACH",BH92&gt;MaxTradesDay,BI92&lt;=-DailyLossLimit,OR(AF92="Panic",AF92="Revenge",AF92="Rule break")),"CHECK","OK"))</f>
        <v/>
      </c>
      <c r="BL92" s="39">
        <f>IF(AU92="","",SUM($AU$6:AU92))</f>
        <v/>
      </c>
      <c r="BM92" s="39">
        <f>IF(BL92="","",Capital+BL92)</f>
        <v/>
      </c>
      <c r="BN92" s="39">
        <f>IF(BM92="","",MAX(Capital,MAX($BM$6:BM92)))</f>
        <v/>
      </c>
      <c r="BO92" s="39">
        <f>IF(BM92="","",BN92-BM92)</f>
        <v/>
      </c>
      <c r="BP92" s="58">
        <f>IF(BO92="","",BO92/BN92)</f>
        <v/>
      </c>
      <c r="BQ92" s="28">
        <f>IF(AU92="","",IF(AU92&lt;0,N(BQ91)+1,0))</f>
        <v/>
      </c>
    </row>
    <row r="93">
      <c r="A93" s="28">
        <f>IF(B93="","",COUNT($B$6:B93))</f>
        <v/>
      </c>
      <c r="B93" s="27" t="n"/>
      <c r="C93" s="5">
        <f>IF(B93="","",TEXT(B93,"ddd"))</f>
        <v/>
      </c>
      <c r="D93" s="27" t="n"/>
      <c r="E93" s="28">
        <f>IF(OR(B93="",D93=""),"",MAX(0,NETWORKDAYS(B93,D93)-1))</f>
        <v/>
      </c>
      <c r="F93" s="37" t="n"/>
      <c r="G93" s="36" t="n"/>
      <c r="H93" s="37" t="n"/>
      <c r="I93" s="37" t="n"/>
      <c r="J93" s="37" t="n"/>
      <c r="K93" s="37" t="n"/>
      <c r="L93" s="36" t="n"/>
      <c r="M93" s="36" t="n"/>
      <c r="N93" s="33">
        <f>IF(M93="","",M93*LotSize)</f>
        <v/>
      </c>
      <c r="O93" s="51" t="n"/>
      <c r="P93" s="32" t="n"/>
      <c r="Q93" s="29" t="n"/>
      <c r="R93" s="30">
        <f>IF(OR(G93="",Q93="",H93=""),"",IF(H93="CE",G93-Q93,Q93-G93))</f>
        <v/>
      </c>
      <c r="S93" s="31">
        <f>IF(R93="","",R93/Q93)</f>
        <v/>
      </c>
      <c r="T93" s="38" t="n"/>
      <c r="U93" s="32" t="n"/>
      <c r="V93" s="52" t="n"/>
      <c r="W93" s="37" t="n"/>
      <c r="X93" s="32" t="n"/>
      <c r="Y93" s="32" t="n"/>
      <c r="Z93" s="39">
        <f>IF(OR(X93="",P93="",N93=""),"",ABS(X93-P93)*N93)</f>
        <v/>
      </c>
      <c r="AA93" s="53">
        <f>IF(OR(Z93="",Y93=""),"",IF(Z93=0,"",ABS(P93-Y93)*N93/Z93))</f>
        <v/>
      </c>
      <c r="AB93" s="54">
        <f>IF(Z93="","",Z93/Capital)</f>
        <v/>
      </c>
      <c r="AC93" s="5">
        <f>IF(B93="","",IF(X93="","NO SL",IF(OR(N(M93)&gt;MaxLots,N(AB93)&gt;RiskPct),"OVERSIZED","OK")))</f>
        <v/>
      </c>
      <c r="AD93" s="51" t="n"/>
      <c r="AE93" s="32" t="n"/>
      <c r="AF93" s="37" t="n"/>
      <c r="AG93" s="32" t="n"/>
      <c r="AH93" s="32" t="n"/>
      <c r="AI93" s="39">
        <f>IF(OR(AG93="",P93="",N93=""),"",ABS(AG93-P93)*N93)</f>
        <v/>
      </c>
      <c r="AJ93" s="39">
        <f>IF(OR(AH93="",P93="",N93=""),"",ABS(P93-AH93)*N93)</f>
        <v/>
      </c>
      <c r="AK93" s="39">
        <f>IF(OR(AE93="",P93="",N93=""),"",IF(I93="Buy",AE93-P93,P93-AE93)*N93)</f>
        <v/>
      </c>
      <c r="AL93" s="39">
        <f>IF(OR(AJ93="",AK93=""),"",MAX(0,AJ93-AK93))</f>
        <v/>
      </c>
      <c r="AM93" s="39">
        <f>IF(AK93="","",(P93+AE93)*N93)</f>
        <v/>
      </c>
      <c r="AN93" s="55">
        <f>IF(AK93="","",BrokeragePerOrder*2*MAX(1,N(L93)))</f>
        <v/>
      </c>
      <c r="AO93" s="55">
        <f>IF(AK93="","",STTRate*IF(I93="Buy",AE93,P93)*N93)</f>
        <v/>
      </c>
      <c r="AP93" s="55">
        <f>IF(AK93="","",ExchRate*AM93)</f>
        <v/>
      </c>
      <c r="AQ93" s="55">
        <f>IF(AK93="","",SEBIRate*AM93)</f>
        <v/>
      </c>
      <c r="AR93" s="55">
        <f>IF(AK93="","",StampRate*IF(I93="Buy",P93,AE93)*N93)</f>
        <v/>
      </c>
      <c r="AS93" s="55">
        <f>IF(AK93="","",GSTRate*(AN93+AP93+AQ93))</f>
        <v/>
      </c>
      <c r="AT93" s="55">
        <f>IF(AK93="","",AN93+AO93+AP93+AQ93+AR93+AS93)</f>
        <v/>
      </c>
      <c r="AU93" s="39">
        <f>IF(AK93="","",AK93-AT93)</f>
        <v/>
      </c>
      <c r="AV93" s="56">
        <f>IF(AU93="","",AU93/IF(N(Z93)&gt;0,Z93,RiskPerTrade))</f>
        <v/>
      </c>
      <c r="AW93" s="31">
        <f>IF(AU93="","",AU93/Capital)</f>
        <v/>
      </c>
      <c r="AX93" s="37" t="n"/>
      <c r="AY93" s="37" t="n"/>
      <c r="AZ93" s="37" t="n"/>
      <c r="BA93" s="37" t="n"/>
      <c r="BB93" s="37" t="n"/>
      <c r="BC93" s="37" t="n"/>
      <c r="BD93" s="37" t="n"/>
      <c r="BE93" s="5">
        <f>IF(AU93="","",IF(AU93&gt;0,"Win",IF(AU93&lt;0,"Loss","BE")))</f>
        <v/>
      </c>
      <c r="BF93" s="5">
        <f>IF(O93="","",LOOKUP(O93,List_BucketStart,List_BucketLabel))</f>
        <v/>
      </c>
      <c r="BG93" s="57">
        <f>IF(B93="","",B93-WEEKDAY(B93,3))</f>
        <v/>
      </c>
      <c r="BH93" s="28">
        <f>IF(B93="","",COUNTIF($B$6:B93,B93))</f>
        <v/>
      </c>
      <c r="BI93" s="39">
        <f>IF(B93="","",SUMIFS($AU$6:AU93,$B$6:B93,B93)-N(AU93))</f>
        <v/>
      </c>
      <c r="BJ93" s="5">
        <f>IF(OR(B93="",E93=""),"",IF(AND(E93=0,I93="Sell",MAX(N(O93),N(AD93))&gt;ExpiryCutoff),"BREACH","OK"))</f>
        <v/>
      </c>
      <c r="BK93" s="5">
        <f>IF(B93="","",IF(OR(AC93&lt;&gt;"OK",BJ93="BREACH",BH93&gt;MaxTradesDay,BI93&lt;=-DailyLossLimit,OR(AF93="Panic",AF93="Revenge",AF93="Rule break")),"CHECK","OK"))</f>
        <v/>
      </c>
      <c r="BL93" s="39">
        <f>IF(AU93="","",SUM($AU$6:AU93))</f>
        <v/>
      </c>
      <c r="BM93" s="39">
        <f>IF(BL93="","",Capital+BL93)</f>
        <v/>
      </c>
      <c r="BN93" s="39">
        <f>IF(BM93="","",MAX(Capital,MAX($BM$6:BM93)))</f>
        <v/>
      </c>
      <c r="BO93" s="39">
        <f>IF(BM93="","",BN93-BM93)</f>
        <v/>
      </c>
      <c r="BP93" s="58">
        <f>IF(BO93="","",BO93/BN93)</f>
        <v/>
      </c>
      <c r="BQ93" s="28">
        <f>IF(AU93="","",IF(AU93&lt;0,N(BQ92)+1,0))</f>
        <v/>
      </c>
    </row>
    <row r="94">
      <c r="A94" s="28">
        <f>IF(B94="","",COUNT($B$6:B94))</f>
        <v/>
      </c>
      <c r="B94" s="27" t="n"/>
      <c r="C94" s="5">
        <f>IF(B94="","",TEXT(B94,"ddd"))</f>
        <v/>
      </c>
      <c r="D94" s="27" t="n"/>
      <c r="E94" s="28">
        <f>IF(OR(B94="",D94=""),"",MAX(0,NETWORKDAYS(B94,D94)-1))</f>
        <v/>
      </c>
      <c r="F94" s="37" t="n"/>
      <c r="G94" s="36" t="n"/>
      <c r="H94" s="37" t="n"/>
      <c r="I94" s="37" t="n"/>
      <c r="J94" s="37" t="n"/>
      <c r="K94" s="37" t="n"/>
      <c r="L94" s="36" t="n"/>
      <c r="M94" s="36" t="n"/>
      <c r="N94" s="33">
        <f>IF(M94="","",M94*LotSize)</f>
        <v/>
      </c>
      <c r="O94" s="51" t="n"/>
      <c r="P94" s="32" t="n"/>
      <c r="Q94" s="29" t="n"/>
      <c r="R94" s="30">
        <f>IF(OR(G94="",Q94="",H94=""),"",IF(H94="CE",G94-Q94,Q94-G94))</f>
        <v/>
      </c>
      <c r="S94" s="31">
        <f>IF(R94="","",R94/Q94)</f>
        <v/>
      </c>
      <c r="T94" s="38" t="n"/>
      <c r="U94" s="32" t="n"/>
      <c r="V94" s="52" t="n"/>
      <c r="W94" s="37" t="n"/>
      <c r="X94" s="32" t="n"/>
      <c r="Y94" s="32" t="n"/>
      <c r="Z94" s="39">
        <f>IF(OR(X94="",P94="",N94=""),"",ABS(X94-P94)*N94)</f>
        <v/>
      </c>
      <c r="AA94" s="53">
        <f>IF(OR(Z94="",Y94=""),"",IF(Z94=0,"",ABS(P94-Y94)*N94/Z94))</f>
        <v/>
      </c>
      <c r="AB94" s="54">
        <f>IF(Z94="","",Z94/Capital)</f>
        <v/>
      </c>
      <c r="AC94" s="5">
        <f>IF(B94="","",IF(X94="","NO SL",IF(OR(N(M94)&gt;MaxLots,N(AB94)&gt;RiskPct),"OVERSIZED","OK")))</f>
        <v/>
      </c>
      <c r="AD94" s="51" t="n"/>
      <c r="AE94" s="32" t="n"/>
      <c r="AF94" s="37" t="n"/>
      <c r="AG94" s="32" t="n"/>
      <c r="AH94" s="32" t="n"/>
      <c r="AI94" s="39">
        <f>IF(OR(AG94="",P94="",N94=""),"",ABS(AG94-P94)*N94)</f>
        <v/>
      </c>
      <c r="AJ94" s="39">
        <f>IF(OR(AH94="",P94="",N94=""),"",ABS(P94-AH94)*N94)</f>
        <v/>
      </c>
      <c r="AK94" s="39">
        <f>IF(OR(AE94="",P94="",N94=""),"",IF(I94="Buy",AE94-P94,P94-AE94)*N94)</f>
        <v/>
      </c>
      <c r="AL94" s="39">
        <f>IF(OR(AJ94="",AK94=""),"",MAX(0,AJ94-AK94))</f>
        <v/>
      </c>
      <c r="AM94" s="39">
        <f>IF(AK94="","",(P94+AE94)*N94)</f>
        <v/>
      </c>
      <c r="AN94" s="55">
        <f>IF(AK94="","",BrokeragePerOrder*2*MAX(1,N(L94)))</f>
        <v/>
      </c>
      <c r="AO94" s="55">
        <f>IF(AK94="","",STTRate*IF(I94="Buy",AE94,P94)*N94)</f>
        <v/>
      </c>
      <c r="AP94" s="55">
        <f>IF(AK94="","",ExchRate*AM94)</f>
        <v/>
      </c>
      <c r="AQ94" s="55">
        <f>IF(AK94="","",SEBIRate*AM94)</f>
        <v/>
      </c>
      <c r="AR94" s="55">
        <f>IF(AK94="","",StampRate*IF(I94="Buy",P94,AE94)*N94)</f>
        <v/>
      </c>
      <c r="AS94" s="55">
        <f>IF(AK94="","",GSTRate*(AN94+AP94+AQ94))</f>
        <v/>
      </c>
      <c r="AT94" s="55">
        <f>IF(AK94="","",AN94+AO94+AP94+AQ94+AR94+AS94)</f>
        <v/>
      </c>
      <c r="AU94" s="39">
        <f>IF(AK94="","",AK94-AT94)</f>
        <v/>
      </c>
      <c r="AV94" s="56">
        <f>IF(AU94="","",AU94/IF(N(Z94)&gt;0,Z94,RiskPerTrade))</f>
        <v/>
      </c>
      <c r="AW94" s="31">
        <f>IF(AU94="","",AU94/Capital)</f>
        <v/>
      </c>
      <c r="AX94" s="37" t="n"/>
      <c r="AY94" s="37" t="n"/>
      <c r="AZ94" s="37" t="n"/>
      <c r="BA94" s="37" t="n"/>
      <c r="BB94" s="37" t="n"/>
      <c r="BC94" s="37" t="n"/>
      <c r="BD94" s="37" t="n"/>
      <c r="BE94" s="5">
        <f>IF(AU94="","",IF(AU94&gt;0,"Win",IF(AU94&lt;0,"Loss","BE")))</f>
        <v/>
      </c>
      <c r="BF94" s="5">
        <f>IF(O94="","",LOOKUP(O94,List_BucketStart,List_BucketLabel))</f>
        <v/>
      </c>
      <c r="BG94" s="57">
        <f>IF(B94="","",B94-WEEKDAY(B94,3))</f>
        <v/>
      </c>
      <c r="BH94" s="28">
        <f>IF(B94="","",COUNTIF($B$6:B94,B94))</f>
        <v/>
      </c>
      <c r="BI94" s="39">
        <f>IF(B94="","",SUMIFS($AU$6:AU94,$B$6:B94,B94)-N(AU94))</f>
        <v/>
      </c>
      <c r="BJ94" s="5">
        <f>IF(OR(B94="",E94=""),"",IF(AND(E94=0,I94="Sell",MAX(N(O94),N(AD94))&gt;ExpiryCutoff),"BREACH","OK"))</f>
        <v/>
      </c>
      <c r="BK94" s="5">
        <f>IF(B94="","",IF(OR(AC94&lt;&gt;"OK",BJ94="BREACH",BH94&gt;MaxTradesDay,BI94&lt;=-DailyLossLimit,OR(AF94="Panic",AF94="Revenge",AF94="Rule break")),"CHECK","OK"))</f>
        <v/>
      </c>
      <c r="BL94" s="39">
        <f>IF(AU94="","",SUM($AU$6:AU94))</f>
        <v/>
      </c>
      <c r="BM94" s="39">
        <f>IF(BL94="","",Capital+BL94)</f>
        <v/>
      </c>
      <c r="BN94" s="39">
        <f>IF(BM94="","",MAX(Capital,MAX($BM$6:BM94)))</f>
        <v/>
      </c>
      <c r="BO94" s="39">
        <f>IF(BM94="","",BN94-BM94)</f>
        <v/>
      </c>
      <c r="BP94" s="58">
        <f>IF(BO94="","",BO94/BN94)</f>
        <v/>
      </c>
      <c r="BQ94" s="28">
        <f>IF(AU94="","",IF(AU94&lt;0,N(BQ93)+1,0))</f>
        <v/>
      </c>
    </row>
    <row r="95">
      <c r="A95" s="28">
        <f>IF(B95="","",COUNT($B$6:B95))</f>
        <v/>
      </c>
      <c r="B95" s="27" t="n"/>
      <c r="C95" s="5">
        <f>IF(B95="","",TEXT(B95,"ddd"))</f>
        <v/>
      </c>
      <c r="D95" s="27" t="n"/>
      <c r="E95" s="28">
        <f>IF(OR(B95="",D95=""),"",MAX(0,NETWORKDAYS(B95,D95)-1))</f>
        <v/>
      </c>
      <c r="F95" s="37" t="n"/>
      <c r="G95" s="36" t="n"/>
      <c r="H95" s="37" t="n"/>
      <c r="I95" s="37" t="n"/>
      <c r="J95" s="37" t="n"/>
      <c r="K95" s="37" t="n"/>
      <c r="L95" s="36" t="n"/>
      <c r="M95" s="36" t="n"/>
      <c r="N95" s="33">
        <f>IF(M95="","",M95*LotSize)</f>
        <v/>
      </c>
      <c r="O95" s="51" t="n"/>
      <c r="P95" s="32" t="n"/>
      <c r="Q95" s="29" t="n"/>
      <c r="R95" s="30">
        <f>IF(OR(G95="",Q95="",H95=""),"",IF(H95="CE",G95-Q95,Q95-G95))</f>
        <v/>
      </c>
      <c r="S95" s="31">
        <f>IF(R95="","",R95/Q95)</f>
        <v/>
      </c>
      <c r="T95" s="38" t="n"/>
      <c r="U95" s="32" t="n"/>
      <c r="V95" s="52" t="n"/>
      <c r="W95" s="37" t="n"/>
      <c r="X95" s="32" t="n"/>
      <c r="Y95" s="32" t="n"/>
      <c r="Z95" s="39">
        <f>IF(OR(X95="",P95="",N95=""),"",ABS(X95-P95)*N95)</f>
        <v/>
      </c>
      <c r="AA95" s="53">
        <f>IF(OR(Z95="",Y95=""),"",IF(Z95=0,"",ABS(P95-Y95)*N95/Z95))</f>
        <v/>
      </c>
      <c r="AB95" s="54">
        <f>IF(Z95="","",Z95/Capital)</f>
        <v/>
      </c>
      <c r="AC95" s="5">
        <f>IF(B95="","",IF(X95="","NO SL",IF(OR(N(M95)&gt;MaxLots,N(AB95)&gt;RiskPct),"OVERSIZED","OK")))</f>
        <v/>
      </c>
      <c r="AD95" s="51" t="n"/>
      <c r="AE95" s="32" t="n"/>
      <c r="AF95" s="37" t="n"/>
      <c r="AG95" s="32" t="n"/>
      <c r="AH95" s="32" t="n"/>
      <c r="AI95" s="39">
        <f>IF(OR(AG95="",P95="",N95=""),"",ABS(AG95-P95)*N95)</f>
        <v/>
      </c>
      <c r="AJ95" s="39">
        <f>IF(OR(AH95="",P95="",N95=""),"",ABS(P95-AH95)*N95)</f>
        <v/>
      </c>
      <c r="AK95" s="39">
        <f>IF(OR(AE95="",P95="",N95=""),"",IF(I95="Buy",AE95-P95,P95-AE95)*N95)</f>
        <v/>
      </c>
      <c r="AL95" s="39">
        <f>IF(OR(AJ95="",AK95=""),"",MAX(0,AJ95-AK95))</f>
        <v/>
      </c>
      <c r="AM95" s="39">
        <f>IF(AK95="","",(P95+AE95)*N95)</f>
        <v/>
      </c>
      <c r="AN95" s="55">
        <f>IF(AK95="","",BrokeragePerOrder*2*MAX(1,N(L95)))</f>
        <v/>
      </c>
      <c r="AO95" s="55">
        <f>IF(AK95="","",STTRate*IF(I95="Buy",AE95,P95)*N95)</f>
        <v/>
      </c>
      <c r="AP95" s="55">
        <f>IF(AK95="","",ExchRate*AM95)</f>
        <v/>
      </c>
      <c r="AQ95" s="55">
        <f>IF(AK95="","",SEBIRate*AM95)</f>
        <v/>
      </c>
      <c r="AR95" s="55">
        <f>IF(AK95="","",StampRate*IF(I95="Buy",P95,AE95)*N95)</f>
        <v/>
      </c>
      <c r="AS95" s="55">
        <f>IF(AK95="","",GSTRate*(AN95+AP95+AQ95))</f>
        <v/>
      </c>
      <c r="AT95" s="55">
        <f>IF(AK95="","",AN95+AO95+AP95+AQ95+AR95+AS95)</f>
        <v/>
      </c>
      <c r="AU95" s="39">
        <f>IF(AK95="","",AK95-AT95)</f>
        <v/>
      </c>
      <c r="AV95" s="56">
        <f>IF(AU95="","",AU95/IF(N(Z95)&gt;0,Z95,RiskPerTrade))</f>
        <v/>
      </c>
      <c r="AW95" s="31">
        <f>IF(AU95="","",AU95/Capital)</f>
        <v/>
      </c>
      <c r="AX95" s="37" t="n"/>
      <c r="AY95" s="37" t="n"/>
      <c r="AZ95" s="37" t="n"/>
      <c r="BA95" s="37" t="n"/>
      <c r="BB95" s="37" t="n"/>
      <c r="BC95" s="37" t="n"/>
      <c r="BD95" s="37" t="n"/>
      <c r="BE95" s="5">
        <f>IF(AU95="","",IF(AU95&gt;0,"Win",IF(AU95&lt;0,"Loss","BE")))</f>
        <v/>
      </c>
      <c r="BF95" s="5">
        <f>IF(O95="","",LOOKUP(O95,List_BucketStart,List_BucketLabel))</f>
        <v/>
      </c>
      <c r="BG95" s="57">
        <f>IF(B95="","",B95-WEEKDAY(B95,3))</f>
        <v/>
      </c>
      <c r="BH95" s="28">
        <f>IF(B95="","",COUNTIF($B$6:B95,B95))</f>
        <v/>
      </c>
      <c r="BI95" s="39">
        <f>IF(B95="","",SUMIFS($AU$6:AU95,$B$6:B95,B95)-N(AU95))</f>
        <v/>
      </c>
      <c r="BJ95" s="5">
        <f>IF(OR(B95="",E95=""),"",IF(AND(E95=0,I95="Sell",MAX(N(O95),N(AD95))&gt;ExpiryCutoff),"BREACH","OK"))</f>
        <v/>
      </c>
      <c r="BK95" s="5">
        <f>IF(B95="","",IF(OR(AC95&lt;&gt;"OK",BJ95="BREACH",BH95&gt;MaxTradesDay,BI95&lt;=-DailyLossLimit,OR(AF95="Panic",AF95="Revenge",AF95="Rule break")),"CHECK","OK"))</f>
        <v/>
      </c>
      <c r="BL95" s="39">
        <f>IF(AU95="","",SUM($AU$6:AU95))</f>
        <v/>
      </c>
      <c r="BM95" s="39">
        <f>IF(BL95="","",Capital+BL95)</f>
        <v/>
      </c>
      <c r="BN95" s="39">
        <f>IF(BM95="","",MAX(Capital,MAX($BM$6:BM95)))</f>
        <v/>
      </c>
      <c r="BO95" s="39">
        <f>IF(BM95="","",BN95-BM95)</f>
        <v/>
      </c>
      <c r="BP95" s="58">
        <f>IF(BO95="","",BO95/BN95)</f>
        <v/>
      </c>
      <c r="BQ95" s="28">
        <f>IF(AU95="","",IF(AU95&lt;0,N(BQ94)+1,0))</f>
        <v/>
      </c>
    </row>
    <row r="96">
      <c r="A96" s="28">
        <f>IF(B96="","",COUNT($B$6:B96))</f>
        <v/>
      </c>
      <c r="B96" s="27" t="n"/>
      <c r="C96" s="5">
        <f>IF(B96="","",TEXT(B96,"ddd"))</f>
        <v/>
      </c>
      <c r="D96" s="27" t="n"/>
      <c r="E96" s="28">
        <f>IF(OR(B96="",D96=""),"",MAX(0,NETWORKDAYS(B96,D96)-1))</f>
        <v/>
      </c>
      <c r="F96" s="37" t="n"/>
      <c r="G96" s="36" t="n"/>
      <c r="H96" s="37" t="n"/>
      <c r="I96" s="37" t="n"/>
      <c r="J96" s="37" t="n"/>
      <c r="K96" s="37" t="n"/>
      <c r="L96" s="36" t="n"/>
      <c r="M96" s="36" t="n"/>
      <c r="N96" s="33">
        <f>IF(M96="","",M96*LotSize)</f>
        <v/>
      </c>
      <c r="O96" s="51" t="n"/>
      <c r="P96" s="32" t="n"/>
      <c r="Q96" s="29" t="n"/>
      <c r="R96" s="30">
        <f>IF(OR(G96="",Q96="",H96=""),"",IF(H96="CE",G96-Q96,Q96-G96))</f>
        <v/>
      </c>
      <c r="S96" s="31">
        <f>IF(R96="","",R96/Q96)</f>
        <v/>
      </c>
      <c r="T96" s="38" t="n"/>
      <c r="U96" s="32" t="n"/>
      <c r="V96" s="52" t="n"/>
      <c r="W96" s="37" t="n"/>
      <c r="X96" s="32" t="n"/>
      <c r="Y96" s="32" t="n"/>
      <c r="Z96" s="39">
        <f>IF(OR(X96="",P96="",N96=""),"",ABS(X96-P96)*N96)</f>
        <v/>
      </c>
      <c r="AA96" s="53">
        <f>IF(OR(Z96="",Y96=""),"",IF(Z96=0,"",ABS(P96-Y96)*N96/Z96))</f>
        <v/>
      </c>
      <c r="AB96" s="54">
        <f>IF(Z96="","",Z96/Capital)</f>
        <v/>
      </c>
      <c r="AC96" s="5">
        <f>IF(B96="","",IF(X96="","NO SL",IF(OR(N(M96)&gt;MaxLots,N(AB96)&gt;RiskPct),"OVERSIZED","OK")))</f>
        <v/>
      </c>
      <c r="AD96" s="51" t="n"/>
      <c r="AE96" s="32" t="n"/>
      <c r="AF96" s="37" t="n"/>
      <c r="AG96" s="32" t="n"/>
      <c r="AH96" s="32" t="n"/>
      <c r="AI96" s="39">
        <f>IF(OR(AG96="",P96="",N96=""),"",ABS(AG96-P96)*N96)</f>
        <v/>
      </c>
      <c r="AJ96" s="39">
        <f>IF(OR(AH96="",P96="",N96=""),"",ABS(P96-AH96)*N96)</f>
        <v/>
      </c>
      <c r="AK96" s="39">
        <f>IF(OR(AE96="",P96="",N96=""),"",IF(I96="Buy",AE96-P96,P96-AE96)*N96)</f>
        <v/>
      </c>
      <c r="AL96" s="39">
        <f>IF(OR(AJ96="",AK96=""),"",MAX(0,AJ96-AK96))</f>
        <v/>
      </c>
      <c r="AM96" s="39">
        <f>IF(AK96="","",(P96+AE96)*N96)</f>
        <v/>
      </c>
      <c r="AN96" s="55">
        <f>IF(AK96="","",BrokeragePerOrder*2*MAX(1,N(L96)))</f>
        <v/>
      </c>
      <c r="AO96" s="55">
        <f>IF(AK96="","",STTRate*IF(I96="Buy",AE96,P96)*N96)</f>
        <v/>
      </c>
      <c r="AP96" s="55">
        <f>IF(AK96="","",ExchRate*AM96)</f>
        <v/>
      </c>
      <c r="AQ96" s="55">
        <f>IF(AK96="","",SEBIRate*AM96)</f>
        <v/>
      </c>
      <c r="AR96" s="55">
        <f>IF(AK96="","",StampRate*IF(I96="Buy",P96,AE96)*N96)</f>
        <v/>
      </c>
      <c r="AS96" s="55">
        <f>IF(AK96="","",GSTRate*(AN96+AP96+AQ96))</f>
        <v/>
      </c>
      <c r="AT96" s="55">
        <f>IF(AK96="","",AN96+AO96+AP96+AQ96+AR96+AS96)</f>
        <v/>
      </c>
      <c r="AU96" s="39">
        <f>IF(AK96="","",AK96-AT96)</f>
        <v/>
      </c>
      <c r="AV96" s="56">
        <f>IF(AU96="","",AU96/IF(N(Z96)&gt;0,Z96,RiskPerTrade))</f>
        <v/>
      </c>
      <c r="AW96" s="31">
        <f>IF(AU96="","",AU96/Capital)</f>
        <v/>
      </c>
      <c r="AX96" s="37" t="n"/>
      <c r="AY96" s="37" t="n"/>
      <c r="AZ96" s="37" t="n"/>
      <c r="BA96" s="37" t="n"/>
      <c r="BB96" s="37" t="n"/>
      <c r="BC96" s="37" t="n"/>
      <c r="BD96" s="37" t="n"/>
      <c r="BE96" s="5">
        <f>IF(AU96="","",IF(AU96&gt;0,"Win",IF(AU96&lt;0,"Loss","BE")))</f>
        <v/>
      </c>
      <c r="BF96" s="5">
        <f>IF(O96="","",LOOKUP(O96,List_BucketStart,List_BucketLabel))</f>
        <v/>
      </c>
      <c r="BG96" s="57">
        <f>IF(B96="","",B96-WEEKDAY(B96,3))</f>
        <v/>
      </c>
      <c r="BH96" s="28">
        <f>IF(B96="","",COUNTIF($B$6:B96,B96))</f>
        <v/>
      </c>
      <c r="BI96" s="39">
        <f>IF(B96="","",SUMIFS($AU$6:AU96,$B$6:B96,B96)-N(AU96))</f>
        <v/>
      </c>
      <c r="BJ96" s="5">
        <f>IF(OR(B96="",E96=""),"",IF(AND(E96=0,I96="Sell",MAX(N(O96),N(AD96))&gt;ExpiryCutoff),"BREACH","OK"))</f>
        <v/>
      </c>
      <c r="BK96" s="5">
        <f>IF(B96="","",IF(OR(AC96&lt;&gt;"OK",BJ96="BREACH",BH96&gt;MaxTradesDay,BI96&lt;=-DailyLossLimit,OR(AF96="Panic",AF96="Revenge",AF96="Rule break")),"CHECK","OK"))</f>
        <v/>
      </c>
      <c r="BL96" s="39">
        <f>IF(AU96="","",SUM($AU$6:AU96))</f>
        <v/>
      </c>
      <c r="BM96" s="39">
        <f>IF(BL96="","",Capital+BL96)</f>
        <v/>
      </c>
      <c r="BN96" s="39">
        <f>IF(BM96="","",MAX(Capital,MAX($BM$6:BM96)))</f>
        <v/>
      </c>
      <c r="BO96" s="39">
        <f>IF(BM96="","",BN96-BM96)</f>
        <v/>
      </c>
      <c r="BP96" s="58">
        <f>IF(BO96="","",BO96/BN96)</f>
        <v/>
      </c>
      <c r="BQ96" s="28">
        <f>IF(AU96="","",IF(AU96&lt;0,N(BQ95)+1,0))</f>
        <v/>
      </c>
    </row>
    <row r="97">
      <c r="A97" s="28">
        <f>IF(B97="","",COUNT($B$6:B97))</f>
        <v/>
      </c>
      <c r="B97" s="27" t="n"/>
      <c r="C97" s="5">
        <f>IF(B97="","",TEXT(B97,"ddd"))</f>
        <v/>
      </c>
      <c r="D97" s="27" t="n"/>
      <c r="E97" s="28">
        <f>IF(OR(B97="",D97=""),"",MAX(0,NETWORKDAYS(B97,D97)-1))</f>
        <v/>
      </c>
      <c r="F97" s="37" t="n"/>
      <c r="G97" s="36" t="n"/>
      <c r="H97" s="37" t="n"/>
      <c r="I97" s="37" t="n"/>
      <c r="J97" s="37" t="n"/>
      <c r="K97" s="37" t="n"/>
      <c r="L97" s="36" t="n"/>
      <c r="M97" s="36" t="n"/>
      <c r="N97" s="33">
        <f>IF(M97="","",M97*LotSize)</f>
        <v/>
      </c>
      <c r="O97" s="51" t="n"/>
      <c r="P97" s="32" t="n"/>
      <c r="Q97" s="29" t="n"/>
      <c r="R97" s="30">
        <f>IF(OR(G97="",Q97="",H97=""),"",IF(H97="CE",G97-Q97,Q97-G97))</f>
        <v/>
      </c>
      <c r="S97" s="31">
        <f>IF(R97="","",R97/Q97)</f>
        <v/>
      </c>
      <c r="T97" s="38" t="n"/>
      <c r="U97" s="32" t="n"/>
      <c r="V97" s="52" t="n"/>
      <c r="W97" s="37" t="n"/>
      <c r="X97" s="32" t="n"/>
      <c r="Y97" s="32" t="n"/>
      <c r="Z97" s="39">
        <f>IF(OR(X97="",P97="",N97=""),"",ABS(X97-P97)*N97)</f>
        <v/>
      </c>
      <c r="AA97" s="53">
        <f>IF(OR(Z97="",Y97=""),"",IF(Z97=0,"",ABS(P97-Y97)*N97/Z97))</f>
        <v/>
      </c>
      <c r="AB97" s="54">
        <f>IF(Z97="","",Z97/Capital)</f>
        <v/>
      </c>
      <c r="AC97" s="5">
        <f>IF(B97="","",IF(X97="","NO SL",IF(OR(N(M97)&gt;MaxLots,N(AB97)&gt;RiskPct),"OVERSIZED","OK")))</f>
        <v/>
      </c>
      <c r="AD97" s="51" t="n"/>
      <c r="AE97" s="32" t="n"/>
      <c r="AF97" s="37" t="n"/>
      <c r="AG97" s="32" t="n"/>
      <c r="AH97" s="32" t="n"/>
      <c r="AI97" s="39">
        <f>IF(OR(AG97="",P97="",N97=""),"",ABS(AG97-P97)*N97)</f>
        <v/>
      </c>
      <c r="AJ97" s="39">
        <f>IF(OR(AH97="",P97="",N97=""),"",ABS(P97-AH97)*N97)</f>
        <v/>
      </c>
      <c r="AK97" s="39">
        <f>IF(OR(AE97="",P97="",N97=""),"",IF(I97="Buy",AE97-P97,P97-AE97)*N97)</f>
        <v/>
      </c>
      <c r="AL97" s="39">
        <f>IF(OR(AJ97="",AK97=""),"",MAX(0,AJ97-AK97))</f>
        <v/>
      </c>
      <c r="AM97" s="39">
        <f>IF(AK97="","",(P97+AE97)*N97)</f>
        <v/>
      </c>
      <c r="AN97" s="55">
        <f>IF(AK97="","",BrokeragePerOrder*2*MAX(1,N(L97)))</f>
        <v/>
      </c>
      <c r="AO97" s="55">
        <f>IF(AK97="","",STTRate*IF(I97="Buy",AE97,P97)*N97)</f>
        <v/>
      </c>
      <c r="AP97" s="55">
        <f>IF(AK97="","",ExchRate*AM97)</f>
        <v/>
      </c>
      <c r="AQ97" s="55">
        <f>IF(AK97="","",SEBIRate*AM97)</f>
        <v/>
      </c>
      <c r="AR97" s="55">
        <f>IF(AK97="","",StampRate*IF(I97="Buy",P97,AE97)*N97)</f>
        <v/>
      </c>
      <c r="AS97" s="55">
        <f>IF(AK97="","",GSTRate*(AN97+AP97+AQ97))</f>
        <v/>
      </c>
      <c r="AT97" s="55">
        <f>IF(AK97="","",AN97+AO97+AP97+AQ97+AR97+AS97)</f>
        <v/>
      </c>
      <c r="AU97" s="39">
        <f>IF(AK97="","",AK97-AT97)</f>
        <v/>
      </c>
      <c r="AV97" s="56">
        <f>IF(AU97="","",AU97/IF(N(Z97)&gt;0,Z97,RiskPerTrade))</f>
        <v/>
      </c>
      <c r="AW97" s="31">
        <f>IF(AU97="","",AU97/Capital)</f>
        <v/>
      </c>
      <c r="AX97" s="37" t="n"/>
      <c r="AY97" s="37" t="n"/>
      <c r="AZ97" s="37" t="n"/>
      <c r="BA97" s="37" t="n"/>
      <c r="BB97" s="37" t="n"/>
      <c r="BC97" s="37" t="n"/>
      <c r="BD97" s="37" t="n"/>
      <c r="BE97" s="5">
        <f>IF(AU97="","",IF(AU97&gt;0,"Win",IF(AU97&lt;0,"Loss","BE")))</f>
        <v/>
      </c>
      <c r="BF97" s="5">
        <f>IF(O97="","",LOOKUP(O97,List_BucketStart,List_BucketLabel))</f>
        <v/>
      </c>
      <c r="BG97" s="57">
        <f>IF(B97="","",B97-WEEKDAY(B97,3))</f>
        <v/>
      </c>
      <c r="BH97" s="28">
        <f>IF(B97="","",COUNTIF($B$6:B97,B97))</f>
        <v/>
      </c>
      <c r="BI97" s="39">
        <f>IF(B97="","",SUMIFS($AU$6:AU97,$B$6:B97,B97)-N(AU97))</f>
        <v/>
      </c>
      <c r="BJ97" s="5">
        <f>IF(OR(B97="",E97=""),"",IF(AND(E97=0,I97="Sell",MAX(N(O97),N(AD97))&gt;ExpiryCutoff),"BREACH","OK"))</f>
        <v/>
      </c>
      <c r="BK97" s="5">
        <f>IF(B97="","",IF(OR(AC97&lt;&gt;"OK",BJ97="BREACH",BH97&gt;MaxTradesDay,BI97&lt;=-DailyLossLimit,OR(AF97="Panic",AF97="Revenge",AF97="Rule break")),"CHECK","OK"))</f>
        <v/>
      </c>
      <c r="BL97" s="39">
        <f>IF(AU97="","",SUM($AU$6:AU97))</f>
        <v/>
      </c>
      <c r="BM97" s="39">
        <f>IF(BL97="","",Capital+BL97)</f>
        <v/>
      </c>
      <c r="BN97" s="39">
        <f>IF(BM97="","",MAX(Capital,MAX($BM$6:BM97)))</f>
        <v/>
      </c>
      <c r="BO97" s="39">
        <f>IF(BM97="","",BN97-BM97)</f>
        <v/>
      </c>
      <c r="BP97" s="58">
        <f>IF(BO97="","",BO97/BN97)</f>
        <v/>
      </c>
      <c r="BQ97" s="28">
        <f>IF(AU97="","",IF(AU97&lt;0,N(BQ96)+1,0))</f>
        <v/>
      </c>
    </row>
    <row r="98">
      <c r="A98" s="28">
        <f>IF(B98="","",COUNT($B$6:B98))</f>
        <v/>
      </c>
      <c r="B98" s="27" t="n"/>
      <c r="C98" s="5">
        <f>IF(B98="","",TEXT(B98,"ddd"))</f>
        <v/>
      </c>
      <c r="D98" s="27" t="n"/>
      <c r="E98" s="28">
        <f>IF(OR(B98="",D98=""),"",MAX(0,NETWORKDAYS(B98,D98)-1))</f>
        <v/>
      </c>
      <c r="F98" s="37" t="n"/>
      <c r="G98" s="36" t="n"/>
      <c r="H98" s="37" t="n"/>
      <c r="I98" s="37" t="n"/>
      <c r="J98" s="37" t="n"/>
      <c r="K98" s="37" t="n"/>
      <c r="L98" s="36" t="n"/>
      <c r="M98" s="36" t="n"/>
      <c r="N98" s="33">
        <f>IF(M98="","",M98*LotSize)</f>
        <v/>
      </c>
      <c r="O98" s="51" t="n"/>
      <c r="P98" s="32" t="n"/>
      <c r="Q98" s="29" t="n"/>
      <c r="R98" s="30">
        <f>IF(OR(G98="",Q98="",H98=""),"",IF(H98="CE",G98-Q98,Q98-G98))</f>
        <v/>
      </c>
      <c r="S98" s="31">
        <f>IF(R98="","",R98/Q98)</f>
        <v/>
      </c>
      <c r="T98" s="38" t="n"/>
      <c r="U98" s="32" t="n"/>
      <c r="V98" s="52" t="n"/>
      <c r="W98" s="37" t="n"/>
      <c r="X98" s="32" t="n"/>
      <c r="Y98" s="32" t="n"/>
      <c r="Z98" s="39">
        <f>IF(OR(X98="",P98="",N98=""),"",ABS(X98-P98)*N98)</f>
        <v/>
      </c>
      <c r="AA98" s="53">
        <f>IF(OR(Z98="",Y98=""),"",IF(Z98=0,"",ABS(P98-Y98)*N98/Z98))</f>
        <v/>
      </c>
      <c r="AB98" s="54">
        <f>IF(Z98="","",Z98/Capital)</f>
        <v/>
      </c>
      <c r="AC98" s="5">
        <f>IF(B98="","",IF(X98="","NO SL",IF(OR(N(M98)&gt;MaxLots,N(AB98)&gt;RiskPct),"OVERSIZED","OK")))</f>
        <v/>
      </c>
      <c r="AD98" s="51" t="n"/>
      <c r="AE98" s="32" t="n"/>
      <c r="AF98" s="37" t="n"/>
      <c r="AG98" s="32" t="n"/>
      <c r="AH98" s="32" t="n"/>
      <c r="AI98" s="39">
        <f>IF(OR(AG98="",P98="",N98=""),"",ABS(AG98-P98)*N98)</f>
        <v/>
      </c>
      <c r="AJ98" s="39">
        <f>IF(OR(AH98="",P98="",N98=""),"",ABS(P98-AH98)*N98)</f>
        <v/>
      </c>
      <c r="AK98" s="39">
        <f>IF(OR(AE98="",P98="",N98=""),"",IF(I98="Buy",AE98-P98,P98-AE98)*N98)</f>
        <v/>
      </c>
      <c r="AL98" s="39">
        <f>IF(OR(AJ98="",AK98=""),"",MAX(0,AJ98-AK98))</f>
        <v/>
      </c>
      <c r="AM98" s="39">
        <f>IF(AK98="","",(P98+AE98)*N98)</f>
        <v/>
      </c>
      <c r="AN98" s="55">
        <f>IF(AK98="","",BrokeragePerOrder*2*MAX(1,N(L98)))</f>
        <v/>
      </c>
      <c r="AO98" s="55">
        <f>IF(AK98="","",STTRate*IF(I98="Buy",AE98,P98)*N98)</f>
        <v/>
      </c>
      <c r="AP98" s="55">
        <f>IF(AK98="","",ExchRate*AM98)</f>
        <v/>
      </c>
      <c r="AQ98" s="55">
        <f>IF(AK98="","",SEBIRate*AM98)</f>
        <v/>
      </c>
      <c r="AR98" s="55">
        <f>IF(AK98="","",StampRate*IF(I98="Buy",P98,AE98)*N98)</f>
        <v/>
      </c>
      <c r="AS98" s="55">
        <f>IF(AK98="","",GSTRate*(AN98+AP98+AQ98))</f>
        <v/>
      </c>
      <c r="AT98" s="55">
        <f>IF(AK98="","",AN98+AO98+AP98+AQ98+AR98+AS98)</f>
        <v/>
      </c>
      <c r="AU98" s="39">
        <f>IF(AK98="","",AK98-AT98)</f>
        <v/>
      </c>
      <c r="AV98" s="56">
        <f>IF(AU98="","",AU98/IF(N(Z98)&gt;0,Z98,RiskPerTrade))</f>
        <v/>
      </c>
      <c r="AW98" s="31">
        <f>IF(AU98="","",AU98/Capital)</f>
        <v/>
      </c>
      <c r="AX98" s="37" t="n"/>
      <c r="AY98" s="37" t="n"/>
      <c r="AZ98" s="37" t="n"/>
      <c r="BA98" s="37" t="n"/>
      <c r="BB98" s="37" t="n"/>
      <c r="BC98" s="37" t="n"/>
      <c r="BD98" s="37" t="n"/>
      <c r="BE98" s="5">
        <f>IF(AU98="","",IF(AU98&gt;0,"Win",IF(AU98&lt;0,"Loss","BE")))</f>
        <v/>
      </c>
      <c r="BF98" s="5">
        <f>IF(O98="","",LOOKUP(O98,List_BucketStart,List_BucketLabel))</f>
        <v/>
      </c>
      <c r="BG98" s="57">
        <f>IF(B98="","",B98-WEEKDAY(B98,3))</f>
        <v/>
      </c>
      <c r="BH98" s="28">
        <f>IF(B98="","",COUNTIF($B$6:B98,B98))</f>
        <v/>
      </c>
      <c r="BI98" s="39">
        <f>IF(B98="","",SUMIFS($AU$6:AU98,$B$6:B98,B98)-N(AU98))</f>
        <v/>
      </c>
      <c r="BJ98" s="5">
        <f>IF(OR(B98="",E98=""),"",IF(AND(E98=0,I98="Sell",MAX(N(O98),N(AD98))&gt;ExpiryCutoff),"BREACH","OK"))</f>
        <v/>
      </c>
      <c r="BK98" s="5">
        <f>IF(B98="","",IF(OR(AC98&lt;&gt;"OK",BJ98="BREACH",BH98&gt;MaxTradesDay,BI98&lt;=-DailyLossLimit,OR(AF98="Panic",AF98="Revenge",AF98="Rule break")),"CHECK","OK"))</f>
        <v/>
      </c>
      <c r="BL98" s="39">
        <f>IF(AU98="","",SUM($AU$6:AU98))</f>
        <v/>
      </c>
      <c r="BM98" s="39">
        <f>IF(BL98="","",Capital+BL98)</f>
        <v/>
      </c>
      <c r="BN98" s="39">
        <f>IF(BM98="","",MAX(Capital,MAX($BM$6:BM98)))</f>
        <v/>
      </c>
      <c r="BO98" s="39">
        <f>IF(BM98="","",BN98-BM98)</f>
        <v/>
      </c>
      <c r="BP98" s="58">
        <f>IF(BO98="","",BO98/BN98)</f>
        <v/>
      </c>
      <c r="BQ98" s="28">
        <f>IF(AU98="","",IF(AU98&lt;0,N(BQ97)+1,0))</f>
        <v/>
      </c>
    </row>
    <row r="99">
      <c r="A99" s="28">
        <f>IF(B99="","",COUNT($B$6:B99))</f>
        <v/>
      </c>
      <c r="B99" s="27" t="n"/>
      <c r="C99" s="5">
        <f>IF(B99="","",TEXT(B99,"ddd"))</f>
        <v/>
      </c>
      <c r="D99" s="27" t="n"/>
      <c r="E99" s="28">
        <f>IF(OR(B99="",D99=""),"",MAX(0,NETWORKDAYS(B99,D99)-1))</f>
        <v/>
      </c>
      <c r="F99" s="37" t="n"/>
      <c r="G99" s="36" t="n"/>
      <c r="H99" s="37" t="n"/>
      <c r="I99" s="37" t="n"/>
      <c r="J99" s="37" t="n"/>
      <c r="K99" s="37" t="n"/>
      <c r="L99" s="36" t="n"/>
      <c r="M99" s="36" t="n"/>
      <c r="N99" s="33">
        <f>IF(M99="","",M99*LotSize)</f>
        <v/>
      </c>
      <c r="O99" s="51" t="n"/>
      <c r="P99" s="32" t="n"/>
      <c r="Q99" s="29" t="n"/>
      <c r="R99" s="30">
        <f>IF(OR(G99="",Q99="",H99=""),"",IF(H99="CE",G99-Q99,Q99-G99))</f>
        <v/>
      </c>
      <c r="S99" s="31">
        <f>IF(R99="","",R99/Q99)</f>
        <v/>
      </c>
      <c r="T99" s="38" t="n"/>
      <c r="U99" s="32" t="n"/>
      <c r="V99" s="52" t="n"/>
      <c r="W99" s="37" t="n"/>
      <c r="X99" s="32" t="n"/>
      <c r="Y99" s="32" t="n"/>
      <c r="Z99" s="39">
        <f>IF(OR(X99="",P99="",N99=""),"",ABS(X99-P99)*N99)</f>
        <v/>
      </c>
      <c r="AA99" s="53">
        <f>IF(OR(Z99="",Y99=""),"",IF(Z99=0,"",ABS(P99-Y99)*N99/Z99))</f>
        <v/>
      </c>
      <c r="AB99" s="54">
        <f>IF(Z99="","",Z99/Capital)</f>
        <v/>
      </c>
      <c r="AC99" s="5">
        <f>IF(B99="","",IF(X99="","NO SL",IF(OR(N(M99)&gt;MaxLots,N(AB99)&gt;RiskPct),"OVERSIZED","OK")))</f>
        <v/>
      </c>
      <c r="AD99" s="51" t="n"/>
      <c r="AE99" s="32" t="n"/>
      <c r="AF99" s="37" t="n"/>
      <c r="AG99" s="32" t="n"/>
      <c r="AH99" s="32" t="n"/>
      <c r="AI99" s="39">
        <f>IF(OR(AG99="",P99="",N99=""),"",ABS(AG99-P99)*N99)</f>
        <v/>
      </c>
      <c r="AJ99" s="39">
        <f>IF(OR(AH99="",P99="",N99=""),"",ABS(P99-AH99)*N99)</f>
        <v/>
      </c>
      <c r="AK99" s="39">
        <f>IF(OR(AE99="",P99="",N99=""),"",IF(I99="Buy",AE99-P99,P99-AE99)*N99)</f>
        <v/>
      </c>
      <c r="AL99" s="39">
        <f>IF(OR(AJ99="",AK99=""),"",MAX(0,AJ99-AK99))</f>
        <v/>
      </c>
      <c r="AM99" s="39">
        <f>IF(AK99="","",(P99+AE99)*N99)</f>
        <v/>
      </c>
      <c r="AN99" s="55">
        <f>IF(AK99="","",BrokeragePerOrder*2*MAX(1,N(L99)))</f>
        <v/>
      </c>
      <c r="AO99" s="55">
        <f>IF(AK99="","",STTRate*IF(I99="Buy",AE99,P99)*N99)</f>
        <v/>
      </c>
      <c r="AP99" s="55">
        <f>IF(AK99="","",ExchRate*AM99)</f>
        <v/>
      </c>
      <c r="AQ99" s="55">
        <f>IF(AK99="","",SEBIRate*AM99)</f>
        <v/>
      </c>
      <c r="AR99" s="55">
        <f>IF(AK99="","",StampRate*IF(I99="Buy",P99,AE99)*N99)</f>
        <v/>
      </c>
      <c r="AS99" s="55">
        <f>IF(AK99="","",GSTRate*(AN99+AP99+AQ99))</f>
        <v/>
      </c>
      <c r="AT99" s="55">
        <f>IF(AK99="","",AN99+AO99+AP99+AQ99+AR99+AS99)</f>
        <v/>
      </c>
      <c r="AU99" s="39">
        <f>IF(AK99="","",AK99-AT99)</f>
        <v/>
      </c>
      <c r="AV99" s="56">
        <f>IF(AU99="","",AU99/IF(N(Z99)&gt;0,Z99,RiskPerTrade))</f>
        <v/>
      </c>
      <c r="AW99" s="31">
        <f>IF(AU99="","",AU99/Capital)</f>
        <v/>
      </c>
      <c r="AX99" s="37" t="n"/>
      <c r="AY99" s="37" t="n"/>
      <c r="AZ99" s="37" t="n"/>
      <c r="BA99" s="37" t="n"/>
      <c r="BB99" s="37" t="n"/>
      <c r="BC99" s="37" t="n"/>
      <c r="BD99" s="37" t="n"/>
      <c r="BE99" s="5">
        <f>IF(AU99="","",IF(AU99&gt;0,"Win",IF(AU99&lt;0,"Loss","BE")))</f>
        <v/>
      </c>
      <c r="BF99" s="5">
        <f>IF(O99="","",LOOKUP(O99,List_BucketStart,List_BucketLabel))</f>
        <v/>
      </c>
      <c r="BG99" s="57">
        <f>IF(B99="","",B99-WEEKDAY(B99,3))</f>
        <v/>
      </c>
      <c r="BH99" s="28">
        <f>IF(B99="","",COUNTIF($B$6:B99,B99))</f>
        <v/>
      </c>
      <c r="BI99" s="39">
        <f>IF(B99="","",SUMIFS($AU$6:AU99,$B$6:B99,B99)-N(AU99))</f>
        <v/>
      </c>
      <c r="BJ99" s="5">
        <f>IF(OR(B99="",E99=""),"",IF(AND(E99=0,I99="Sell",MAX(N(O99),N(AD99))&gt;ExpiryCutoff),"BREACH","OK"))</f>
        <v/>
      </c>
      <c r="BK99" s="5">
        <f>IF(B99="","",IF(OR(AC99&lt;&gt;"OK",BJ99="BREACH",BH99&gt;MaxTradesDay,BI99&lt;=-DailyLossLimit,OR(AF99="Panic",AF99="Revenge",AF99="Rule break")),"CHECK","OK"))</f>
        <v/>
      </c>
      <c r="BL99" s="39">
        <f>IF(AU99="","",SUM($AU$6:AU99))</f>
        <v/>
      </c>
      <c r="BM99" s="39">
        <f>IF(BL99="","",Capital+BL99)</f>
        <v/>
      </c>
      <c r="BN99" s="39">
        <f>IF(BM99="","",MAX(Capital,MAX($BM$6:BM99)))</f>
        <v/>
      </c>
      <c r="BO99" s="39">
        <f>IF(BM99="","",BN99-BM99)</f>
        <v/>
      </c>
      <c r="BP99" s="58">
        <f>IF(BO99="","",BO99/BN99)</f>
        <v/>
      </c>
      <c r="BQ99" s="28">
        <f>IF(AU99="","",IF(AU99&lt;0,N(BQ98)+1,0))</f>
        <v/>
      </c>
    </row>
    <row r="100">
      <c r="A100" s="28">
        <f>IF(B100="","",COUNT($B$6:B100))</f>
        <v/>
      </c>
      <c r="B100" s="27" t="n"/>
      <c r="C100" s="5">
        <f>IF(B100="","",TEXT(B100,"ddd"))</f>
        <v/>
      </c>
      <c r="D100" s="27" t="n"/>
      <c r="E100" s="28">
        <f>IF(OR(B100="",D100=""),"",MAX(0,NETWORKDAYS(B100,D100)-1))</f>
        <v/>
      </c>
      <c r="F100" s="37" t="n"/>
      <c r="G100" s="36" t="n"/>
      <c r="H100" s="37" t="n"/>
      <c r="I100" s="37" t="n"/>
      <c r="J100" s="37" t="n"/>
      <c r="K100" s="37" t="n"/>
      <c r="L100" s="36" t="n"/>
      <c r="M100" s="36" t="n"/>
      <c r="N100" s="33">
        <f>IF(M100="","",M100*LotSize)</f>
        <v/>
      </c>
      <c r="O100" s="51" t="n"/>
      <c r="P100" s="32" t="n"/>
      <c r="Q100" s="29" t="n"/>
      <c r="R100" s="30">
        <f>IF(OR(G100="",Q100="",H100=""),"",IF(H100="CE",G100-Q100,Q100-G100))</f>
        <v/>
      </c>
      <c r="S100" s="31">
        <f>IF(R100="","",R100/Q100)</f>
        <v/>
      </c>
      <c r="T100" s="38" t="n"/>
      <c r="U100" s="32" t="n"/>
      <c r="V100" s="52" t="n"/>
      <c r="W100" s="37" t="n"/>
      <c r="X100" s="32" t="n"/>
      <c r="Y100" s="32" t="n"/>
      <c r="Z100" s="39">
        <f>IF(OR(X100="",P100="",N100=""),"",ABS(X100-P100)*N100)</f>
        <v/>
      </c>
      <c r="AA100" s="53">
        <f>IF(OR(Z100="",Y100=""),"",IF(Z100=0,"",ABS(P100-Y100)*N100/Z100))</f>
        <v/>
      </c>
      <c r="AB100" s="54">
        <f>IF(Z100="","",Z100/Capital)</f>
        <v/>
      </c>
      <c r="AC100" s="5">
        <f>IF(B100="","",IF(X100="","NO SL",IF(OR(N(M100)&gt;MaxLots,N(AB100)&gt;RiskPct),"OVERSIZED","OK")))</f>
        <v/>
      </c>
      <c r="AD100" s="51" t="n"/>
      <c r="AE100" s="32" t="n"/>
      <c r="AF100" s="37" t="n"/>
      <c r="AG100" s="32" t="n"/>
      <c r="AH100" s="32" t="n"/>
      <c r="AI100" s="39">
        <f>IF(OR(AG100="",P100="",N100=""),"",ABS(AG100-P100)*N100)</f>
        <v/>
      </c>
      <c r="AJ100" s="39">
        <f>IF(OR(AH100="",P100="",N100=""),"",ABS(P100-AH100)*N100)</f>
        <v/>
      </c>
      <c r="AK100" s="39">
        <f>IF(OR(AE100="",P100="",N100=""),"",IF(I100="Buy",AE100-P100,P100-AE100)*N100)</f>
        <v/>
      </c>
      <c r="AL100" s="39">
        <f>IF(OR(AJ100="",AK100=""),"",MAX(0,AJ100-AK100))</f>
        <v/>
      </c>
      <c r="AM100" s="39">
        <f>IF(AK100="","",(P100+AE100)*N100)</f>
        <v/>
      </c>
      <c r="AN100" s="55">
        <f>IF(AK100="","",BrokeragePerOrder*2*MAX(1,N(L100)))</f>
        <v/>
      </c>
      <c r="AO100" s="55">
        <f>IF(AK100="","",STTRate*IF(I100="Buy",AE100,P100)*N100)</f>
        <v/>
      </c>
      <c r="AP100" s="55">
        <f>IF(AK100="","",ExchRate*AM100)</f>
        <v/>
      </c>
      <c r="AQ100" s="55">
        <f>IF(AK100="","",SEBIRate*AM100)</f>
        <v/>
      </c>
      <c r="AR100" s="55">
        <f>IF(AK100="","",StampRate*IF(I100="Buy",P100,AE100)*N100)</f>
        <v/>
      </c>
      <c r="AS100" s="55">
        <f>IF(AK100="","",GSTRate*(AN100+AP100+AQ100))</f>
        <v/>
      </c>
      <c r="AT100" s="55">
        <f>IF(AK100="","",AN100+AO100+AP100+AQ100+AR100+AS100)</f>
        <v/>
      </c>
      <c r="AU100" s="39">
        <f>IF(AK100="","",AK100-AT100)</f>
        <v/>
      </c>
      <c r="AV100" s="56">
        <f>IF(AU100="","",AU100/IF(N(Z100)&gt;0,Z100,RiskPerTrade))</f>
        <v/>
      </c>
      <c r="AW100" s="31">
        <f>IF(AU100="","",AU100/Capital)</f>
        <v/>
      </c>
      <c r="AX100" s="37" t="n"/>
      <c r="AY100" s="37" t="n"/>
      <c r="AZ100" s="37" t="n"/>
      <c r="BA100" s="37" t="n"/>
      <c r="BB100" s="37" t="n"/>
      <c r="BC100" s="37" t="n"/>
      <c r="BD100" s="37" t="n"/>
      <c r="BE100" s="5">
        <f>IF(AU100="","",IF(AU100&gt;0,"Win",IF(AU100&lt;0,"Loss","BE")))</f>
        <v/>
      </c>
      <c r="BF100" s="5">
        <f>IF(O100="","",LOOKUP(O100,List_BucketStart,List_BucketLabel))</f>
        <v/>
      </c>
      <c r="BG100" s="57">
        <f>IF(B100="","",B100-WEEKDAY(B100,3))</f>
        <v/>
      </c>
      <c r="BH100" s="28">
        <f>IF(B100="","",COUNTIF($B$6:B100,B100))</f>
        <v/>
      </c>
      <c r="BI100" s="39">
        <f>IF(B100="","",SUMIFS($AU$6:AU100,$B$6:B100,B100)-N(AU100))</f>
        <v/>
      </c>
      <c r="BJ100" s="5">
        <f>IF(OR(B100="",E100=""),"",IF(AND(E100=0,I100="Sell",MAX(N(O100),N(AD100))&gt;ExpiryCutoff),"BREACH","OK"))</f>
        <v/>
      </c>
      <c r="BK100" s="5">
        <f>IF(B100="","",IF(OR(AC100&lt;&gt;"OK",BJ100="BREACH",BH100&gt;MaxTradesDay,BI100&lt;=-DailyLossLimit,OR(AF100="Panic",AF100="Revenge",AF100="Rule break")),"CHECK","OK"))</f>
        <v/>
      </c>
      <c r="BL100" s="39">
        <f>IF(AU100="","",SUM($AU$6:AU100))</f>
        <v/>
      </c>
      <c r="BM100" s="39">
        <f>IF(BL100="","",Capital+BL100)</f>
        <v/>
      </c>
      <c r="BN100" s="39">
        <f>IF(BM100="","",MAX(Capital,MAX($BM$6:BM100)))</f>
        <v/>
      </c>
      <c r="BO100" s="39">
        <f>IF(BM100="","",BN100-BM100)</f>
        <v/>
      </c>
      <c r="BP100" s="58">
        <f>IF(BO100="","",BO100/BN100)</f>
        <v/>
      </c>
      <c r="BQ100" s="28">
        <f>IF(AU100="","",IF(AU100&lt;0,N(BQ99)+1,0))</f>
        <v/>
      </c>
    </row>
    <row r="101">
      <c r="A101" s="28">
        <f>IF(B101="","",COUNT($B$6:B101))</f>
        <v/>
      </c>
      <c r="B101" s="27" t="n"/>
      <c r="C101" s="5">
        <f>IF(B101="","",TEXT(B101,"ddd"))</f>
        <v/>
      </c>
      <c r="D101" s="27" t="n"/>
      <c r="E101" s="28">
        <f>IF(OR(B101="",D101=""),"",MAX(0,NETWORKDAYS(B101,D101)-1))</f>
        <v/>
      </c>
      <c r="F101" s="37" t="n"/>
      <c r="G101" s="36" t="n"/>
      <c r="H101" s="37" t="n"/>
      <c r="I101" s="37" t="n"/>
      <c r="J101" s="37" t="n"/>
      <c r="K101" s="37" t="n"/>
      <c r="L101" s="36" t="n"/>
      <c r="M101" s="36" t="n"/>
      <c r="N101" s="33">
        <f>IF(M101="","",M101*LotSize)</f>
        <v/>
      </c>
      <c r="O101" s="51" t="n"/>
      <c r="P101" s="32" t="n"/>
      <c r="Q101" s="29" t="n"/>
      <c r="R101" s="30">
        <f>IF(OR(G101="",Q101="",H101=""),"",IF(H101="CE",G101-Q101,Q101-G101))</f>
        <v/>
      </c>
      <c r="S101" s="31">
        <f>IF(R101="","",R101/Q101)</f>
        <v/>
      </c>
      <c r="T101" s="38" t="n"/>
      <c r="U101" s="32" t="n"/>
      <c r="V101" s="52" t="n"/>
      <c r="W101" s="37" t="n"/>
      <c r="X101" s="32" t="n"/>
      <c r="Y101" s="32" t="n"/>
      <c r="Z101" s="39">
        <f>IF(OR(X101="",P101="",N101=""),"",ABS(X101-P101)*N101)</f>
        <v/>
      </c>
      <c r="AA101" s="53">
        <f>IF(OR(Z101="",Y101=""),"",IF(Z101=0,"",ABS(P101-Y101)*N101/Z101))</f>
        <v/>
      </c>
      <c r="AB101" s="54">
        <f>IF(Z101="","",Z101/Capital)</f>
        <v/>
      </c>
      <c r="AC101" s="5">
        <f>IF(B101="","",IF(X101="","NO SL",IF(OR(N(M101)&gt;MaxLots,N(AB101)&gt;RiskPct),"OVERSIZED","OK")))</f>
        <v/>
      </c>
      <c r="AD101" s="51" t="n"/>
      <c r="AE101" s="32" t="n"/>
      <c r="AF101" s="37" t="n"/>
      <c r="AG101" s="32" t="n"/>
      <c r="AH101" s="32" t="n"/>
      <c r="AI101" s="39">
        <f>IF(OR(AG101="",P101="",N101=""),"",ABS(AG101-P101)*N101)</f>
        <v/>
      </c>
      <c r="AJ101" s="39">
        <f>IF(OR(AH101="",P101="",N101=""),"",ABS(P101-AH101)*N101)</f>
        <v/>
      </c>
      <c r="AK101" s="39">
        <f>IF(OR(AE101="",P101="",N101=""),"",IF(I101="Buy",AE101-P101,P101-AE101)*N101)</f>
        <v/>
      </c>
      <c r="AL101" s="39">
        <f>IF(OR(AJ101="",AK101=""),"",MAX(0,AJ101-AK101))</f>
        <v/>
      </c>
      <c r="AM101" s="39">
        <f>IF(AK101="","",(P101+AE101)*N101)</f>
        <v/>
      </c>
      <c r="AN101" s="55">
        <f>IF(AK101="","",BrokeragePerOrder*2*MAX(1,N(L101)))</f>
        <v/>
      </c>
      <c r="AO101" s="55">
        <f>IF(AK101="","",STTRate*IF(I101="Buy",AE101,P101)*N101)</f>
        <v/>
      </c>
      <c r="AP101" s="55">
        <f>IF(AK101="","",ExchRate*AM101)</f>
        <v/>
      </c>
      <c r="AQ101" s="55">
        <f>IF(AK101="","",SEBIRate*AM101)</f>
        <v/>
      </c>
      <c r="AR101" s="55">
        <f>IF(AK101="","",StampRate*IF(I101="Buy",P101,AE101)*N101)</f>
        <v/>
      </c>
      <c r="AS101" s="55">
        <f>IF(AK101="","",GSTRate*(AN101+AP101+AQ101))</f>
        <v/>
      </c>
      <c r="AT101" s="55">
        <f>IF(AK101="","",AN101+AO101+AP101+AQ101+AR101+AS101)</f>
        <v/>
      </c>
      <c r="AU101" s="39">
        <f>IF(AK101="","",AK101-AT101)</f>
        <v/>
      </c>
      <c r="AV101" s="56">
        <f>IF(AU101="","",AU101/IF(N(Z101)&gt;0,Z101,RiskPerTrade))</f>
        <v/>
      </c>
      <c r="AW101" s="31">
        <f>IF(AU101="","",AU101/Capital)</f>
        <v/>
      </c>
      <c r="AX101" s="37" t="n"/>
      <c r="AY101" s="37" t="n"/>
      <c r="AZ101" s="37" t="n"/>
      <c r="BA101" s="37" t="n"/>
      <c r="BB101" s="37" t="n"/>
      <c r="BC101" s="37" t="n"/>
      <c r="BD101" s="37" t="n"/>
      <c r="BE101" s="5">
        <f>IF(AU101="","",IF(AU101&gt;0,"Win",IF(AU101&lt;0,"Loss","BE")))</f>
        <v/>
      </c>
      <c r="BF101" s="5">
        <f>IF(O101="","",LOOKUP(O101,List_BucketStart,List_BucketLabel))</f>
        <v/>
      </c>
      <c r="BG101" s="57">
        <f>IF(B101="","",B101-WEEKDAY(B101,3))</f>
        <v/>
      </c>
      <c r="BH101" s="28">
        <f>IF(B101="","",COUNTIF($B$6:B101,B101))</f>
        <v/>
      </c>
      <c r="BI101" s="39">
        <f>IF(B101="","",SUMIFS($AU$6:AU101,$B$6:B101,B101)-N(AU101))</f>
        <v/>
      </c>
      <c r="BJ101" s="5">
        <f>IF(OR(B101="",E101=""),"",IF(AND(E101=0,I101="Sell",MAX(N(O101),N(AD101))&gt;ExpiryCutoff),"BREACH","OK"))</f>
        <v/>
      </c>
      <c r="BK101" s="5">
        <f>IF(B101="","",IF(OR(AC101&lt;&gt;"OK",BJ101="BREACH",BH101&gt;MaxTradesDay,BI101&lt;=-DailyLossLimit,OR(AF101="Panic",AF101="Revenge",AF101="Rule break")),"CHECK","OK"))</f>
        <v/>
      </c>
      <c r="BL101" s="39">
        <f>IF(AU101="","",SUM($AU$6:AU101))</f>
        <v/>
      </c>
      <c r="BM101" s="39">
        <f>IF(BL101="","",Capital+BL101)</f>
        <v/>
      </c>
      <c r="BN101" s="39">
        <f>IF(BM101="","",MAX(Capital,MAX($BM$6:BM101)))</f>
        <v/>
      </c>
      <c r="BO101" s="39">
        <f>IF(BM101="","",BN101-BM101)</f>
        <v/>
      </c>
      <c r="BP101" s="58">
        <f>IF(BO101="","",BO101/BN101)</f>
        <v/>
      </c>
      <c r="BQ101" s="28">
        <f>IF(AU101="","",IF(AU101&lt;0,N(BQ100)+1,0))</f>
        <v/>
      </c>
    </row>
    <row r="102">
      <c r="A102" s="28">
        <f>IF(B102="","",COUNT($B$6:B102))</f>
        <v/>
      </c>
      <c r="B102" s="27" t="n"/>
      <c r="C102" s="5">
        <f>IF(B102="","",TEXT(B102,"ddd"))</f>
        <v/>
      </c>
      <c r="D102" s="27" t="n"/>
      <c r="E102" s="28">
        <f>IF(OR(B102="",D102=""),"",MAX(0,NETWORKDAYS(B102,D102)-1))</f>
        <v/>
      </c>
      <c r="F102" s="37" t="n"/>
      <c r="G102" s="36" t="n"/>
      <c r="H102" s="37" t="n"/>
      <c r="I102" s="37" t="n"/>
      <c r="J102" s="37" t="n"/>
      <c r="K102" s="37" t="n"/>
      <c r="L102" s="36" t="n"/>
      <c r="M102" s="36" t="n"/>
      <c r="N102" s="33">
        <f>IF(M102="","",M102*LotSize)</f>
        <v/>
      </c>
      <c r="O102" s="51" t="n"/>
      <c r="P102" s="32" t="n"/>
      <c r="Q102" s="29" t="n"/>
      <c r="R102" s="30">
        <f>IF(OR(G102="",Q102="",H102=""),"",IF(H102="CE",G102-Q102,Q102-G102))</f>
        <v/>
      </c>
      <c r="S102" s="31">
        <f>IF(R102="","",R102/Q102)</f>
        <v/>
      </c>
      <c r="T102" s="38" t="n"/>
      <c r="U102" s="32" t="n"/>
      <c r="V102" s="52" t="n"/>
      <c r="W102" s="37" t="n"/>
      <c r="X102" s="32" t="n"/>
      <c r="Y102" s="32" t="n"/>
      <c r="Z102" s="39">
        <f>IF(OR(X102="",P102="",N102=""),"",ABS(X102-P102)*N102)</f>
        <v/>
      </c>
      <c r="AA102" s="53">
        <f>IF(OR(Z102="",Y102=""),"",IF(Z102=0,"",ABS(P102-Y102)*N102/Z102))</f>
        <v/>
      </c>
      <c r="AB102" s="54">
        <f>IF(Z102="","",Z102/Capital)</f>
        <v/>
      </c>
      <c r="AC102" s="5">
        <f>IF(B102="","",IF(X102="","NO SL",IF(OR(N(M102)&gt;MaxLots,N(AB102)&gt;RiskPct),"OVERSIZED","OK")))</f>
        <v/>
      </c>
      <c r="AD102" s="51" t="n"/>
      <c r="AE102" s="32" t="n"/>
      <c r="AF102" s="37" t="n"/>
      <c r="AG102" s="32" t="n"/>
      <c r="AH102" s="32" t="n"/>
      <c r="AI102" s="39">
        <f>IF(OR(AG102="",P102="",N102=""),"",ABS(AG102-P102)*N102)</f>
        <v/>
      </c>
      <c r="AJ102" s="39">
        <f>IF(OR(AH102="",P102="",N102=""),"",ABS(P102-AH102)*N102)</f>
        <v/>
      </c>
      <c r="AK102" s="39">
        <f>IF(OR(AE102="",P102="",N102=""),"",IF(I102="Buy",AE102-P102,P102-AE102)*N102)</f>
        <v/>
      </c>
      <c r="AL102" s="39">
        <f>IF(OR(AJ102="",AK102=""),"",MAX(0,AJ102-AK102))</f>
        <v/>
      </c>
      <c r="AM102" s="39">
        <f>IF(AK102="","",(P102+AE102)*N102)</f>
        <v/>
      </c>
      <c r="AN102" s="55">
        <f>IF(AK102="","",BrokeragePerOrder*2*MAX(1,N(L102)))</f>
        <v/>
      </c>
      <c r="AO102" s="55">
        <f>IF(AK102="","",STTRate*IF(I102="Buy",AE102,P102)*N102)</f>
        <v/>
      </c>
      <c r="AP102" s="55">
        <f>IF(AK102="","",ExchRate*AM102)</f>
        <v/>
      </c>
      <c r="AQ102" s="55">
        <f>IF(AK102="","",SEBIRate*AM102)</f>
        <v/>
      </c>
      <c r="AR102" s="55">
        <f>IF(AK102="","",StampRate*IF(I102="Buy",P102,AE102)*N102)</f>
        <v/>
      </c>
      <c r="AS102" s="55">
        <f>IF(AK102="","",GSTRate*(AN102+AP102+AQ102))</f>
        <v/>
      </c>
      <c r="AT102" s="55">
        <f>IF(AK102="","",AN102+AO102+AP102+AQ102+AR102+AS102)</f>
        <v/>
      </c>
      <c r="AU102" s="39">
        <f>IF(AK102="","",AK102-AT102)</f>
        <v/>
      </c>
      <c r="AV102" s="56">
        <f>IF(AU102="","",AU102/IF(N(Z102)&gt;0,Z102,RiskPerTrade))</f>
        <v/>
      </c>
      <c r="AW102" s="31">
        <f>IF(AU102="","",AU102/Capital)</f>
        <v/>
      </c>
      <c r="AX102" s="37" t="n"/>
      <c r="AY102" s="37" t="n"/>
      <c r="AZ102" s="37" t="n"/>
      <c r="BA102" s="37" t="n"/>
      <c r="BB102" s="37" t="n"/>
      <c r="BC102" s="37" t="n"/>
      <c r="BD102" s="37" t="n"/>
      <c r="BE102" s="5">
        <f>IF(AU102="","",IF(AU102&gt;0,"Win",IF(AU102&lt;0,"Loss","BE")))</f>
        <v/>
      </c>
      <c r="BF102" s="5">
        <f>IF(O102="","",LOOKUP(O102,List_BucketStart,List_BucketLabel))</f>
        <v/>
      </c>
      <c r="BG102" s="57">
        <f>IF(B102="","",B102-WEEKDAY(B102,3))</f>
        <v/>
      </c>
      <c r="BH102" s="28">
        <f>IF(B102="","",COUNTIF($B$6:B102,B102))</f>
        <v/>
      </c>
      <c r="BI102" s="39">
        <f>IF(B102="","",SUMIFS($AU$6:AU102,$B$6:B102,B102)-N(AU102))</f>
        <v/>
      </c>
      <c r="BJ102" s="5">
        <f>IF(OR(B102="",E102=""),"",IF(AND(E102=0,I102="Sell",MAX(N(O102),N(AD102))&gt;ExpiryCutoff),"BREACH","OK"))</f>
        <v/>
      </c>
      <c r="BK102" s="5">
        <f>IF(B102="","",IF(OR(AC102&lt;&gt;"OK",BJ102="BREACH",BH102&gt;MaxTradesDay,BI102&lt;=-DailyLossLimit,OR(AF102="Panic",AF102="Revenge",AF102="Rule break")),"CHECK","OK"))</f>
        <v/>
      </c>
      <c r="BL102" s="39">
        <f>IF(AU102="","",SUM($AU$6:AU102))</f>
        <v/>
      </c>
      <c r="BM102" s="39">
        <f>IF(BL102="","",Capital+BL102)</f>
        <v/>
      </c>
      <c r="BN102" s="39">
        <f>IF(BM102="","",MAX(Capital,MAX($BM$6:BM102)))</f>
        <v/>
      </c>
      <c r="BO102" s="39">
        <f>IF(BM102="","",BN102-BM102)</f>
        <v/>
      </c>
      <c r="BP102" s="58">
        <f>IF(BO102="","",BO102/BN102)</f>
        <v/>
      </c>
      <c r="BQ102" s="28">
        <f>IF(AU102="","",IF(AU102&lt;0,N(BQ101)+1,0))</f>
        <v/>
      </c>
    </row>
    <row r="103">
      <c r="A103" s="28">
        <f>IF(B103="","",COUNT($B$6:B103))</f>
        <v/>
      </c>
      <c r="B103" s="27" t="n"/>
      <c r="C103" s="5">
        <f>IF(B103="","",TEXT(B103,"ddd"))</f>
        <v/>
      </c>
      <c r="D103" s="27" t="n"/>
      <c r="E103" s="28">
        <f>IF(OR(B103="",D103=""),"",MAX(0,NETWORKDAYS(B103,D103)-1))</f>
        <v/>
      </c>
      <c r="F103" s="37" t="n"/>
      <c r="G103" s="36" t="n"/>
      <c r="H103" s="37" t="n"/>
      <c r="I103" s="37" t="n"/>
      <c r="J103" s="37" t="n"/>
      <c r="K103" s="37" t="n"/>
      <c r="L103" s="36" t="n"/>
      <c r="M103" s="36" t="n"/>
      <c r="N103" s="33">
        <f>IF(M103="","",M103*LotSize)</f>
        <v/>
      </c>
      <c r="O103" s="51" t="n"/>
      <c r="P103" s="32" t="n"/>
      <c r="Q103" s="29" t="n"/>
      <c r="R103" s="30">
        <f>IF(OR(G103="",Q103="",H103=""),"",IF(H103="CE",G103-Q103,Q103-G103))</f>
        <v/>
      </c>
      <c r="S103" s="31">
        <f>IF(R103="","",R103/Q103)</f>
        <v/>
      </c>
      <c r="T103" s="38" t="n"/>
      <c r="U103" s="32" t="n"/>
      <c r="V103" s="52" t="n"/>
      <c r="W103" s="37" t="n"/>
      <c r="X103" s="32" t="n"/>
      <c r="Y103" s="32" t="n"/>
      <c r="Z103" s="39">
        <f>IF(OR(X103="",P103="",N103=""),"",ABS(X103-P103)*N103)</f>
        <v/>
      </c>
      <c r="AA103" s="53">
        <f>IF(OR(Z103="",Y103=""),"",IF(Z103=0,"",ABS(P103-Y103)*N103/Z103))</f>
        <v/>
      </c>
      <c r="AB103" s="54">
        <f>IF(Z103="","",Z103/Capital)</f>
        <v/>
      </c>
      <c r="AC103" s="5">
        <f>IF(B103="","",IF(X103="","NO SL",IF(OR(N(M103)&gt;MaxLots,N(AB103)&gt;RiskPct),"OVERSIZED","OK")))</f>
        <v/>
      </c>
      <c r="AD103" s="51" t="n"/>
      <c r="AE103" s="32" t="n"/>
      <c r="AF103" s="37" t="n"/>
      <c r="AG103" s="32" t="n"/>
      <c r="AH103" s="32" t="n"/>
      <c r="AI103" s="39">
        <f>IF(OR(AG103="",P103="",N103=""),"",ABS(AG103-P103)*N103)</f>
        <v/>
      </c>
      <c r="AJ103" s="39">
        <f>IF(OR(AH103="",P103="",N103=""),"",ABS(P103-AH103)*N103)</f>
        <v/>
      </c>
      <c r="AK103" s="39">
        <f>IF(OR(AE103="",P103="",N103=""),"",IF(I103="Buy",AE103-P103,P103-AE103)*N103)</f>
        <v/>
      </c>
      <c r="AL103" s="39">
        <f>IF(OR(AJ103="",AK103=""),"",MAX(0,AJ103-AK103))</f>
        <v/>
      </c>
      <c r="AM103" s="39">
        <f>IF(AK103="","",(P103+AE103)*N103)</f>
        <v/>
      </c>
      <c r="AN103" s="55">
        <f>IF(AK103="","",BrokeragePerOrder*2*MAX(1,N(L103)))</f>
        <v/>
      </c>
      <c r="AO103" s="55">
        <f>IF(AK103="","",STTRate*IF(I103="Buy",AE103,P103)*N103)</f>
        <v/>
      </c>
      <c r="AP103" s="55">
        <f>IF(AK103="","",ExchRate*AM103)</f>
        <v/>
      </c>
      <c r="AQ103" s="55">
        <f>IF(AK103="","",SEBIRate*AM103)</f>
        <v/>
      </c>
      <c r="AR103" s="55">
        <f>IF(AK103="","",StampRate*IF(I103="Buy",P103,AE103)*N103)</f>
        <v/>
      </c>
      <c r="AS103" s="55">
        <f>IF(AK103="","",GSTRate*(AN103+AP103+AQ103))</f>
        <v/>
      </c>
      <c r="AT103" s="55">
        <f>IF(AK103="","",AN103+AO103+AP103+AQ103+AR103+AS103)</f>
        <v/>
      </c>
      <c r="AU103" s="39">
        <f>IF(AK103="","",AK103-AT103)</f>
        <v/>
      </c>
      <c r="AV103" s="56">
        <f>IF(AU103="","",AU103/IF(N(Z103)&gt;0,Z103,RiskPerTrade))</f>
        <v/>
      </c>
      <c r="AW103" s="31">
        <f>IF(AU103="","",AU103/Capital)</f>
        <v/>
      </c>
      <c r="AX103" s="37" t="n"/>
      <c r="AY103" s="37" t="n"/>
      <c r="AZ103" s="37" t="n"/>
      <c r="BA103" s="37" t="n"/>
      <c r="BB103" s="37" t="n"/>
      <c r="BC103" s="37" t="n"/>
      <c r="BD103" s="37" t="n"/>
      <c r="BE103" s="5">
        <f>IF(AU103="","",IF(AU103&gt;0,"Win",IF(AU103&lt;0,"Loss","BE")))</f>
        <v/>
      </c>
      <c r="BF103" s="5">
        <f>IF(O103="","",LOOKUP(O103,List_BucketStart,List_BucketLabel))</f>
        <v/>
      </c>
      <c r="BG103" s="57">
        <f>IF(B103="","",B103-WEEKDAY(B103,3))</f>
        <v/>
      </c>
      <c r="BH103" s="28">
        <f>IF(B103="","",COUNTIF($B$6:B103,B103))</f>
        <v/>
      </c>
      <c r="BI103" s="39">
        <f>IF(B103="","",SUMIFS($AU$6:AU103,$B$6:B103,B103)-N(AU103))</f>
        <v/>
      </c>
      <c r="BJ103" s="5">
        <f>IF(OR(B103="",E103=""),"",IF(AND(E103=0,I103="Sell",MAX(N(O103),N(AD103))&gt;ExpiryCutoff),"BREACH","OK"))</f>
        <v/>
      </c>
      <c r="BK103" s="5">
        <f>IF(B103="","",IF(OR(AC103&lt;&gt;"OK",BJ103="BREACH",BH103&gt;MaxTradesDay,BI103&lt;=-DailyLossLimit,OR(AF103="Panic",AF103="Revenge",AF103="Rule break")),"CHECK","OK"))</f>
        <v/>
      </c>
      <c r="BL103" s="39">
        <f>IF(AU103="","",SUM($AU$6:AU103))</f>
        <v/>
      </c>
      <c r="BM103" s="39">
        <f>IF(BL103="","",Capital+BL103)</f>
        <v/>
      </c>
      <c r="BN103" s="39">
        <f>IF(BM103="","",MAX(Capital,MAX($BM$6:BM103)))</f>
        <v/>
      </c>
      <c r="BO103" s="39">
        <f>IF(BM103="","",BN103-BM103)</f>
        <v/>
      </c>
      <c r="BP103" s="58">
        <f>IF(BO103="","",BO103/BN103)</f>
        <v/>
      </c>
      <c r="BQ103" s="28">
        <f>IF(AU103="","",IF(AU103&lt;0,N(BQ102)+1,0))</f>
        <v/>
      </c>
    </row>
    <row r="104">
      <c r="A104" s="28">
        <f>IF(B104="","",COUNT($B$6:B104))</f>
        <v/>
      </c>
      <c r="B104" s="27" t="n"/>
      <c r="C104" s="5">
        <f>IF(B104="","",TEXT(B104,"ddd"))</f>
        <v/>
      </c>
      <c r="D104" s="27" t="n"/>
      <c r="E104" s="28">
        <f>IF(OR(B104="",D104=""),"",MAX(0,NETWORKDAYS(B104,D104)-1))</f>
        <v/>
      </c>
      <c r="F104" s="37" t="n"/>
      <c r="G104" s="36" t="n"/>
      <c r="H104" s="37" t="n"/>
      <c r="I104" s="37" t="n"/>
      <c r="J104" s="37" t="n"/>
      <c r="K104" s="37" t="n"/>
      <c r="L104" s="36" t="n"/>
      <c r="M104" s="36" t="n"/>
      <c r="N104" s="33">
        <f>IF(M104="","",M104*LotSize)</f>
        <v/>
      </c>
      <c r="O104" s="51" t="n"/>
      <c r="P104" s="32" t="n"/>
      <c r="Q104" s="29" t="n"/>
      <c r="R104" s="30">
        <f>IF(OR(G104="",Q104="",H104=""),"",IF(H104="CE",G104-Q104,Q104-G104))</f>
        <v/>
      </c>
      <c r="S104" s="31">
        <f>IF(R104="","",R104/Q104)</f>
        <v/>
      </c>
      <c r="T104" s="38" t="n"/>
      <c r="U104" s="32" t="n"/>
      <c r="V104" s="52" t="n"/>
      <c r="W104" s="37" t="n"/>
      <c r="X104" s="32" t="n"/>
      <c r="Y104" s="32" t="n"/>
      <c r="Z104" s="39">
        <f>IF(OR(X104="",P104="",N104=""),"",ABS(X104-P104)*N104)</f>
        <v/>
      </c>
      <c r="AA104" s="53">
        <f>IF(OR(Z104="",Y104=""),"",IF(Z104=0,"",ABS(P104-Y104)*N104/Z104))</f>
        <v/>
      </c>
      <c r="AB104" s="54">
        <f>IF(Z104="","",Z104/Capital)</f>
        <v/>
      </c>
      <c r="AC104" s="5">
        <f>IF(B104="","",IF(X104="","NO SL",IF(OR(N(M104)&gt;MaxLots,N(AB104)&gt;RiskPct),"OVERSIZED","OK")))</f>
        <v/>
      </c>
      <c r="AD104" s="51" t="n"/>
      <c r="AE104" s="32" t="n"/>
      <c r="AF104" s="37" t="n"/>
      <c r="AG104" s="32" t="n"/>
      <c r="AH104" s="32" t="n"/>
      <c r="AI104" s="39">
        <f>IF(OR(AG104="",P104="",N104=""),"",ABS(AG104-P104)*N104)</f>
        <v/>
      </c>
      <c r="AJ104" s="39">
        <f>IF(OR(AH104="",P104="",N104=""),"",ABS(P104-AH104)*N104)</f>
        <v/>
      </c>
      <c r="AK104" s="39">
        <f>IF(OR(AE104="",P104="",N104=""),"",IF(I104="Buy",AE104-P104,P104-AE104)*N104)</f>
        <v/>
      </c>
      <c r="AL104" s="39">
        <f>IF(OR(AJ104="",AK104=""),"",MAX(0,AJ104-AK104))</f>
        <v/>
      </c>
      <c r="AM104" s="39">
        <f>IF(AK104="","",(P104+AE104)*N104)</f>
        <v/>
      </c>
      <c r="AN104" s="55">
        <f>IF(AK104="","",BrokeragePerOrder*2*MAX(1,N(L104)))</f>
        <v/>
      </c>
      <c r="AO104" s="55">
        <f>IF(AK104="","",STTRate*IF(I104="Buy",AE104,P104)*N104)</f>
        <v/>
      </c>
      <c r="AP104" s="55">
        <f>IF(AK104="","",ExchRate*AM104)</f>
        <v/>
      </c>
      <c r="AQ104" s="55">
        <f>IF(AK104="","",SEBIRate*AM104)</f>
        <v/>
      </c>
      <c r="AR104" s="55">
        <f>IF(AK104="","",StampRate*IF(I104="Buy",P104,AE104)*N104)</f>
        <v/>
      </c>
      <c r="AS104" s="55">
        <f>IF(AK104="","",GSTRate*(AN104+AP104+AQ104))</f>
        <v/>
      </c>
      <c r="AT104" s="55">
        <f>IF(AK104="","",AN104+AO104+AP104+AQ104+AR104+AS104)</f>
        <v/>
      </c>
      <c r="AU104" s="39">
        <f>IF(AK104="","",AK104-AT104)</f>
        <v/>
      </c>
      <c r="AV104" s="56">
        <f>IF(AU104="","",AU104/IF(N(Z104)&gt;0,Z104,RiskPerTrade))</f>
        <v/>
      </c>
      <c r="AW104" s="31">
        <f>IF(AU104="","",AU104/Capital)</f>
        <v/>
      </c>
      <c r="AX104" s="37" t="n"/>
      <c r="AY104" s="37" t="n"/>
      <c r="AZ104" s="37" t="n"/>
      <c r="BA104" s="37" t="n"/>
      <c r="BB104" s="37" t="n"/>
      <c r="BC104" s="37" t="n"/>
      <c r="BD104" s="37" t="n"/>
      <c r="BE104" s="5">
        <f>IF(AU104="","",IF(AU104&gt;0,"Win",IF(AU104&lt;0,"Loss","BE")))</f>
        <v/>
      </c>
      <c r="BF104" s="5">
        <f>IF(O104="","",LOOKUP(O104,List_BucketStart,List_BucketLabel))</f>
        <v/>
      </c>
      <c r="BG104" s="57">
        <f>IF(B104="","",B104-WEEKDAY(B104,3))</f>
        <v/>
      </c>
      <c r="BH104" s="28">
        <f>IF(B104="","",COUNTIF($B$6:B104,B104))</f>
        <v/>
      </c>
      <c r="BI104" s="39">
        <f>IF(B104="","",SUMIFS($AU$6:AU104,$B$6:B104,B104)-N(AU104))</f>
        <v/>
      </c>
      <c r="BJ104" s="5">
        <f>IF(OR(B104="",E104=""),"",IF(AND(E104=0,I104="Sell",MAX(N(O104),N(AD104))&gt;ExpiryCutoff),"BREACH","OK"))</f>
        <v/>
      </c>
      <c r="BK104" s="5">
        <f>IF(B104="","",IF(OR(AC104&lt;&gt;"OK",BJ104="BREACH",BH104&gt;MaxTradesDay,BI104&lt;=-DailyLossLimit,OR(AF104="Panic",AF104="Revenge",AF104="Rule break")),"CHECK","OK"))</f>
        <v/>
      </c>
      <c r="BL104" s="39">
        <f>IF(AU104="","",SUM($AU$6:AU104))</f>
        <v/>
      </c>
      <c r="BM104" s="39">
        <f>IF(BL104="","",Capital+BL104)</f>
        <v/>
      </c>
      <c r="BN104" s="39">
        <f>IF(BM104="","",MAX(Capital,MAX($BM$6:BM104)))</f>
        <v/>
      </c>
      <c r="BO104" s="39">
        <f>IF(BM104="","",BN104-BM104)</f>
        <v/>
      </c>
      <c r="BP104" s="58">
        <f>IF(BO104="","",BO104/BN104)</f>
        <v/>
      </c>
      <c r="BQ104" s="28">
        <f>IF(AU104="","",IF(AU104&lt;0,N(BQ103)+1,0))</f>
        <v/>
      </c>
    </row>
    <row r="105">
      <c r="A105" s="28">
        <f>IF(B105="","",COUNT($B$6:B105))</f>
        <v/>
      </c>
      <c r="B105" s="27" t="n"/>
      <c r="C105" s="5">
        <f>IF(B105="","",TEXT(B105,"ddd"))</f>
        <v/>
      </c>
      <c r="D105" s="27" t="n"/>
      <c r="E105" s="28">
        <f>IF(OR(B105="",D105=""),"",MAX(0,NETWORKDAYS(B105,D105)-1))</f>
        <v/>
      </c>
      <c r="F105" s="37" t="n"/>
      <c r="G105" s="36" t="n"/>
      <c r="H105" s="37" t="n"/>
      <c r="I105" s="37" t="n"/>
      <c r="J105" s="37" t="n"/>
      <c r="K105" s="37" t="n"/>
      <c r="L105" s="36" t="n"/>
      <c r="M105" s="36" t="n"/>
      <c r="N105" s="33">
        <f>IF(M105="","",M105*LotSize)</f>
        <v/>
      </c>
      <c r="O105" s="51" t="n"/>
      <c r="P105" s="32" t="n"/>
      <c r="Q105" s="29" t="n"/>
      <c r="R105" s="30">
        <f>IF(OR(G105="",Q105="",H105=""),"",IF(H105="CE",G105-Q105,Q105-G105))</f>
        <v/>
      </c>
      <c r="S105" s="31">
        <f>IF(R105="","",R105/Q105)</f>
        <v/>
      </c>
      <c r="T105" s="38" t="n"/>
      <c r="U105" s="32" t="n"/>
      <c r="V105" s="52" t="n"/>
      <c r="W105" s="37" t="n"/>
      <c r="X105" s="32" t="n"/>
      <c r="Y105" s="32" t="n"/>
      <c r="Z105" s="39">
        <f>IF(OR(X105="",P105="",N105=""),"",ABS(X105-P105)*N105)</f>
        <v/>
      </c>
      <c r="AA105" s="53">
        <f>IF(OR(Z105="",Y105=""),"",IF(Z105=0,"",ABS(P105-Y105)*N105/Z105))</f>
        <v/>
      </c>
      <c r="AB105" s="54">
        <f>IF(Z105="","",Z105/Capital)</f>
        <v/>
      </c>
      <c r="AC105" s="5">
        <f>IF(B105="","",IF(X105="","NO SL",IF(OR(N(M105)&gt;MaxLots,N(AB105)&gt;RiskPct),"OVERSIZED","OK")))</f>
        <v/>
      </c>
      <c r="AD105" s="51" t="n"/>
      <c r="AE105" s="32" t="n"/>
      <c r="AF105" s="37" t="n"/>
      <c r="AG105" s="32" t="n"/>
      <c r="AH105" s="32" t="n"/>
      <c r="AI105" s="39">
        <f>IF(OR(AG105="",P105="",N105=""),"",ABS(AG105-P105)*N105)</f>
        <v/>
      </c>
      <c r="AJ105" s="39">
        <f>IF(OR(AH105="",P105="",N105=""),"",ABS(P105-AH105)*N105)</f>
        <v/>
      </c>
      <c r="AK105" s="39">
        <f>IF(OR(AE105="",P105="",N105=""),"",IF(I105="Buy",AE105-P105,P105-AE105)*N105)</f>
        <v/>
      </c>
      <c r="AL105" s="39">
        <f>IF(OR(AJ105="",AK105=""),"",MAX(0,AJ105-AK105))</f>
        <v/>
      </c>
      <c r="AM105" s="39">
        <f>IF(AK105="","",(P105+AE105)*N105)</f>
        <v/>
      </c>
      <c r="AN105" s="55">
        <f>IF(AK105="","",BrokeragePerOrder*2*MAX(1,N(L105)))</f>
        <v/>
      </c>
      <c r="AO105" s="55">
        <f>IF(AK105="","",STTRate*IF(I105="Buy",AE105,P105)*N105)</f>
        <v/>
      </c>
      <c r="AP105" s="55">
        <f>IF(AK105="","",ExchRate*AM105)</f>
        <v/>
      </c>
      <c r="AQ105" s="55">
        <f>IF(AK105="","",SEBIRate*AM105)</f>
        <v/>
      </c>
      <c r="AR105" s="55">
        <f>IF(AK105="","",StampRate*IF(I105="Buy",P105,AE105)*N105)</f>
        <v/>
      </c>
      <c r="AS105" s="55">
        <f>IF(AK105="","",GSTRate*(AN105+AP105+AQ105))</f>
        <v/>
      </c>
      <c r="AT105" s="55">
        <f>IF(AK105="","",AN105+AO105+AP105+AQ105+AR105+AS105)</f>
        <v/>
      </c>
      <c r="AU105" s="39">
        <f>IF(AK105="","",AK105-AT105)</f>
        <v/>
      </c>
      <c r="AV105" s="56">
        <f>IF(AU105="","",AU105/IF(N(Z105)&gt;0,Z105,RiskPerTrade))</f>
        <v/>
      </c>
      <c r="AW105" s="31">
        <f>IF(AU105="","",AU105/Capital)</f>
        <v/>
      </c>
      <c r="AX105" s="37" t="n"/>
      <c r="AY105" s="37" t="n"/>
      <c r="AZ105" s="37" t="n"/>
      <c r="BA105" s="37" t="n"/>
      <c r="BB105" s="37" t="n"/>
      <c r="BC105" s="37" t="n"/>
      <c r="BD105" s="37" t="n"/>
      <c r="BE105" s="5">
        <f>IF(AU105="","",IF(AU105&gt;0,"Win",IF(AU105&lt;0,"Loss","BE")))</f>
        <v/>
      </c>
      <c r="BF105" s="5">
        <f>IF(O105="","",LOOKUP(O105,List_BucketStart,List_BucketLabel))</f>
        <v/>
      </c>
      <c r="BG105" s="57">
        <f>IF(B105="","",B105-WEEKDAY(B105,3))</f>
        <v/>
      </c>
      <c r="BH105" s="28">
        <f>IF(B105="","",COUNTIF($B$6:B105,B105))</f>
        <v/>
      </c>
      <c r="BI105" s="39">
        <f>IF(B105="","",SUMIFS($AU$6:AU105,$B$6:B105,B105)-N(AU105))</f>
        <v/>
      </c>
      <c r="BJ105" s="5">
        <f>IF(OR(B105="",E105=""),"",IF(AND(E105=0,I105="Sell",MAX(N(O105),N(AD105))&gt;ExpiryCutoff),"BREACH","OK"))</f>
        <v/>
      </c>
      <c r="BK105" s="5">
        <f>IF(B105="","",IF(OR(AC105&lt;&gt;"OK",BJ105="BREACH",BH105&gt;MaxTradesDay,BI105&lt;=-DailyLossLimit,OR(AF105="Panic",AF105="Revenge",AF105="Rule break")),"CHECK","OK"))</f>
        <v/>
      </c>
      <c r="BL105" s="39">
        <f>IF(AU105="","",SUM($AU$6:AU105))</f>
        <v/>
      </c>
      <c r="BM105" s="39">
        <f>IF(BL105="","",Capital+BL105)</f>
        <v/>
      </c>
      <c r="BN105" s="39">
        <f>IF(BM105="","",MAX(Capital,MAX($BM$6:BM105)))</f>
        <v/>
      </c>
      <c r="BO105" s="39">
        <f>IF(BM105="","",BN105-BM105)</f>
        <v/>
      </c>
      <c r="BP105" s="58">
        <f>IF(BO105="","",BO105/BN105)</f>
        <v/>
      </c>
      <c r="BQ105" s="28">
        <f>IF(AU105="","",IF(AU105&lt;0,N(BQ104)+1,0))</f>
        <v/>
      </c>
    </row>
    <row r="106">
      <c r="A106" s="28">
        <f>IF(B106="","",COUNT($B$6:B106))</f>
        <v/>
      </c>
      <c r="B106" s="27" t="n"/>
      <c r="C106" s="5">
        <f>IF(B106="","",TEXT(B106,"ddd"))</f>
        <v/>
      </c>
      <c r="D106" s="27" t="n"/>
      <c r="E106" s="28">
        <f>IF(OR(B106="",D106=""),"",MAX(0,NETWORKDAYS(B106,D106)-1))</f>
        <v/>
      </c>
      <c r="F106" s="37" t="n"/>
      <c r="G106" s="36" t="n"/>
      <c r="H106" s="37" t="n"/>
      <c r="I106" s="37" t="n"/>
      <c r="J106" s="37" t="n"/>
      <c r="K106" s="37" t="n"/>
      <c r="L106" s="36" t="n"/>
      <c r="M106" s="36" t="n"/>
      <c r="N106" s="33">
        <f>IF(M106="","",M106*LotSize)</f>
        <v/>
      </c>
      <c r="O106" s="51" t="n"/>
      <c r="P106" s="32" t="n"/>
      <c r="Q106" s="29" t="n"/>
      <c r="R106" s="30">
        <f>IF(OR(G106="",Q106="",H106=""),"",IF(H106="CE",G106-Q106,Q106-G106))</f>
        <v/>
      </c>
      <c r="S106" s="31">
        <f>IF(R106="","",R106/Q106)</f>
        <v/>
      </c>
      <c r="T106" s="38" t="n"/>
      <c r="U106" s="32" t="n"/>
      <c r="V106" s="52" t="n"/>
      <c r="W106" s="37" t="n"/>
      <c r="X106" s="32" t="n"/>
      <c r="Y106" s="32" t="n"/>
      <c r="Z106" s="39">
        <f>IF(OR(X106="",P106="",N106=""),"",ABS(X106-P106)*N106)</f>
        <v/>
      </c>
      <c r="AA106" s="53">
        <f>IF(OR(Z106="",Y106=""),"",IF(Z106=0,"",ABS(P106-Y106)*N106/Z106))</f>
        <v/>
      </c>
      <c r="AB106" s="54">
        <f>IF(Z106="","",Z106/Capital)</f>
        <v/>
      </c>
      <c r="AC106" s="5">
        <f>IF(B106="","",IF(X106="","NO SL",IF(OR(N(M106)&gt;MaxLots,N(AB106)&gt;RiskPct),"OVERSIZED","OK")))</f>
        <v/>
      </c>
      <c r="AD106" s="51" t="n"/>
      <c r="AE106" s="32" t="n"/>
      <c r="AF106" s="37" t="n"/>
      <c r="AG106" s="32" t="n"/>
      <c r="AH106" s="32" t="n"/>
      <c r="AI106" s="39">
        <f>IF(OR(AG106="",P106="",N106=""),"",ABS(AG106-P106)*N106)</f>
        <v/>
      </c>
      <c r="AJ106" s="39">
        <f>IF(OR(AH106="",P106="",N106=""),"",ABS(P106-AH106)*N106)</f>
        <v/>
      </c>
      <c r="AK106" s="39">
        <f>IF(OR(AE106="",P106="",N106=""),"",IF(I106="Buy",AE106-P106,P106-AE106)*N106)</f>
        <v/>
      </c>
      <c r="AL106" s="39">
        <f>IF(OR(AJ106="",AK106=""),"",MAX(0,AJ106-AK106))</f>
        <v/>
      </c>
      <c r="AM106" s="39">
        <f>IF(AK106="","",(P106+AE106)*N106)</f>
        <v/>
      </c>
      <c r="AN106" s="55">
        <f>IF(AK106="","",BrokeragePerOrder*2*MAX(1,N(L106)))</f>
        <v/>
      </c>
      <c r="AO106" s="55">
        <f>IF(AK106="","",STTRate*IF(I106="Buy",AE106,P106)*N106)</f>
        <v/>
      </c>
      <c r="AP106" s="55">
        <f>IF(AK106="","",ExchRate*AM106)</f>
        <v/>
      </c>
      <c r="AQ106" s="55">
        <f>IF(AK106="","",SEBIRate*AM106)</f>
        <v/>
      </c>
      <c r="AR106" s="55">
        <f>IF(AK106="","",StampRate*IF(I106="Buy",P106,AE106)*N106)</f>
        <v/>
      </c>
      <c r="AS106" s="55">
        <f>IF(AK106="","",GSTRate*(AN106+AP106+AQ106))</f>
        <v/>
      </c>
      <c r="AT106" s="55">
        <f>IF(AK106="","",AN106+AO106+AP106+AQ106+AR106+AS106)</f>
        <v/>
      </c>
      <c r="AU106" s="39">
        <f>IF(AK106="","",AK106-AT106)</f>
        <v/>
      </c>
      <c r="AV106" s="56">
        <f>IF(AU106="","",AU106/IF(N(Z106)&gt;0,Z106,RiskPerTrade))</f>
        <v/>
      </c>
      <c r="AW106" s="31">
        <f>IF(AU106="","",AU106/Capital)</f>
        <v/>
      </c>
      <c r="AX106" s="37" t="n"/>
      <c r="AY106" s="37" t="n"/>
      <c r="AZ106" s="37" t="n"/>
      <c r="BA106" s="37" t="n"/>
      <c r="BB106" s="37" t="n"/>
      <c r="BC106" s="37" t="n"/>
      <c r="BD106" s="37" t="n"/>
      <c r="BE106" s="5">
        <f>IF(AU106="","",IF(AU106&gt;0,"Win",IF(AU106&lt;0,"Loss","BE")))</f>
        <v/>
      </c>
      <c r="BF106" s="5">
        <f>IF(O106="","",LOOKUP(O106,List_BucketStart,List_BucketLabel))</f>
        <v/>
      </c>
      <c r="BG106" s="57">
        <f>IF(B106="","",B106-WEEKDAY(B106,3))</f>
        <v/>
      </c>
      <c r="BH106" s="28">
        <f>IF(B106="","",COUNTIF($B$6:B106,B106))</f>
        <v/>
      </c>
      <c r="BI106" s="39">
        <f>IF(B106="","",SUMIFS($AU$6:AU106,$B$6:B106,B106)-N(AU106))</f>
        <v/>
      </c>
      <c r="BJ106" s="5">
        <f>IF(OR(B106="",E106=""),"",IF(AND(E106=0,I106="Sell",MAX(N(O106),N(AD106))&gt;ExpiryCutoff),"BREACH","OK"))</f>
        <v/>
      </c>
      <c r="BK106" s="5">
        <f>IF(B106="","",IF(OR(AC106&lt;&gt;"OK",BJ106="BREACH",BH106&gt;MaxTradesDay,BI106&lt;=-DailyLossLimit,OR(AF106="Panic",AF106="Revenge",AF106="Rule break")),"CHECK","OK"))</f>
        <v/>
      </c>
      <c r="BL106" s="39">
        <f>IF(AU106="","",SUM($AU$6:AU106))</f>
        <v/>
      </c>
      <c r="BM106" s="39">
        <f>IF(BL106="","",Capital+BL106)</f>
        <v/>
      </c>
      <c r="BN106" s="39">
        <f>IF(BM106="","",MAX(Capital,MAX($BM$6:BM106)))</f>
        <v/>
      </c>
      <c r="BO106" s="39">
        <f>IF(BM106="","",BN106-BM106)</f>
        <v/>
      </c>
      <c r="BP106" s="58">
        <f>IF(BO106="","",BO106/BN106)</f>
        <v/>
      </c>
      <c r="BQ106" s="28">
        <f>IF(AU106="","",IF(AU106&lt;0,N(BQ105)+1,0))</f>
        <v/>
      </c>
    </row>
    <row r="107">
      <c r="A107" s="28">
        <f>IF(B107="","",COUNT($B$6:B107))</f>
        <v/>
      </c>
      <c r="B107" s="27" t="n"/>
      <c r="C107" s="5">
        <f>IF(B107="","",TEXT(B107,"ddd"))</f>
        <v/>
      </c>
      <c r="D107" s="27" t="n"/>
      <c r="E107" s="28">
        <f>IF(OR(B107="",D107=""),"",MAX(0,NETWORKDAYS(B107,D107)-1))</f>
        <v/>
      </c>
      <c r="F107" s="37" t="n"/>
      <c r="G107" s="36" t="n"/>
      <c r="H107" s="37" t="n"/>
      <c r="I107" s="37" t="n"/>
      <c r="J107" s="37" t="n"/>
      <c r="K107" s="37" t="n"/>
      <c r="L107" s="36" t="n"/>
      <c r="M107" s="36" t="n"/>
      <c r="N107" s="33">
        <f>IF(M107="","",M107*LotSize)</f>
        <v/>
      </c>
      <c r="O107" s="51" t="n"/>
      <c r="P107" s="32" t="n"/>
      <c r="Q107" s="29" t="n"/>
      <c r="R107" s="30">
        <f>IF(OR(G107="",Q107="",H107=""),"",IF(H107="CE",G107-Q107,Q107-G107))</f>
        <v/>
      </c>
      <c r="S107" s="31">
        <f>IF(R107="","",R107/Q107)</f>
        <v/>
      </c>
      <c r="T107" s="38" t="n"/>
      <c r="U107" s="32" t="n"/>
      <c r="V107" s="52" t="n"/>
      <c r="W107" s="37" t="n"/>
      <c r="X107" s="32" t="n"/>
      <c r="Y107" s="32" t="n"/>
      <c r="Z107" s="39">
        <f>IF(OR(X107="",P107="",N107=""),"",ABS(X107-P107)*N107)</f>
        <v/>
      </c>
      <c r="AA107" s="53">
        <f>IF(OR(Z107="",Y107=""),"",IF(Z107=0,"",ABS(P107-Y107)*N107/Z107))</f>
        <v/>
      </c>
      <c r="AB107" s="54">
        <f>IF(Z107="","",Z107/Capital)</f>
        <v/>
      </c>
      <c r="AC107" s="5">
        <f>IF(B107="","",IF(X107="","NO SL",IF(OR(N(M107)&gt;MaxLots,N(AB107)&gt;RiskPct),"OVERSIZED","OK")))</f>
        <v/>
      </c>
      <c r="AD107" s="51" t="n"/>
      <c r="AE107" s="32" t="n"/>
      <c r="AF107" s="37" t="n"/>
      <c r="AG107" s="32" t="n"/>
      <c r="AH107" s="32" t="n"/>
      <c r="AI107" s="39">
        <f>IF(OR(AG107="",P107="",N107=""),"",ABS(AG107-P107)*N107)</f>
        <v/>
      </c>
      <c r="AJ107" s="39">
        <f>IF(OR(AH107="",P107="",N107=""),"",ABS(P107-AH107)*N107)</f>
        <v/>
      </c>
      <c r="AK107" s="39">
        <f>IF(OR(AE107="",P107="",N107=""),"",IF(I107="Buy",AE107-P107,P107-AE107)*N107)</f>
        <v/>
      </c>
      <c r="AL107" s="39">
        <f>IF(OR(AJ107="",AK107=""),"",MAX(0,AJ107-AK107))</f>
        <v/>
      </c>
      <c r="AM107" s="39">
        <f>IF(AK107="","",(P107+AE107)*N107)</f>
        <v/>
      </c>
      <c r="AN107" s="55">
        <f>IF(AK107="","",BrokeragePerOrder*2*MAX(1,N(L107)))</f>
        <v/>
      </c>
      <c r="AO107" s="55">
        <f>IF(AK107="","",STTRate*IF(I107="Buy",AE107,P107)*N107)</f>
        <v/>
      </c>
      <c r="AP107" s="55">
        <f>IF(AK107="","",ExchRate*AM107)</f>
        <v/>
      </c>
      <c r="AQ107" s="55">
        <f>IF(AK107="","",SEBIRate*AM107)</f>
        <v/>
      </c>
      <c r="AR107" s="55">
        <f>IF(AK107="","",StampRate*IF(I107="Buy",P107,AE107)*N107)</f>
        <v/>
      </c>
      <c r="AS107" s="55">
        <f>IF(AK107="","",GSTRate*(AN107+AP107+AQ107))</f>
        <v/>
      </c>
      <c r="AT107" s="55">
        <f>IF(AK107="","",AN107+AO107+AP107+AQ107+AR107+AS107)</f>
        <v/>
      </c>
      <c r="AU107" s="39">
        <f>IF(AK107="","",AK107-AT107)</f>
        <v/>
      </c>
      <c r="AV107" s="56">
        <f>IF(AU107="","",AU107/IF(N(Z107)&gt;0,Z107,RiskPerTrade))</f>
        <v/>
      </c>
      <c r="AW107" s="31">
        <f>IF(AU107="","",AU107/Capital)</f>
        <v/>
      </c>
      <c r="AX107" s="37" t="n"/>
      <c r="AY107" s="37" t="n"/>
      <c r="AZ107" s="37" t="n"/>
      <c r="BA107" s="37" t="n"/>
      <c r="BB107" s="37" t="n"/>
      <c r="BC107" s="37" t="n"/>
      <c r="BD107" s="37" t="n"/>
      <c r="BE107" s="5">
        <f>IF(AU107="","",IF(AU107&gt;0,"Win",IF(AU107&lt;0,"Loss","BE")))</f>
        <v/>
      </c>
      <c r="BF107" s="5">
        <f>IF(O107="","",LOOKUP(O107,List_BucketStart,List_BucketLabel))</f>
        <v/>
      </c>
      <c r="BG107" s="57">
        <f>IF(B107="","",B107-WEEKDAY(B107,3))</f>
        <v/>
      </c>
      <c r="BH107" s="28">
        <f>IF(B107="","",COUNTIF($B$6:B107,B107))</f>
        <v/>
      </c>
      <c r="BI107" s="39">
        <f>IF(B107="","",SUMIFS($AU$6:AU107,$B$6:B107,B107)-N(AU107))</f>
        <v/>
      </c>
      <c r="BJ107" s="5">
        <f>IF(OR(B107="",E107=""),"",IF(AND(E107=0,I107="Sell",MAX(N(O107),N(AD107))&gt;ExpiryCutoff),"BREACH","OK"))</f>
        <v/>
      </c>
      <c r="BK107" s="5">
        <f>IF(B107="","",IF(OR(AC107&lt;&gt;"OK",BJ107="BREACH",BH107&gt;MaxTradesDay,BI107&lt;=-DailyLossLimit,OR(AF107="Panic",AF107="Revenge",AF107="Rule break")),"CHECK","OK"))</f>
        <v/>
      </c>
      <c r="BL107" s="39">
        <f>IF(AU107="","",SUM($AU$6:AU107))</f>
        <v/>
      </c>
      <c r="BM107" s="39">
        <f>IF(BL107="","",Capital+BL107)</f>
        <v/>
      </c>
      <c r="BN107" s="39">
        <f>IF(BM107="","",MAX(Capital,MAX($BM$6:BM107)))</f>
        <v/>
      </c>
      <c r="BO107" s="39">
        <f>IF(BM107="","",BN107-BM107)</f>
        <v/>
      </c>
      <c r="BP107" s="58">
        <f>IF(BO107="","",BO107/BN107)</f>
        <v/>
      </c>
      <c r="BQ107" s="28">
        <f>IF(AU107="","",IF(AU107&lt;0,N(BQ106)+1,0))</f>
        <v/>
      </c>
    </row>
    <row r="108">
      <c r="A108" s="28">
        <f>IF(B108="","",COUNT($B$6:B108))</f>
        <v/>
      </c>
      <c r="B108" s="27" t="n"/>
      <c r="C108" s="5">
        <f>IF(B108="","",TEXT(B108,"ddd"))</f>
        <v/>
      </c>
      <c r="D108" s="27" t="n"/>
      <c r="E108" s="28">
        <f>IF(OR(B108="",D108=""),"",MAX(0,NETWORKDAYS(B108,D108)-1))</f>
        <v/>
      </c>
      <c r="F108" s="37" t="n"/>
      <c r="G108" s="36" t="n"/>
      <c r="H108" s="37" t="n"/>
      <c r="I108" s="37" t="n"/>
      <c r="J108" s="37" t="n"/>
      <c r="K108" s="37" t="n"/>
      <c r="L108" s="36" t="n"/>
      <c r="M108" s="36" t="n"/>
      <c r="N108" s="33">
        <f>IF(M108="","",M108*LotSize)</f>
        <v/>
      </c>
      <c r="O108" s="51" t="n"/>
      <c r="P108" s="32" t="n"/>
      <c r="Q108" s="29" t="n"/>
      <c r="R108" s="30">
        <f>IF(OR(G108="",Q108="",H108=""),"",IF(H108="CE",G108-Q108,Q108-G108))</f>
        <v/>
      </c>
      <c r="S108" s="31">
        <f>IF(R108="","",R108/Q108)</f>
        <v/>
      </c>
      <c r="T108" s="38" t="n"/>
      <c r="U108" s="32" t="n"/>
      <c r="V108" s="52" t="n"/>
      <c r="W108" s="37" t="n"/>
      <c r="X108" s="32" t="n"/>
      <c r="Y108" s="32" t="n"/>
      <c r="Z108" s="39">
        <f>IF(OR(X108="",P108="",N108=""),"",ABS(X108-P108)*N108)</f>
        <v/>
      </c>
      <c r="AA108" s="53">
        <f>IF(OR(Z108="",Y108=""),"",IF(Z108=0,"",ABS(P108-Y108)*N108/Z108))</f>
        <v/>
      </c>
      <c r="AB108" s="54">
        <f>IF(Z108="","",Z108/Capital)</f>
        <v/>
      </c>
      <c r="AC108" s="5">
        <f>IF(B108="","",IF(X108="","NO SL",IF(OR(N(M108)&gt;MaxLots,N(AB108)&gt;RiskPct),"OVERSIZED","OK")))</f>
        <v/>
      </c>
      <c r="AD108" s="51" t="n"/>
      <c r="AE108" s="32" t="n"/>
      <c r="AF108" s="37" t="n"/>
      <c r="AG108" s="32" t="n"/>
      <c r="AH108" s="32" t="n"/>
      <c r="AI108" s="39">
        <f>IF(OR(AG108="",P108="",N108=""),"",ABS(AG108-P108)*N108)</f>
        <v/>
      </c>
      <c r="AJ108" s="39">
        <f>IF(OR(AH108="",P108="",N108=""),"",ABS(P108-AH108)*N108)</f>
        <v/>
      </c>
      <c r="AK108" s="39">
        <f>IF(OR(AE108="",P108="",N108=""),"",IF(I108="Buy",AE108-P108,P108-AE108)*N108)</f>
        <v/>
      </c>
      <c r="AL108" s="39">
        <f>IF(OR(AJ108="",AK108=""),"",MAX(0,AJ108-AK108))</f>
        <v/>
      </c>
      <c r="AM108" s="39">
        <f>IF(AK108="","",(P108+AE108)*N108)</f>
        <v/>
      </c>
      <c r="AN108" s="55">
        <f>IF(AK108="","",BrokeragePerOrder*2*MAX(1,N(L108)))</f>
        <v/>
      </c>
      <c r="AO108" s="55">
        <f>IF(AK108="","",STTRate*IF(I108="Buy",AE108,P108)*N108)</f>
        <v/>
      </c>
      <c r="AP108" s="55">
        <f>IF(AK108="","",ExchRate*AM108)</f>
        <v/>
      </c>
      <c r="AQ108" s="55">
        <f>IF(AK108="","",SEBIRate*AM108)</f>
        <v/>
      </c>
      <c r="AR108" s="55">
        <f>IF(AK108="","",StampRate*IF(I108="Buy",P108,AE108)*N108)</f>
        <v/>
      </c>
      <c r="AS108" s="55">
        <f>IF(AK108="","",GSTRate*(AN108+AP108+AQ108))</f>
        <v/>
      </c>
      <c r="AT108" s="55">
        <f>IF(AK108="","",AN108+AO108+AP108+AQ108+AR108+AS108)</f>
        <v/>
      </c>
      <c r="AU108" s="39">
        <f>IF(AK108="","",AK108-AT108)</f>
        <v/>
      </c>
      <c r="AV108" s="56">
        <f>IF(AU108="","",AU108/IF(N(Z108)&gt;0,Z108,RiskPerTrade))</f>
        <v/>
      </c>
      <c r="AW108" s="31">
        <f>IF(AU108="","",AU108/Capital)</f>
        <v/>
      </c>
      <c r="AX108" s="37" t="n"/>
      <c r="AY108" s="37" t="n"/>
      <c r="AZ108" s="37" t="n"/>
      <c r="BA108" s="37" t="n"/>
      <c r="BB108" s="37" t="n"/>
      <c r="BC108" s="37" t="n"/>
      <c r="BD108" s="37" t="n"/>
      <c r="BE108" s="5">
        <f>IF(AU108="","",IF(AU108&gt;0,"Win",IF(AU108&lt;0,"Loss","BE")))</f>
        <v/>
      </c>
      <c r="BF108" s="5">
        <f>IF(O108="","",LOOKUP(O108,List_BucketStart,List_BucketLabel))</f>
        <v/>
      </c>
      <c r="BG108" s="57">
        <f>IF(B108="","",B108-WEEKDAY(B108,3))</f>
        <v/>
      </c>
      <c r="BH108" s="28">
        <f>IF(B108="","",COUNTIF($B$6:B108,B108))</f>
        <v/>
      </c>
      <c r="BI108" s="39">
        <f>IF(B108="","",SUMIFS($AU$6:AU108,$B$6:B108,B108)-N(AU108))</f>
        <v/>
      </c>
      <c r="BJ108" s="5">
        <f>IF(OR(B108="",E108=""),"",IF(AND(E108=0,I108="Sell",MAX(N(O108),N(AD108))&gt;ExpiryCutoff),"BREACH","OK"))</f>
        <v/>
      </c>
      <c r="BK108" s="5">
        <f>IF(B108="","",IF(OR(AC108&lt;&gt;"OK",BJ108="BREACH",BH108&gt;MaxTradesDay,BI108&lt;=-DailyLossLimit,OR(AF108="Panic",AF108="Revenge",AF108="Rule break")),"CHECK","OK"))</f>
        <v/>
      </c>
      <c r="BL108" s="39">
        <f>IF(AU108="","",SUM($AU$6:AU108))</f>
        <v/>
      </c>
      <c r="BM108" s="39">
        <f>IF(BL108="","",Capital+BL108)</f>
        <v/>
      </c>
      <c r="BN108" s="39">
        <f>IF(BM108="","",MAX(Capital,MAX($BM$6:BM108)))</f>
        <v/>
      </c>
      <c r="BO108" s="39">
        <f>IF(BM108="","",BN108-BM108)</f>
        <v/>
      </c>
      <c r="BP108" s="58">
        <f>IF(BO108="","",BO108/BN108)</f>
        <v/>
      </c>
      <c r="BQ108" s="28">
        <f>IF(AU108="","",IF(AU108&lt;0,N(BQ107)+1,0))</f>
        <v/>
      </c>
    </row>
    <row r="109">
      <c r="A109" s="28">
        <f>IF(B109="","",COUNT($B$6:B109))</f>
        <v/>
      </c>
      <c r="B109" s="27" t="n"/>
      <c r="C109" s="5">
        <f>IF(B109="","",TEXT(B109,"ddd"))</f>
        <v/>
      </c>
      <c r="D109" s="27" t="n"/>
      <c r="E109" s="28">
        <f>IF(OR(B109="",D109=""),"",MAX(0,NETWORKDAYS(B109,D109)-1))</f>
        <v/>
      </c>
      <c r="F109" s="37" t="n"/>
      <c r="G109" s="36" t="n"/>
      <c r="H109" s="37" t="n"/>
      <c r="I109" s="37" t="n"/>
      <c r="J109" s="37" t="n"/>
      <c r="K109" s="37" t="n"/>
      <c r="L109" s="36" t="n"/>
      <c r="M109" s="36" t="n"/>
      <c r="N109" s="33">
        <f>IF(M109="","",M109*LotSize)</f>
        <v/>
      </c>
      <c r="O109" s="51" t="n"/>
      <c r="P109" s="32" t="n"/>
      <c r="Q109" s="29" t="n"/>
      <c r="R109" s="30">
        <f>IF(OR(G109="",Q109="",H109=""),"",IF(H109="CE",G109-Q109,Q109-G109))</f>
        <v/>
      </c>
      <c r="S109" s="31">
        <f>IF(R109="","",R109/Q109)</f>
        <v/>
      </c>
      <c r="T109" s="38" t="n"/>
      <c r="U109" s="32" t="n"/>
      <c r="V109" s="52" t="n"/>
      <c r="W109" s="37" t="n"/>
      <c r="X109" s="32" t="n"/>
      <c r="Y109" s="32" t="n"/>
      <c r="Z109" s="39">
        <f>IF(OR(X109="",P109="",N109=""),"",ABS(X109-P109)*N109)</f>
        <v/>
      </c>
      <c r="AA109" s="53">
        <f>IF(OR(Z109="",Y109=""),"",IF(Z109=0,"",ABS(P109-Y109)*N109/Z109))</f>
        <v/>
      </c>
      <c r="AB109" s="54">
        <f>IF(Z109="","",Z109/Capital)</f>
        <v/>
      </c>
      <c r="AC109" s="5">
        <f>IF(B109="","",IF(X109="","NO SL",IF(OR(N(M109)&gt;MaxLots,N(AB109)&gt;RiskPct),"OVERSIZED","OK")))</f>
        <v/>
      </c>
      <c r="AD109" s="51" t="n"/>
      <c r="AE109" s="32" t="n"/>
      <c r="AF109" s="37" t="n"/>
      <c r="AG109" s="32" t="n"/>
      <c r="AH109" s="32" t="n"/>
      <c r="AI109" s="39">
        <f>IF(OR(AG109="",P109="",N109=""),"",ABS(AG109-P109)*N109)</f>
        <v/>
      </c>
      <c r="AJ109" s="39">
        <f>IF(OR(AH109="",P109="",N109=""),"",ABS(P109-AH109)*N109)</f>
        <v/>
      </c>
      <c r="AK109" s="39">
        <f>IF(OR(AE109="",P109="",N109=""),"",IF(I109="Buy",AE109-P109,P109-AE109)*N109)</f>
        <v/>
      </c>
      <c r="AL109" s="39">
        <f>IF(OR(AJ109="",AK109=""),"",MAX(0,AJ109-AK109))</f>
        <v/>
      </c>
      <c r="AM109" s="39">
        <f>IF(AK109="","",(P109+AE109)*N109)</f>
        <v/>
      </c>
      <c r="AN109" s="55">
        <f>IF(AK109="","",BrokeragePerOrder*2*MAX(1,N(L109)))</f>
        <v/>
      </c>
      <c r="AO109" s="55">
        <f>IF(AK109="","",STTRate*IF(I109="Buy",AE109,P109)*N109)</f>
        <v/>
      </c>
      <c r="AP109" s="55">
        <f>IF(AK109="","",ExchRate*AM109)</f>
        <v/>
      </c>
      <c r="AQ109" s="55">
        <f>IF(AK109="","",SEBIRate*AM109)</f>
        <v/>
      </c>
      <c r="AR109" s="55">
        <f>IF(AK109="","",StampRate*IF(I109="Buy",P109,AE109)*N109)</f>
        <v/>
      </c>
      <c r="AS109" s="55">
        <f>IF(AK109="","",GSTRate*(AN109+AP109+AQ109))</f>
        <v/>
      </c>
      <c r="AT109" s="55">
        <f>IF(AK109="","",AN109+AO109+AP109+AQ109+AR109+AS109)</f>
        <v/>
      </c>
      <c r="AU109" s="39">
        <f>IF(AK109="","",AK109-AT109)</f>
        <v/>
      </c>
      <c r="AV109" s="56">
        <f>IF(AU109="","",AU109/IF(N(Z109)&gt;0,Z109,RiskPerTrade))</f>
        <v/>
      </c>
      <c r="AW109" s="31">
        <f>IF(AU109="","",AU109/Capital)</f>
        <v/>
      </c>
      <c r="AX109" s="37" t="n"/>
      <c r="AY109" s="37" t="n"/>
      <c r="AZ109" s="37" t="n"/>
      <c r="BA109" s="37" t="n"/>
      <c r="BB109" s="37" t="n"/>
      <c r="BC109" s="37" t="n"/>
      <c r="BD109" s="37" t="n"/>
      <c r="BE109" s="5">
        <f>IF(AU109="","",IF(AU109&gt;0,"Win",IF(AU109&lt;0,"Loss","BE")))</f>
        <v/>
      </c>
      <c r="BF109" s="5">
        <f>IF(O109="","",LOOKUP(O109,List_BucketStart,List_BucketLabel))</f>
        <v/>
      </c>
      <c r="BG109" s="57">
        <f>IF(B109="","",B109-WEEKDAY(B109,3))</f>
        <v/>
      </c>
      <c r="BH109" s="28">
        <f>IF(B109="","",COUNTIF($B$6:B109,B109))</f>
        <v/>
      </c>
      <c r="BI109" s="39">
        <f>IF(B109="","",SUMIFS($AU$6:AU109,$B$6:B109,B109)-N(AU109))</f>
        <v/>
      </c>
      <c r="BJ109" s="5">
        <f>IF(OR(B109="",E109=""),"",IF(AND(E109=0,I109="Sell",MAX(N(O109),N(AD109))&gt;ExpiryCutoff),"BREACH","OK"))</f>
        <v/>
      </c>
      <c r="BK109" s="5">
        <f>IF(B109="","",IF(OR(AC109&lt;&gt;"OK",BJ109="BREACH",BH109&gt;MaxTradesDay,BI109&lt;=-DailyLossLimit,OR(AF109="Panic",AF109="Revenge",AF109="Rule break")),"CHECK","OK"))</f>
        <v/>
      </c>
      <c r="BL109" s="39">
        <f>IF(AU109="","",SUM($AU$6:AU109))</f>
        <v/>
      </c>
      <c r="BM109" s="39">
        <f>IF(BL109="","",Capital+BL109)</f>
        <v/>
      </c>
      <c r="BN109" s="39">
        <f>IF(BM109="","",MAX(Capital,MAX($BM$6:BM109)))</f>
        <v/>
      </c>
      <c r="BO109" s="39">
        <f>IF(BM109="","",BN109-BM109)</f>
        <v/>
      </c>
      <c r="BP109" s="58">
        <f>IF(BO109="","",BO109/BN109)</f>
        <v/>
      </c>
      <c r="BQ109" s="28">
        <f>IF(AU109="","",IF(AU109&lt;0,N(BQ108)+1,0))</f>
        <v/>
      </c>
    </row>
    <row r="110">
      <c r="A110" s="28">
        <f>IF(B110="","",COUNT($B$6:B110))</f>
        <v/>
      </c>
      <c r="B110" s="27" t="n"/>
      <c r="C110" s="5">
        <f>IF(B110="","",TEXT(B110,"ddd"))</f>
        <v/>
      </c>
      <c r="D110" s="27" t="n"/>
      <c r="E110" s="28">
        <f>IF(OR(B110="",D110=""),"",MAX(0,NETWORKDAYS(B110,D110)-1))</f>
        <v/>
      </c>
      <c r="F110" s="37" t="n"/>
      <c r="G110" s="36" t="n"/>
      <c r="H110" s="37" t="n"/>
      <c r="I110" s="37" t="n"/>
      <c r="J110" s="37" t="n"/>
      <c r="K110" s="37" t="n"/>
      <c r="L110" s="36" t="n"/>
      <c r="M110" s="36" t="n"/>
      <c r="N110" s="33">
        <f>IF(M110="","",M110*LotSize)</f>
        <v/>
      </c>
      <c r="O110" s="51" t="n"/>
      <c r="P110" s="32" t="n"/>
      <c r="Q110" s="29" t="n"/>
      <c r="R110" s="30">
        <f>IF(OR(G110="",Q110="",H110=""),"",IF(H110="CE",G110-Q110,Q110-G110))</f>
        <v/>
      </c>
      <c r="S110" s="31">
        <f>IF(R110="","",R110/Q110)</f>
        <v/>
      </c>
      <c r="T110" s="38" t="n"/>
      <c r="U110" s="32" t="n"/>
      <c r="V110" s="52" t="n"/>
      <c r="W110" s="37" t="n"/>
      <c r="X110" s="32" t="n"/>
      <c r="Y110" s="32" t="n"/>
      <c r="Z110" s="39">
        <f>IF(OR(X110="",P110="",N110=""),"",ABS(X110-P110)*N110)</f>
        <v/>
      </c>
      <c r="AA110" s="53">
        <f>IF(OR(Z110="",Y110=""),"",IF(Z110=0,"",ABS(P110-Y110)*N110/Z110))</f>
        <v/>
      </c>
      <c r="AB110" s="54">
        <f>IF(Z110="","",Z110/Capital)</f>
        <v/>
      </c>
      <c r="AC110" s="5">
        <f>IF(B110="","",IF(X110="","NO SL",IF(OR(N(M110)&gt;MaxLots,N(AB110)&gt;RiskPct),"OVERSIZED","OK")))</f>
        <v/>
      </c>
      <c r="AD110" s="51" t="n"/>
      <c r="AE110" s="32" t="n"/>
      <c r="AF110" s="37" t="n"/>
      <c r="AG110" s="32" t="n"/>
      <c r="AH110" s="32" t="n"/>
      <c r="AI110" s="39">
        <f>IF(OR(AG110="",P110="",N110=""),"",ABS(AG110-P110)*N110)</f>
        <v/>
      </c>
      <c r="AJ110" s="39">
        <f>IF(OR(AH110="",P110="",N110=""),"",ABS(P110-AH110)*N110)</f>
        <v/>
      </c>
      <c r="AK110" s="39">
        <f>IF(OR(AE110="",P110="",N110=""),"",IF(I110="Buy",AE110-P110,P110-AE110)*N110)</f>
        <v/>
      </c>
      <c r="AL110" s="39">
        <f>IF(OR(AJ110="",AK110=""),"",MAX(0,AJ110-AK110))</f>
        <v/>
      </c>
      <c r="AM110" s="39">
        <f>IF(AK110="","",(P110+AE110)*N110)</f>
        <v/>
      </c>
      <c r="AN110" s="55">
        <f>IF(AK110="","",BrokeragePerOrder*2*MAX(1,N(L110)))</f>
        <v/>
      </c>
      <c r="AO110" s="55">
        <f>IF(AK110="","",STTRate*IF(I110="Buy",AE110,P110)*N110)</f>
        <v/>
      </c>
      <c r="AP110" s="55">
        <f>IF(AK110="","",ExchRate*AM110)</f>
        <v/>
      </c>
      <c r="AQ110" s="55">
        <f>IF(AK110="","",SEBIRate*AM110)</f>
        <v/>
      </c>
      <c r="AR110" s="55">
        <f>IF(AK110="","",StampRate*IF(I110="Buy",P110,AE110)*N110)</f>
        <v/>
      </c>
      <c r="AS110" s="55">
        <f>IF(AK110="","",GSTRate*(AN110+AP110+AQ110))</f>
        <v/>
      </c>
      <c r="AT110" s="55">
        <f>IF(AK110="","",AN110+AO110+AP110+AQ110+AR110+AS110)</f>
        <v/>
      </c>
      <c r="AU110" s="39">
        <f>IF(AK110="","",AK110-AT110)</f>
        <v/>
      </c>
      <c r="AV110" s="56">
        <f>IF(AU110="","",AU110/IF(N(Z110)&gt;0,Z110,RiskPerTrade))</f>
        <v/>
      </c>
      <c r="AW110" s="31">
        <f>IF(AU110="","",AU110/Capital)</f>
        <v/>
      </c>
      <c r="AX110" s="37" t="n"/>
      <c r="AY110" s="37" t="n"/>
      <c r="AZ110" s="37" t="n"/>
      <c r="BA110" s="37" t="n"/>
      <c r="BB110" s="37" t="n"/>
      <c r="BC110" s="37" t="n"/>
      <c r="BD110" s="37" t="n"/>
      <c r="BE110" s="5">
        <f>IF(AU110="","",IF(AU110&gt;0,"Win",IF(AU110&lt;0,"Loss","BE")))</f>
        <v/>
      </c>
      <c r="BF110" s="5">
        <f>IF(O110="","",LOOKUP(O110,List_BucketStart,List_BucketLabel))</f>
        <v/>
      </c>
      <c r="BG110" s="57">
        <f>IF(B110="","",B110-WEEKDAY(B110,3))</f>
        <v/>
      </c>
      <c r="BH110" s="28">
        <f>IF(B110="","",COUNTIF($B$6:B110,B110))</f>
        <v/>
      </c>
      <c r="BI110" s="39">
        <f>IF(B110="","",SUMIFS($AU$6:AU110,$B$6:B110,B110)-N(AU110))</f>
        <v/>
      </c>
      <c r="BJ110" s="5">
        <f>IF(OR(B110="",E110=""),"",IF(AND(E110=0,I110="Sell",MAX(N(O110),N(AD110))&gt;ExpiryCutoff),"BREACH","OK"))</f>
        <v/>
      </c>
      <c r="BK110" s="5">
        <f>IF(B110="","",IF(OR(AC110&lt;&gt;"OK",BJ110="BREACH",BH110&gt;MaxTradesDay,BI110&lt;=-DailyLossLimit,OR(AF110="Panic",AF110="Revenge",AF110="Rule break")),"CHECK","OK"))</f>
        <v/>
      </c>
      <c r="BL110" s="39">
        <f>IF(AU110="","",SUM($AU$6:AU110))</f>
        <v/>
      </c>
      <c r="BM110" s="39">
        <f>IF(BL110="","",Capital+BL110)</f>
        <v/>
      </c>
      <c r="BN110" s="39">
        <f>IF(BM110="","",MAX(Capital,MAX($BM$6:BM110)))</f>
        <v/>
      </c>
      <c r="BO110" s="39">
        <f>IF(BM110="","",BN110-BM110)</f>
        <v/>
      </c>
      <c r="BP110" s="58">
        <f>IF(BO110="","",BO110/BN110)</f>
        <v/>
      </c>
      <c r="BQ110" s="28">
        <f>IF(AU110="","",IF(AU110&lt;0,N(BQ109)+1,0))</f>
        <v/>
      </c>
    </row>
    <row r="111">
      <c r="A111" s="28">
        <f>IF(B111="","",COUNT($B$6:B111))</f>
        <v/>
      </c>
      <c r="B111" s="27" t="n"/>
      <c r="C111" s="5">
        <f>IF(B111="","",TEXT(B111,"ddd"))</f>
        <v/>
      </c>
      <c r="D111" s="27" t="n"/>
      <c r="E111" s="28">
        <f>IF(OR(B111="",D111=""),"",MAX(0,NETWORKDAYS(B111,D111)-1))</f>
        <v/>
      </c>
      <c r="F111" s="37" t="n"/>
      <c r="G111" s="36" t="n"/>
      <c r="H111" s="37" t="n"/>
      <c r="I111" s="37" t="n"/>
      <c r="J111" s="37" t="n"/>
      <c r="K111" s="37" t="n"/>
      <c r="L111" s="36" t="n"/>
      <c r="M111" s="36" t="n"/>
      <c r="N111" s="33">
        <f>IF(M111="","",M111*LotSize)</f>
        <v/>
      </c>
      <c r="O111" s="51" t="n"/>
      <c r="P111" s="32" t="n"/>
      <c r="Q111" s="29" t="n"/>
      <c r="R111" s="30">
        <f>IF(OR(G111="",Q111="",H111=""),"",IF(H111="CE",G111-Q111,Q111-G111))</f>
        <v/>
      </c>
      <c r="S111" s="31">
        <f>IF(R111="","",R111/Q111)</f>
        <v/>
      </c>
      <c r="T111" s="38" t="n"/>
      <c r="U111" s="32" t="n"/>
      <c r="V111" s="52" t="n"/>
      <c r="W111" s="37" t="n"/>
      <c r="X111" s="32" t="n"/>
      <c r="Y111" s="32" t="n"/>
      <c r="Z111" s="39">
        <f>IF(OR(X111="",P111="",N111=""),"",ABS(X111-P111)*N111)</f>
        <v/>
      </c>
      <c r="AA111" s="53">
        <f>IF(OR(Z111="",Y111=""),"",IF(Z111=0,"",ABS(P111-Y111)*N111/Z111))</f>
        <v/>
      </c>
      <c r="AB111" s="54">
        <f>IF(Z111="","",Z111/Capital)</f>
        <v/>
      </c>
      <c r="AC111" s="5">
        <f>IF(B111="","",IF(X111="","NO SL",IF(OR(N(M111)&gt;MaxLots,N(AB111)&gt;RiskPct),"OVERSIZED","OK")))</f>
        <v/>
      </c>
      <c r="AD111" s="51" t="n"/>
      <c r="AE111" s="32" t="n"/>
      <c r="AF111" s="37" t="n"/>
      <c r="AG111" s="32" t="n"/>
      <c r="AH111" s="32" t="n"/>
      <c r="AI111" s="39">
        <f>IF(OR(AG111="",P111="",N111=""),"",ABS(AG111-P111)*N111)</f>
        <v/>
      </c>
      <c r="AJ111" s="39">
        <f>IF(OR(AH111="",P111="",N111=""),"",ABS(P111-AH111)*N111)</f>
        <v/>
      </c>
      <c r="AK111" s="39">
        <f>IF(OR(AE111="",P111="",N111=""),"",IF(I111="Buy",AE111-P111,P111-AE111)*N111)</f>
        <v/>
      </c>
      <c r="AL111" s="39">
        <f>IF(OR(AJ111="",AK111=""),"",MAX(0,AJ111-AK111))</f>
        <v/>
      </c>
      <c r="AM111" s="39">
        <f>IF(AK111="","",(P111+AE111)*N111)</f>
        <v/>
      </c>
      <c r="AN111" s="55">
        <f>IF(AK111="","",BrokeragePerOrder*2*MAX(1,N(L111)))</f>
        <v/>
      </c>
      <c r="AO111" s="55">
        <f>IF(AK111="","",STTRate*IF(I111="Buy",AE111,P111)*N111)</f>
        <v/>
      </c>
      <c r="AP111" s="55">
        <f>IF(AK111="","",ExchRate*AM111)</f>
        <v/>
      </c>
      <c r="AQ111" s="55">
        <f>IF(AK111="","",SEBIRate*AM111)</f>
        <v/>
      </c>
      <c r="AR111" s="55">
        <f>IF(AK111="","",StampRate*IF(I111="Buy",P111,AE111)*N111)</f>
        <v/>
      </c>
      <c r="AS111" s="55">
        <f>IF(AK111="","",GSTRate*(AN111+AP111+AQ111))</f>
        <v/>
      </c>
      <c r="AT111" s="55">
        <f>IF(AK111="","",AN111+AO111+AP111+AQ111+AR111+AS111)</f>
        <v/>
      </c>
      <c r="AU111" s="39">
        <f>IF(AK111="","",AK111-AT111)</f>
        <v/>
      </c>
      <c r="AV111" s="56">
        <f>IF(AU111="","",AU111/IF(N(Z111)&gt;0,Z111,RiskPerTrade))</f>
        <v/>
      </c>
      <c r="AW111" s="31">
        <f>IF(AU111="","",AU111/Capital)</f>
        <v/>
      </c>
      <c r="AX111" s="37" t="n"/>
      <c r="AY111" s="37" t="n"/>
      <c r="AZ111" s="37" t="n"/>
      <c r="BA111" s="37" t="n"/>
      <c r="BB111" s="37" t="n"/>
      <c r="BC111" s="37" t="n"/>
      <c r="BD111" s="37" t="n"/>
      <c r="BE111" s="5">
        <f>IF(AU111="","",IF(AU111&gt;0,"Win",IF(AU111&lt;0,"Loss","BE")))</f>
        <v/>
      </c>
      <c r="BF111" s="5">
        <f>IF(O111="","",LOOKUP(O111,List_BucketStart,List_BucketLabel))</f>
        <v/>
      </c>
      <c r="BG111" s="57">
        <f>IF(B111="","",B111-WEEKDAY(B111,3))</f>
        <v/>
      </c>
      <c r="BH111" s="28">
        <f>IF(B111="","",COUNTIF($B$6:B111,B111))</f>
        <v/>
      </c>
      <c r="BI111" s="39">
        <f>IF(B111="","",SUMIFS($AU$6:AU111,$B$6:B111,B111)-N(AU111))</f>
        <v/>
      </c>
      <c r="BJ111" s="5">
        <f>IF(OR(B111="",E111=""),"",IF(AND(E111=0,I111="Sell",MAX(N(O111),N(AD111))&gt;ExpiryCutoff),"BREACH","OK"))</f>
        <v/>
      </c>
      <c r="BK111" s="5">
        <f>IF(B111="","",IF(OR(AC111&lt;&gt;"OK",BJ111="BREACH",BH111&gt;MaxTradesDay,BI111&lt;=-DailyLossLimit,OR(AF111="Panic",AF111="Revenge",AF111="Rule break")),"CHECK","OK"))</f>
        <v/>
      </c>
      <c r="BL111" s="39">
        <f>IF(AU111="","",SUM($AU$6:AU111))</f>
        <v/>
      </c>
      <c r="BM111" s="39">
        <f>IF(BL111="","",Capital+BL111)</f>
        <v/>
      </c>
      <c r="BN111" s="39">
        <f>IF(BM111="","",MAX(Capital,MAX($BM$6:BM111)))</f>
        <v/>
      </c>
      <c r="BO111" s="39">
        <f>IF(BM111="","",BN111-BM111)</f>
        <v/>
      </c>
      <c r="BP111" s="58">
        <f>IF(BO111="","",BO111/BN111)</f>
        <v/>
      </c>
      <c r="BQ111" s="28">
        <f>IF(AU111="","",IF(AU111&lt;0,N(BQ110)+1,0))</f>
        <v/>
      </c>
    </row>
    <row r="112">
      <c r="A112" s="28">
        <f>IF(B112="","",COUNT($B$6:B112))</f>
        <v/>
      </c>
      <c r="B112" s="27" t="n"/>
      <c r="C112" s="5">
        <f>IF(B112="","",TEXT(B112,"ddd"))</f>
        <v/>
      </c>
      <c r="D112" s="27" t="n"/>
      <c r="E112" s="28">
        <f>IF(OR(B112="",D112=""),"",MAX(0,NETWORKDAYS(B112,D112)-1))</f>
        <v/>
      </c>
      <c r="F112" s="37" t="n"/>
      <c r="G112" s="36" t="n"/>
      <c r="H112" s="37" t="n"/>
      <c r="I112" s="37" t="n"/>
      <c r="J112" s="37" t="n"/>
      <c r="K112" s="37" t="n"/>
      <c r="L112" s="36" t="n"/>
      <c r="M112" s="36" t="n"/>
      <c r="N112" s="33">
        <f>IF(M112="","",M112*LotSize)</f>
        <v/>
      </c>
      <c r="O112" s="51" t="n"/>
      <c r="P112" s="32" t="n"/>
      <c r="Q112" s="29" t="n"/>
      <c r="R112" s="30">
        <f>IF(OR(G112="",Q112="",H112=""),"",IF(H112="CE",G112-Q112,Q112-G112))</f>
        <v/>
      </c>
      <c r="S112" s="31">
        <f>IF(R112="","",R112/Q112)</f>
        <v/>
      </c>
      <c r="T112" s="38" t="n"/>
      <c r="U112" s="32" t="n"/>
      <c r="V112" s="52" t="n"/>
      <c r="W112" s="37" t="n"/>
      <c r="X112" s="32" t="n"/>
      <c r="Y112" s="32" t="n"/>
      <c r="Z112" s="39">
        <f>IF(OR(X112="",P112="",N112=""),"",ABS(X112-P112)*N112)</f>
        <v/>
      </c>
      <c r="AA112" s="53">
        <f>IF(OR(Z112="",Y112=""),"",IF(Z112=0,"",ABS(P112-Y112)*N112/Z112))</f>
        <v/>
      </c>
      <c r="AB112" s="54">
        <f>IF(Z112="","",Z112/Capital)</f>
        <v/>
      </c>
      <c r="AC112" s="5">
        <f>IF(B112="","",IF(X112="","NO SL",IF(OR(N(M112)&gt;MaxLots,N(AB112)&gt;RiskPct),"OVERSIZED","OK")))</f>
        <v/>
      </c>
      <c r="AD112" s="51" t="n"/>
      <c r="AE112" s="32" t="n"/>
      <c r="AF112" s="37" t="n"/>
      <c r="AG112" s="32" t="n"/>
      <c r="AH112" s="32" t="n"/>
      <c r="AI112" s="39">
        <f>IF(OR(AG112="",P112="",N112=""),"",ABS(AG112-P112)*N112)</f>
        <v/>
      </c>
      <c r="AJ112" s="39">
        <f>IF(OR(AH112="",P112="",N112=""),"",ABS(P112-AH112)*N112)</f>
        <v/>
      </c>
      <c r="AK112" s="39">
        <f>IF(OR(AE112="",P112="",N112=""),"",IF(I112="Buy",AE112-P112,P112-AE112)*N112)</f>
        <v/>
      </c>
      <c r="AL112" s="39">
        <f>IF(OR(AJ112="",AK112=""),"",MAX(0,AJ112-AK112))</f>
        <v/>
      </c>
      <c r="AM112" s="39">
        <f>IF(AK112="","",(P112+AE112)*N112)</f>
        <v/>
      </c>
      <c r="AN112" s="55">
        <f>IF(AK112="","",BrokeragePerOrder*2*MAX(1,N(L112)))</f>
        <v/>
      </c>
      <c r="AO112" s="55">
        <f>IF(AK112="","",STTRate*IF(I112="Buy",AE112,P112)*N112)</f>
        <v/>
      </c>
      <c r="AP112" s="55">
        <f>IF(AK112="","",ExchRate*AM112)</f>
        <v/>
      </c>
      <c r="AQ112" s="55">
        <f>IF(AK112="","",SEBIRate*AM112)</f>
        <v/>
      </c>
      <c r="AR112" s="55">
        <f>IF(AK112="","",StampRate*IF(I112="Buy",P112,AE112)*N112)</f>
        <v/>
      </c>
      <c r="AS112" s="55">
        <f>IF(AK112="","",GSTRate*(AN112+AP112+AQ112))</f>
        <v/>
      </c>
      <c r="AT112" s="55">
        <f>IF(AK112="","",AN112+AO112+AP112+AQ112+AR112+AS112)</f>
        <v/>
      </c>
      <c r="AU112" s="39">
        <f>IF(AK112="","",AK112-AT112)</f>
        <v/>
      </c>
      <c r="AV112" s="56">
        <f>IF(AU112="","",AU112/IF(N(Z112)&gt;0,Z112,RiskPerTrade))</f>
        <v/>
      </c>
      <c r="AW112" s="31">
        <f>IF(AU112="","",AU112/Capital)</f>
        <v/>
      </c>
      <c r="AX112" s="37" t="n"/>
      <c r="AY112" s="37" t="n"/>
      <c r="AZ112" s="37" t="n"/>
      <c r="BA112" s="37" t="n"/>
      <c r="BB112" s="37" t="n"/>
      <c r="BC112" s="37" t="n"/>
      <c r="BD112" s="37" t="n"/>
      <c r="BE112" s="5">
        <f>IF(AU112="","",IF(AU112&gt;0,"Win",IF(AU112&lt;0,"Loss","BE")))</f>
        <v/>
      </c>
      <c r="BF112" s="5">
        <f>IF(O112="","",LOOKUP(O112,List_BucketStart,List_BucketLabel))</f>
        <v/>
      </c>
      <c r="BG112" s="57">
        <f>IF(B112="","",B112-WEEKDAY(B112,3))</f>
        <v/>
      </c>
      <c r="BH112" s="28">
        <f>IF(B112="","",COUNTIF($B$6:B112,B112))</f>
        <v/>
      </c>
      <c r="BI112" s="39">
        <f>IF(B112="","",SUMIFS($AU$6:AU112,$B$6:B112,B112)-N(AU112))</f>
        <v/>
      </c>
      <c r="BJ112" s="5">
        <f>IF(OR(B112="",E112=""),"",IF(AND(E112=0,I112="Sell",MAX(N(O112),N(AD112))&gt;ExpiryCutoff),"BREACH","OK"))</f>
        <v/>
      </c>
      <c r="BK112" s="5">
        <f>IF(B112="","",IF(OR(AC112&lt;&gt;"OK",BJ112="BREACH",BH112&gt;MaxTradesDay,BI112&lt;=-DailyLossLimit,OR(AF112="Panic",AF112="Revenge",AF112="Rule break")),"CHECK","OK"))</f>
        <v/>
      </c>
      <c r="BL112" s="39">
        <f>IF(AU112="","",SUM($AU$6:AU112))</f>
        <v/>
      </c>
      <c r="BM112" s="39">
        <f>IF(BL112="","",Capital+BL112)</f>
        <v/>
      </c>
      <c r="BN112" s="39">
        <f>IF(BM112="","",MAX(Capital,MAX($BM$6:BM112)))</f>
        <v/>
      </c>
      <c r="BO112" s="39">
        <f>IF(BM112="","",BN112-BM112)</f>
        <v/>
      </c>
      <c r="BP112" s="58">
        <f>IF(BO112="","",BO112/BN112)</f>
        <v/>
      </c>
      <c r="BQ112" s="28">
        <f>IF(AU112="","",IF(AU112&lt;0,N(BQ111)+1,0))</f>
        <v/>
      </c>
    </row>
    <row r="113">
      <c r="A113" s="28">
        <f>IF(B113="","",COUNT($B$6:B113))</f>
        <v/>
      </c>
      <c r="B113" s="27" t="n"/>
      <c r="C113" s="5">
        <f>IF(B113="","",TEXT(B113,"ddd"))</f>
        <v/>
      </c>
      <c r="D113" s="27" t="n"/>
      <c r="E113" s="28">
        <f>IF(OR(B113="",D113=""),"",MAX(0,NETWORKDAYS(B113,D113)-1))</f>
        <v/>
      </c>
      <c r="F113" s="37" t="n"/>
      <c r="G113" s="36" t="n"/>
      <c r="H113" s="37" t="n"/>
      <c r="I113" s="37" t="n"/>
      <c r="J113" s="37" t="n"/>
      <c r="K113" s="37" t="n"/>
      <c r="L113" s="36" t="n"/>
      <c r="M113" s="36" t="n"/>
      <c r="N113" s="33">
        <f>IF(M113="","",M113*LotSize)</f>
        <v/>
      </c>
      <c r="O113" s="51" t="n"/>
      <c r="P113" s="32" t="n"/>
      <c r="Q113" s="29" t="n"/>
      <c r="R113" s="30">
        <f>IF(OR(G113="",Q113="",H113=""),"",IF(H113="CE",G113-Q113,Q113-G113))</f>
        <v/>
      </c>
      <c r="S113" s="31">
        <f>IF(R113="","",R113/Q113)</f>
        <v/>
      </c>
      <c r="T113" s="38" t="n"/>
      <c r="U113" s="32" t="n"/>
      <c r="V113" s="52" t="n"/>
      <c r="W113" s="37" t="n"/>
      <c r="X113" s="32" t="n"/>
      <c r="Y113" s="32" t="n"/>
      <c r="Z113" s="39">
        <f>IF(OR(X113="",P113="",N113=""),"",ABS(X113-P113)*N113)</f>
        <v/>
      </c>
      <c r="AA113" s="53">
        <f>IF(OR(Z113="",Y113=""),"",IF(Z113=0,"",ABS(P113-Y113)*N113/Z113))</f>
        <v/>
      </c>
      <c r="AB113" s="54">
        <f>IF(Z113="","",Z113/Capital)</f>
        <v/>
      </c>
      <c r="AC113" s="5">
        <f>IF(B113="","",IF(X113="","NO SL",IF(OR(N(M113)&gt;MaxLots,N(AB113)&gt;RiskPct),"OVERSIZED","OK")))</f>
        <v/>
      </c>
      <c r="AD113" s="51" t="n"/>
      <c r="AE113" s="32" t="n"/>
      <c r="AF113" s="37" t="n"/>
      <c r="AG113" s="32" t="n"/>
      <c r="AH113" s="32" t="n"/>
      <c r="AI113" s="39">
        <f>IF(OR(AG113="",P113="",N113=""),"",ABS(AG113-P113)*N113)</f>
        <v/>
      </c>
      <c r="AJ113" s="39">
        <f>IF(OR(AH113="",P113="",N113=""),"",ABS(P113-AH113)*N113)</f>
        <v/>
      </c>
      <c r="AK113" s="39">
        <f>IF(OR(AE113="",P113="",N113=""),"",IF(I113="Buy",AE113-P113,P113-AE113)*N113)</f>
        <v/>
      </c>
      <c r="AL113" s="39">
        <f>IF(OR(AJ113="",AK113=""),"",MAX(0,AJ113-AK113))</f>
        <v/>
      </c>
      <c r="AM113" s="39">
        <f>IF(AK113="","",(P113+AE113)*N113)</f>
        <v/>
      </c>
      <c r="AN113" s="55">
        <f>IF(AK113="","",BrokeragePerOrder*2*MAX(1,N(L113)))</f>
        <v/>
      </c>
      <c r="AO113" s="55">
        <f>IF(AK113="","",STTRate*IF(I113="Buy",AE113,P113)*N113)</f>
        <v/>
      </c>
      <c r="AP113" s="55">
        <f>IF(AK113="","",ExchRate*AM113)</f>
        <v/>
      </c>
      <c r="AQ113" s="55">
        <f>IF(AK113="","",SEBIRate*AM113)</f>
        <v/>
      </c>
      <c r="AR113" s="55">
        <f>IF(AK113="","",StampRate*IF(I113="Buy",P113,AE113)*N113)</f>
        <v/>
      </c>
      <c r="AS113" s="55">
        <f>IF(AK113="","",GSTRate*(AN113+AP113+AQ113))</f>
        <v/>
      </c>
      <c r="AT113" s="55">
        <f>IF(AK113="","",AN113+AO113+AP113+AQ113+AR113+AS113)</f>
        <v/>
      </c>
      <c r="AU113" s="39">
        <f>IF(AK113="","",AK113-AT113)</f>
        <v/>
      </c>
      <c r="AV113" s="56">
        <f>IF(AU113="","",AU113/IF(N(Z113)&gt;0,Z113,RiskPerTrade))</f>
        <v/>
      </c>
      <c r="AW113" s="31">
        <f>IF(AU113="","",AU113/Capital)</f>
        <v/>
      </c>
      <c r="AX113" s="37" t="n"/>
      <c r="AY113" s="37" t="n"/>
      <c r="AZ113" s="37" t="n"/>
      <c r="BA113" s="37" t="n"/>
      <c r="BB113" s="37" t="n"/>
      <c r="BC113" s="37" t="n"/>
      <c r="BD113" s="37" t="n"/>
      <c r="BE113" s="5">
        <f>IF(AU113="","",IF(AU113&gt;0,"Win",IF(AU113&lt;0,"Loss","BE")))</f>
        <v/>
      </c>
      <c r="BF113" s="5">
        <f>IF(O113="","",LOOKUP(O113,List_BucketStart,List_BucketLabel))</f>
        <v/>
      </c>
      <c r="BG113" s="57">
        <f>IF(B113="","",B113-WEEKDAY(B113,3))</f>
        <v/>
      </c>
      <c r="BH113" s="28">
        <f>IF(B113="","",COUNTIF($B$6:B113,B113))</f>
        <v/>
      </c>
      <c r="BI113" s="39">
        <f>IF(B113="","",SUMIFS($AU$6:AU113,$B$6:B113,B113)-N(AU113))</f>
        <v/>
      </c>
      <c r="BJ113" s="5">
        <f>IF(OR(B113="",E113=""),"",IF(AND(E113=0,I113="Sell",MAX(N(O113),N(AD113))&gt;ExpiryCutoff),"BREACH","OK"))</f>
        <v/>
      </c>
      <c r="BK113" s="5">
        <f>IF(B113="","",IF(OR(AC113&lt;&gt;"OK",BJ113="BREACH",BH113&gt;MaxTradesDay,BI113&lt;=-DailyLossLimit,OR(AF113="Panic",AF113="Revenge",AF113="Rule break")),"CHECK","OK"))</f>
        <v/>
      </c>
      <c r="BL113" s="39">
        <f>IF(AU113="","",SUM($AU$6:AU113))</f>
        <v/>
      </c>
      <c r="BM113" s="39">
        <f>IF(BL113="","",Capital+BL113)</f>
        <v/>
      </c>
      <c r="BN113" s="39">
        <f>IF(BM113="","",MAX(Capital,MAX($BM$6:BM113)))</f>
        <v/>
      </c>
      <c r="BO113" s="39">
        <f>IF(BM113="","",BN113-BM113)</f>
        <v/>
      </c>
      <c r="BP113" s="58">
        <f>IF(BO113="","",BO113/BN113)</f>
        <v/>
      </c>
      <c r="BQ113" s="28">
        <f>IF(AU113="","",IF(AU113&lt;0,N(BQ112)+1,0))</f>
        <v/>
      </c>
    </row>
    <row r="114">
      <c r="A114" s="28">
        <f>IF(B114="","",COUNT($B$6:B114))</f>
        <v/>
      </c>
      <c r="B114" s="27" t="n"/>
      <c r="C114" s="5">
        <f>IF(B114="","",TEXT(B114,"ddd"))</f>
        <v/>
      </c>
      <c r="D114" s="27" t="n"/>
      <c r="E114" s="28">
        <f>IF(OR(B114="",D114=""),"",MAX(0,NETWORKDAYS(B114,D114)-1))</f>
        <v/>
      </c>
      <c r="F114" s="37" t="n"/>
      <c r="G114" s="36" t="n"/>
      <c r="H114" s="37" t="n"/>
      <c r="I114" s="37" t="n"/>
      <c r="J114" s="37" t="n"/>
      <c r="K114" s="37" t="n"/>
      <c r="L114" s="36" t="n"/>
      <c r="M114" s="36" t="n"/>
      <c r="N114" s="33">
        <f>IF(M114="","",M114*LotSize)</f>
        <v/>
      </c>
      <c r="O114" s="51" t="n"/>
      <c r="P114" s="32" t="n"/>
      <c r="Q114" s="29" t="n"/>
      <c r="R114" s="30">
        <f>IF(OR(G114="",Q114="",H114=""),"",IF(H114="CE",G114-Q114,Q114-G114))</f>
        <v/>
      </c>
      <c r="S114" s="31">
        <f>IF(R114="","",R114/Q114)</f>
        <v/>
      </c>
      <c r="T114" s="38" t="n"/>
      <c r="U114" s="32" t="n"/>
      <c r="V114" s="52" t="n"/>
      <c r="W114" s="37" t="n"/>
      <c r="X114" s="32" t="n"/>
      <c r="Y114" s="32" t="n"/>
      <c r="Z114" s="39">
        <f>IF(OR(X114="",P114="",N114=""),"",ABS(X114-P114)*N114)</f>
        <v/>
      </c>
      <c r="AA114" s="53">
        <f>IF(OR(Z114="",Y114=""),"",IF(Z114=0,"",ABS(P114-Y114)*N114/Z114))</f>
        <v/>
      </c>
      <c r="AB114" s="54">
        <f>IF(Z114="","",Z114/Capital)</f>
        <v/>
      </c>
      <c r="AC114" s="5">
        <f>IF(B114="","",IF(X114="","NO SL",IF(OR(N(M114)&gt;MaxLots,N(AB114)&gt;RiskPct),"OVERSIZED","OK")))</f>
        <v/>
      </c>
      <c r="AD114" s="51" t="n"/>
      <c r="AE114" s="32" t="n"/>
      <c r="AF114" s="37" t="n"/>
      <c r="AG114" s="32" t="n"/>
      <c r="AH114" s="32" t="n"/>
      <c r="AI114" s="39">
        <f>IF(OR(AG114="",P114="",N114=""),"",ABS(AG114-P114)*N114)</f>
        <v/>
      </c>
      <c r="AJ114" s="39">
        <f>IF(OR(AH114="",P114="",N114=""),"",ABS(P114-AH114)*N114)</f>
        <v/>
      </c>
      <c r="AK114" s="39">
        <f>IF(OR(AE114="",P114="",N114=""),"",IF(I114="Buy",AE114-P114,P114-AE114)*N114)</f>
        <v/>
      </c>
      <c r="AL114" s="39">
        <f>IF(OR(AJ114="",AK114=""),"",MAX(0,AJ114-AK114))</f>
        <v/>
      </c>
      <c r="AM114" s="39">
        <f>IF(AK114="","",(P114+AE114)*N114)</f>
        <v/>
      </c>
      <c r="AN114" s="55">
        <f>IF(AK114="","",BrokeragePerOrder*2*MAX(1,N(L114)))</f>
        <v/>
      </c>
      <c r="AO114" s="55">
        <f>IF(AK114="","",STTRate*IF(I114="Buy",AE114,P114)*N114)</f>
        <v/>
      </c>
      <c r="AP114" s="55">
        <f>IF(AK114="","",ExchRate*AM114)</f>
        <v/>
      </c>
      <c r="AQ114" s="55">
        <f>IF(AK114="","",SEBIRate*AM114)</f>
        <v/>
      </c>
      <c r="AR114" s="55">
        <f>IF(AK114="","",StampRate*IF(I114="Buy",P114,AE114)*N114)</f>
        <v/>
      </c>
      <c r="AS114" s="55">
        <f>IF(AK114="","",GSTRate*(AN114+AP114+AQ114))</f>
        <v/>
      </c>
      <c r="AT114" s="55">
        <f>IF(AK114="","",AN114+AO114+AP114+AQ114+AR114+AS114)</f>
        <v/>
      </c>
      <c r="AU114" s="39">
        <f>IF(AK114="","",AK114-AT114)</f>
        <v/>
      </c>
      <c r="AV114" s="56">
        <f>IF(AU114="","",AU114/IF(N(Z114)&gt;0,Z114,RiskPerTrade))</f>
        <v/>
      </c>
      <c r="AW114" s="31">
        <f>IF(AU114="","",AU114/Capital)</f>
        <v/>
      </c>
      <c r="AX114" s="37" t="n"/>
      <c r="AY114" s="37" t="n"/>
      <c r="AZ114" s="37" t="n"/>
      <c r="BA114" s="37" t="n"/>
      <c r="BB114" s="37" t="n"/>
      <c r="BC114" s="37" t="n"/>
      <c r="BD114" s="37" t="n"/>
      <c r="BE114" s="5">
        <f>IF(AU114="","",IF(AU114&gt;0,"Win",IF(AU114&lt;0,"Loss","BE")))</f>
        <v/>
      </c>
      <c r="BF114" s="5">
        <f>IF(O114="","",LOOKUP(O114,List_BucketStart,List_BucketLabel))</f>
        <v/>
      </c>
      <c r="BG114" s="57">
        <f>IF(B114="","",B114-WEEKDAY(B114,3))</f>
        <v/>
      </c>
      <c r="BH114" s="28">
        <f>IF(B114="","",COUNTIF($B$6:B114,B114))</f>
        <v/>
      </c>
      <c r="BI114" s="39">
        <f>IF(B114="","",SUMIFS($AU$6:AU114,$B$6:B114,B114)-N(AU114))</f>
        <v/>
      </c>
      <c r="BJ114" s="5">
        <f>IF(OR(B114="",E114=""),"",IF(AND(E114=0,I114="Sell",MAX(N(O114),N(AD114))&gt;ExpiryCutoff),"BREACH","OK"))</f>
        <v/>
      </c>
      <c r="BK114" s="5">
        <f>IF(B114="","",IF(OR(AC114&lt;&gt;"OK",BJ114="BREACH",BH114&gt;MaxTradesDay,BI114&lt;=-DailyLossLimit,OR(AF114="Panic",AF114="Revenge",AF114="Rule break")),"CHECK","OK"))</f>
        <v/>
      </c>
      <c r="BL114" s="39">
        <f>IF(AU114="","",SUM($AU$6:AU114))</f>
        <v/>
      </c>
      <c r="BM114" s="39">
        <f>IF(BL114="","",Capital+BL114)</f>
        <v/>
      </c>
      <c r="BN114" s="39">
        <f>IF(BM114="","",MAX(Capital,MAX($BM$6:BM114)))</f>
        <v/>
      </c>
      <c r="BO114" s="39">
        <f>IF(BM114="","",BN114-BM114)</f>
        <v/>
      </c>
      <c r="BP114" s="58">
        <f>IF(BO114="","",BO114/BN114)</f>
        <v/>
      </c>
      <c r="BQ114" s="28">
        <f>IF(AU114="","",IF(AU114&lt;0,N(BQ113)+1,0))</f>
        <v/>
      </c>
    </row>
    <row r="115">
      <c r="A115" s="28">
        <f>IF(B115="","",COUNT($B$6:B115))</f>
        <v/>
      </c>
      <c r="B115" s="27" t="n"/>
      <c r="C115" s="5">
        <f>IF(B115="","",TEXT(B115,"ddd"))</f>
        <v/>
      </c>
      <c r="D115" s="27" t="n"/>
      <c r="E115" s="28">
        <f>IF(OR(B115="",D115=""),"",MAX(0,NETWORKDAYS(B115,D115)-1))</f>
        <v/>
      </c>
      <c r="F115" s="37" t="n"/>
      <c r="G115" s="36" t="n"/>
      <c r="H115" s="37" t="n"/>
      <c r="I115" s="37" t="n"/>
      <c r="J115" s="37" t="n"/>
      <c r="K115" s="37" t="n"/>
      <c r="L115" s="36" t="n"/>
      <c r="M115" s="36" t="n"/>
      <c r="N115" s="33">
        <f>IF(M115="","",M115*LotSize)</f>
        <v/>
      </c>
      <c r="O115" s="51" t="n"/>
      <c r="P115" s="32" t="n"/>
      <c r="Q115" s="29" t="n"/>
      <c r="R115" s="30">
        <f>IF(OR(G115="",Q115="",H115=""),"",IF(H115="CE",G115-Q115,Q115-G115))</f>
        <v/>
      </c>
      <c r="S115" s="31">
        <f>IF(R115="","",R115/Q115)</f>
        <v/>
      </c>
      <c r="T115" s="38" t="n"/>
      <c r="U115" s="32" t="n"/>
      <c r="V115" s="52" t="n"/>
      <c r="W115" s="37" t="n"/>
      <c r="X115" s="32" t="n"/>
      <c r="Y115" s="32" t="n"/>
      <c r="Z115" s="39">
        <f>IF(OR(X115="",P115="",N115=""),"",ABS(X115-P115)*N115)</f>
        <v/>
      </c>
      <c r="AA115" s="53">
        <f>IF(OR(Z115="",Y115=""),"",IF(Z115=0,"",ABS(P115-Y115)*N115/Z115))</f>
        <v/>
      </c>
      <c r="AB115" s="54">
        <f>IF(Z115="","",Z115/Capital)</f>
        <v/>
      </c>
      <c r="AC115" s="5">
        <f>IF(B115="","",IF(X115="","NO SL",IF(OR(N(M115)&gt;MaxLots,N(AB115)&gt;RiskPct),"OVERSIZED","OK")))</f>
        <v/>
      </c>
      <c r="AD115" s="51" t="n"/>
      <c r="AE115" s="32" t="n"/>
      <c r="AF115" s="37" t="n"/>
      <c r="AG115" s="32" t="n"/>
      <c r="AH115" s="32" t="n"/>
      <c r="AI115" s="39">
        <f>IF(OR(AG115="",P115="",N115=""),"",ABS(AG115-P115)*N115)</f>
        <v/>
      </c>
      <c r="AJ115" s="39">
        <f>IF(OR(AH115="",P115="",N115=""),"",ABS(P115-AH115)*N115)</f>
        <v/>
      </c>
      <c r="AK115" s="39">
        <f>IF(OR(AE115="",P115="",N115=""),"",IF(I115="Buy",AE115-P115,P115-AE115)*N115)</f>
        <v/>
      </c>
      <c r="AL115" s="39">
        <f>IF(OR(AJ115="",AK115=""),"",MAX(0,AJ115-AK115))</f>
        <v/>
      </c>
      <c r="AM115" s="39">
        <f>IF(AK115="","",(P115+AE115)*N115)</f>
        <v/>
      </c>
      <c r="AN115" s="55">
        <f>IF(AK115="","",BrokeragePerOrder*2*MAX(1,N(L115)))</f>
        <v/>
      </c>
      <c r="AO115" s="55">
        <f>IF(AK115="","",STTRate*IF(I115="Buy",AE115,P115)*N115)</f>
        <v/>
      </c>
      <c r="AP115" s="55">
        <f>IF(AK115="","",ExchRate*AM115)</f>
        <v/>
      </c>
      <c r="AQ115" s="55">
        <f>IF(AK115="","",SEBIRate*AM115)</f>
        <v/>
      </c>
      <c r="AR115" s="55">
        <f>IF(AK115="","",StampRate*IF(I115="Buy",P115,AE115)*N115)</f>
        <v/>
      </c>
      <c r="AS115" s="55">
        <f>IF(AK115="","",GSTRate*(AN115+AP115+AQ115))</f>
        <v/>
      </c>
      <c r="AT115" s="55">
        <f>IF(AK115="","",AN115+AO115+AP115+AQ115+AR115+AS115)</f>
        <v/>
      </c>
      <c r="AU115" s="39">
        <f>IF(AK115="","",AK115-AT115)</f>
        <v/>
      </c>
      <c r="AV115" s="56">
        <f>IF(AU115="","",AU115/IF(N(Z115)&gt;0,Z115,RiskPerTrade))</f>
        <v/>
      </c>
      <c r="AW115" s="31">
        <f>IF(AU115="","",AU115/Capital)</f>
        <v/>
      </c>
      <c r="AX115" s="37" t="n"/>
      <c r="AY115" s="37" t="n"/>
      <c r="AZ115" s="37" t="n"/>
      <c r="BA115" s="37" t="n"/>
      <c r="BB115" s="37" t="n"/>
      <c r="BC115" s="37" t="n"/>
      <c r="BD115" s="37" t="n"/>
      <c r="BE115" s="5">
        <f>IF(AU115="","",IF(AU115&gt;0,"Win",IF(AU115&lt;0,"Loss","BE")))</f>
        <v/>
      </c>
      <c r="BF115" s="5">
        <f>IF(O115="","",LOOKUP(O115,List_BucketStart,List_BucketLabel))</f>
        <v/>
      </c>
      <c r="BG115" s="57">
        <f>IF(B115="","",B115-WEEKDAY(B115,3))</f>
        <v/>
      </c>
      <c r="BH115" s="28">
        <f>IF(B115="","",COUNTIF($B$6:B115,B115))</f>
        <v/>
      </c>
      <c r="BI115" s="39">
        <f>IF(B115="","",SUMIFS($AU$6:AU115,$B$6:B115,B115)-N(AU115))</f>
        <v/>
      </c>
      <c r="BJ115" s="5">
        <f>IF(OR(B115="",E115=""),"",IF(AND(E115=0,I115="Sell",MAX(N(O115),N(AD115))&gt;ExpiryCutoff),"BREACH","OK"))</f>
        <v/>
      </c>
      <c r="BK115" s="5">
        <f>IF(B115="","",IF(OR(AC115&lt;&gt;"OK",BJ115="BREACH",BH115&gt;MaxTradesDay,BI115&lt;=-DailyLossLimit,OR(AF115="Panic",AF115="Revenge",AF115="Rule break")),"CHECK","OK"))</f>
        <v/>
      </c>
      <c r="BL115" s="39">
        <f>IF(AU115="","",SUM($AU$6:AU115))</f>
        <v/>
      </c>
      <c r="BM115" s="39">
        <f>IF(BL115="","",Capital+BL115)</f>
        <v/>
      </c>
      <c r="BN115" s="39">
        <f>IF(BM115="","",MAX(Capital,MAX($BM$6:BM115)))</f>
        <v/>
      </c>
      <c r="BO115" s="39">
        <f>IF(BM115="","",BN115-BM115)</f>
        <v/>
      </c>
      <c r="BP115" s="58">
        <f>IF(BO115="","",BO115/BN115)</f>
        <v/>
      </c>
      <c r="BQ115" s="28">
        <f>IF(AU115="","",IF(AU115&lt;0,N(BQ114)+1,0))</f>
        <v/>
      </c>
    </row>
    <row r="116">
      <c r="A116" s="28">
        <f>IF(B116="","",COUNT($B$6:B116))</f>
        <v/>
      </c>
      <c r="B116" s="27" t="n"/>
      <c r="C116" s="5">
        <f>IF(B116="","",TEXT(B116,"ddd"))</f>
        <v/>
      </c>
      <c r="D116" s="27" t="n"/>
      <c r="E116" s="28">
        <f>IF(OR(B116="",D116=""),"",MAX(0,NETWORKDAYS(B116,D116)-1))</f>
        <v/>
      </c>
      <c r="F116" s="37" t="n"/>
      <c r="G116" s="36" t="n"/>
      <c r="H116" s="37" t="n"/>
      <c r="I116" s="37" t="n"/>
      <c r="J116" s="37" t="n"/>
      <c r="K116" s="37" t="n"/>
      <c r="L116" s="36" t="n"/>
      <c r="M116" s="36" t="n"/>
      <c r="N116" s="33">
        <f>IF(M116="","",M116*LotSize)</f>
        <v/>
      </c>
      <c r="O116" s="51" t="n"/>
      <c r="P116" s="32" t="n"/>
      <c r="Q116" s="29" t="n"/>
      <c r="R116" s="30">
        <f>IF(OR(G116="",Q116="",H116=""),"",IF(H116="CE",G116-Q116,Q116-G116))</f>
        <v/>
      </c>
      <c r="S116" s="31">
        <f>IF(R116="","",R116/Q116)</f>
        <v/>
      </c>
      <c r="T116" s="38" t="n"/>
      <c r="U116" s="32" t="n"/>
      <c r="V116" s="52" t="n"/>
      <c r="W116" s="37" t="n"/>
      <c r="X116" s="32" t="n"/>
      <c r="Y116" s="32" t="n"/>
      <c r="Z116" s="39">
        <f>IF(OR(X116="",P116="",N116=""),"",ABS(X116-P116)*N116)</f>
        <v/>
      </c>
      <c r="AA116" s="53">
        <f>IF(OR(Z116="",Y116=""),"",IF(Z116=0,"",ABS(P116-Y116)*N116/Z116))</f>
        <v/>
      </c>
      <c r="AB116" s="54">
        <f>IF(Z116="","",Z116/Capital)</f>
        <v/>
      </c>
      <c r="AC116" s="5">
        <f>IF(B116="","",IF(X116="","NO SL",IF(OR(N(M116)&gt;MaxLots,N(AB116)&gt;RiskPct),"OVERSIZED","OK")))</f>
        <v/>
      </c>
      <c r="AD116" s="51" t="n"/>
      <c r="AE116" s="32" t="n"/>
      <c r="AF116" s="37" t="n"/>
      <c r="AG116" s="32" t="n"/>
      <c r="AH116" s="32" t="n"/>
      <c r="AI116" s="39">
        <f>IF(OR(AG116="",P116="",N116=""),"",ABS(AG116-P116)*N116)</f>
        <v/>
      </c>
      <c r="AJ116" s="39">
        <f>IF(OR(AH116="",P116="",N116=""),"",ABS(P116-AH116)*N116)</f>
        <v/>
      </c>
      <c r="AK116" s="39">
        <f>IF(OR(AE116="",P116="",N116=""),"",IF(I116="Buy",AE116-P116,P116-AE116)*N116)</f>
        <v/>
      </c>
      <c r="AL116" s="39">
        <f>IF(OR(AJ116="",AK116=""),"",MAX(0,AJ116-AK116))</f>
        <v/>
      </c>
      <c r="AM116" s="39">
        <f>IF(AK116="","",(P116+AE116)*N116)</f>
        <v/>
      </c>
      <c r="AN116" s="55">
        <f>IF(AK116="","",BrokeragePerOrder*2*MAX(1,N(L116)))</f>
        <v/>
      </c>
      <c r="AO116" s="55">
        <f>IF(AK116="","",STTRate*IF(I116="Buy",AE116,P116)*N116)</f>
        <v/>
      </c>
      <c r="AP116" s="55">
        <f>IF(AK116="","",ExchRate*AM116)</f>
        <v/>
      </c>
      <c r="AQ116" s="55">
        <f>IF(AK116="","",SEBIRate*AM116)</f>
        <v/>
      </c>
      <c r="AR116" s="55">
        <f>IF(AK116="","",StampRate*IF(I116="Buy",P116,AE116)*N116)</f>
        <v/>
      </c>
      <c r="AS116" s="55">
        <f>IF(AK116="","",GSTRate*(AN116+AP116+AQ116))</f>
        <v/>
      </c>
      <c r="AT116" s="55">
        <f>IF(AK116="","",AN116+AO116+AP116+AQ116+AR116+AS116)</f>
        <v/>
      </c>
      <c r="AU116" s="39">
        <f>IF(AK116="","",AK116-AT116)</f>
        <v/>
      </c>
      <c r="AV116" s="56">
        <f>IF(AU116="","",AU116/IF(N(Z116)&gt;0,Z116,RiskPerTrade))</f>
        <v/>
      </c>
      <c r="AW116" s="31">
        <f>IF(AU116="","",AU116/Capital)</f>
        <v/>
      </c>
      <c r="AX116" s="37" t="n"/>
      <c r="AY116" s="37" t="n"/>
      <c r="AZ116" s="37" t="n"/>
      <c r="BA116" s="37" t="n"/>
      <c r="BB116" s="37" t="n"/>
      <c r="BC116" s="37" t="n"/>
      <c r="BD116" s="37" t="n"/>
      <c r="BE116" s="5">
        <f>IF(AU116="","",IF(AU116&gt;0,"Win",IF(AU116&lt;0,"Loss","BE")))</f>
        <v/>
      </c>
      <c r="BF116" s="5">
        <f>IF(O116="","",LOOKUP(O116,List_BucketStart,List_BucketLabel))</f>
        <v/>
      </c>
      <c r="BG116" s="57">
        <f>IF(B116="","",B116-WEEKDAY(B116,3))</f>
        <v/>
      </c>
      <c r="BH116" s="28">
        <f>IF(B116="","",COUNTIF($B$6:B116,B116))</f>
        <v/>
      </c>
      <c r="BI116" s="39">
        <f>IF(B116="","",SUMIFS($AU$6:AU116,$B$6:B116,B116)-N(AU116))</f>
        <v/>
      </c>
      <c r="BJ116" s="5">
        <f>IF(OR(B116="",E116=""),"",IF(AND(E116=0,I116="Sell",MAX(N(O116),N(AD116))&gt;ExpiryCutoff),"BREACH","OK"))</f>
        <v/>
      </c>
      <c r="BK116" s="5">
        <f>IF(B116="","",IF(OR(AC116&lt;&gt;"OK",BJ116="BREACH",BH116&gt;MaxTradesDay,BI116&lt;=-DailyLossLimit,OR(AF116="Panic",AF116="Revenge",AF116="Rule break")),"CHECK","OK"))</f>
        <v/>
      </c>
      <c r="BL116" s="39">
        <f>IF(AU116="","",SUM($AU$6:AU116))</f>
        <v/>
      </c>
      <c r="BM116" s="39">
        <f>IF(BL116="","",Capital+BL116)</f>
        <v/>
      </c>
      <c r="BN116" s="39">
        <f>IF(BM116="","",MAX(Capital,MAX($BM$6:BM116)))</f>
        <v/>
      </c>
      <c r="BO116" s="39">
        <f>IF(BM116="","",BN116-BM116)</f>
        <v/>
      </c>
      <c r="BP116" s="58">
        <f>IF(BO116="","",BO116/BN116)</f>
        <v/>
      </c>
      <c r="BQ116" s="28">
        <f>IF(AU116="","",IF(AU116&lt;0,N(BQ115)+1,0))</f>
        <v/>
      </c>
    </row>
    <row r="117">
      <c r="A117" s="28">
        <f>IF(B117="","",COUNT($B$6:B117))</f>
        <v/>
      </c>
      <c r="B117" s="27" t="n"/>
      <c r="C117" s="5">
        <f>IF(B117="","",TEXT(B117,"ddd"))</f>
        <v/>
      </c>
      <c r="D117" s="27" t="n"/>
      <c r="E117" s="28">
        <f>IF(OR(B117="",D117=""),"",MAX(0,NETWORKDAYS(B117,D117)-1))</f>
        <v/>
      </c>
      <c r="F117" s="37" t="n"/>
      <c r="G117" s="36" t="n"/>
      <c r="H117" s="37" t="n"/>
      <c r="I117" s="37" t="n"/>
      <c r="J117" s="37" t="n"/>
      <c r="K117" s="37" t="n"/>
      <c r="L117" s="36" t="n"/>
      <c r="M117" s="36" t="n"/>
      <c r="N117" s="33">
        <f>IF(M117="","",M117*LotSize)</f>
        <v/>
      </c>
      <c r="O117" s="51" t="n"/>
      <c r="P117" s="32" t="n"/>
      <c r="Q117" s="29" t="n"/>
      <c r="R117" s="30">
        <f>IF(OR(G117="",Q117="",H117=""),"",IF(H117="CE",G117-Q117,Q117-G117))</f>
        <v/>
      </c>
      <c r="S117" s="31">
        <f>IF(R117="","",R117/Q117)</f>
        <v/>
      </c>
      <c r="T117" s="38" t="n"/>
      <c r="U117" s="32" t="n"/>
      <c r="V117" s="52" t="n"/>
      <c r="W117" s="37" t="n"/>
      <c r="X117" s="32" t="n"/>
      <c r="Y117" s="32" t="n"/>
      <c r="Z117" s="39">
        <f>IF(OR(X117="",P117="",N117=""),"",ABS(X117-P117)*N117)</f>
        <v/>
      </c>
      <c r="AA117" s="53">
        <f>IF(OR(Z117="",Y117=""),"",IF(Z117=0,"",ABS(P117-Y117)*N117/Z117))</f>
        <v/>
      </c>
      <c r="AB117" s="54">
        <f>IF(Z117="","",Z117/Capital)</f>
        <v/>
      </c>
      <c r="AC117" s="5">
        <f>IF(B117="","",IF(X117="","NO SL",IF(OR(N(M117)&gt;MaxLots,N(AB117)&gt;RiskPct),"OVERSIZED","OK")))</f>
        <v/>
      </c>
      <c r="AD117" s="51" t="n"/>
      <c r="AE117" s="32" t="n"/>
      <c r="AF117" s="37" t="n"/>
      <c r="AG117" s="32" t="n"/>
      <c r="AH117" s="32" t="n"/>
      <c r="AI117" s="39">
        <f>IF(OR(AG117="",P117="",N117=""),"",ABS(AG117-P117)*N117)</f>
        <v/>
      </c>
      <c r="AJ117" s="39">
        <f>IF(OR(AH117="",P117="",N117=""),"",ABS(P117-AH117)*N117)</f>
        <v/>
      </c>
      <c r="AK117" s="39">
        <f>IF(OR(AE117="",P117="",N117=""),"",IF(I117="Buy",AE117-P117,P117-AE117)*N117)</f>
        <v/>
      </c>
      <c r="AL117" s="39">
        <f>IF(OR(AJ117="",AK117=""),"",MAX(0,AJ117-AK117))</f>
        <v/>
      </c>
      <c r="AM117" s="39">
        <f>IF(AK117="","",(P117+AE117)*N117)</f>
        <v/>
      </c>
      <c r="AN117" s="55">
        <f>IF(AK117="","",BrokeragePerOrder*2*MAX(1,N(L117)))</f>
        <v/>
      </c>
      <c r="AO117" s="55">
        <f>IF(AK117="","",STTRate*IF(I117="Buy",AE117,P117)*N117)</f>
        <v/>
      </c>
      <c r="AP117" s="55">
        <f>IF(AK117="","",ExchRate*AM117)</f>
        <v/>
      </c>
      <c r="AQ117" s="55">
        <f>IF(AK117="","",SEBIRate*AM117)</f>
        <v/>
      </c>
      <c r="AR117" s="55">
        <f>IF(AK117="","",StampRate*IF(I117="Buy",P117,AE117)*N117)</f>
        <v/>
      </c>
      <c r="AS117" s="55">
        <f>IF(AK117="","",GSTRate*(AN117+AP117+AQ117))</f>
        <v/>
      </c>
      <c r="AT117" s="55">
        <f>IF(AK117="","",AN117+AO117+AP117+AQ117+AR117+AS117)</f>
        <v/>
      </c>
      <c r="AU117" s="39">
        <f>IF(AK117="","",AK117-AT117)</f>
        <v/>
      </c>
      <c r="AV117" s="56">
        <f>IF(AU117="","",AU117/IF(N(Z117)&gt;0,Z117,RiskPerTrade))</f>
        <v/>
      </c>
      <c r="AW117" s="31">
        <f>IF(AU117="","",AU117/Capital)</f>
        <v/>
      </c>
      <c r="AX117" s="37" t="n"/>
      <c r="AY117" s="37" t="n"/>
      <c r="AZ117" s="37" t="n"/>
      <c r="BA117" s="37" t="n"/>
      <c r="BB117" s="37" t="n"/>
      <c r="BC117" s="37" t="n"/>
      <c r="BD117" s="37" t="n"/>
      <c r="BE117" s="5">
        <f>IF(AU117="","",IF(AU117&gt;0,"Win",IF(AU117&lt;0,"Loss","BE")))</f>
        <v/>
      </c>
      <c r="BF117" s="5">
        <f>IF(O117="","",LOOKUP(O117,List_BucketStart,List_BucketLabel))</f>
        <v/>
      </c>
      <c r="BG117" s="57">
        <f>IF(B117="","",B117-WEEKDAY(B117,3))</f>
        <v/>
      </c>
      <c r="BH117" s="28">
        <f>IF(B117="","",COUNTIF($B$6:B117,B117))</f>
        <v/>
      </c>
      <c r="BI117" s="39">
        <f>IF(B117="","",SUMIFS($AU$6:AU117,$B$6:B117,B117)-N(AU117))</f>
        <v/>
      </c>
      <c r="BJ117" s="5">
        <f>IF(OR(B117="",E117=""),"",IF(AND(E117=0,I117="Sell",MAX(N(O117),N(AD117))&gt;ExpiryCutoff),"BREACH","OK"))</f>
        <v/>
      </c>
      <c r="BK117" s="5">
        <f>IF(B117="","",IF(OR(AC117&lt;&gt;"OK",BJ117="BREACH",BH117&gt;MaxTradesDay,BI117&lt;=-DailyLossLimit,OR(AF117="Panic",AF117="Revenge",AF117="Rule break")),"CHECK","OK"))</f>
        <v/>
      </c>
      <c r="BL117" s="39">
        <f>IF(AU117="","",SUM($AU$6:AU117))</f>
        <v/>
      </c>
      <c r="BM117" s="39">
        <f>IF(BL117="","",Capital+BL117)</f>
        <v/>
      </c>
      <c r="BN117" s="39">
        <f>IF(BM117="","",MAX(Capital,MAX($BM$6:BM117)))</f>
        <v/>
      </c>
      <c r="BO117" s="39">
        <f>IF(BM117="","",BN117-BM117)</f>
        <v/>
      </c>
      <c r="BP117" s="58">
        <f>IF(BO117="","",BO117/BN117)</f>
        <v/>
      </c>
      <c r="BQ117" s="28">
        <f>IF(AU117="","",IF(AU117&lt;0,N(BQ116)+1,0))</f>
        <v/>
      </c>
    </row>
    <row r="118">
      <c r="A118" s="28">
        <f>IF(B118="","",COUNT($B$6:B118))</f>
        <v/>
      </c>
      <c r="B118" s="27" t="n"/>
      <c r="C118" s="5">
        <f>IF(B118="","",TEXT(B118,"ddd"))</f>
        <v/>
      </c>
      <c r="D118" s="27" t="n"/>
      <c r="E118" s="28">
        <f>IF(OR(B118="",D118=""),"",MAX(0,NETWORKDAYS(B118,D118)-1))</f>
        <v/>
      </c>
      <c r="F118" s="37" t="n"/>
      <c r="G118" s="36" t="n"/>
      <c r="H118" s="37" t="n"/>
      <c r="I118" s="37" t="n"/>
      <c r="J118" s="37" t="n"/>
      <c r="K118" s="37" t="n"/>
      <c r="L118" s="36" t="n"/>
      <c r="M118" s="36" t="n"/>
      <c r="N118" s="33">
        <f>IF(M118="","",M118*LotSize)</f>
        <v/>
      </c>
      <c r="O118" s="51" t="n"/>
      <c r="P118" s="32" t="n"/>
      <c r="Q118" s="29" t="n"/>
      <c r="R118" s="30">
        <f>IF(OR(G118="",Q118="",H118=""),"",IF(H118="CE",G118-Q118,Q118-G118))</f>
        <v/>
      </c>
      <c r="S118" s="31">
        <f>IF(R118="","",R118/Q118)</f>
        <v/>
      </c>
      <c r="T118" s="38" t="n"/>
      <c r="U118" s="32" t="n"/>
      <c r="V118" s="52" t="n"/>
      <c r="W118" s="37" t="n"/>
      <c r="X118" s="32" t="n"/>
      <c r="Y118" s="32" t="n"/>
      <c r="Z118" s="39">
        <f>IF(OR(X118="",P118="",N118=""),"",ABS(X118-P118)*N118)</f>
        <v/>
      </c>
      <c r="AA118" s="53">
        <f>IF(OR(Z118="",Y118=""),"",IF(Z118=0,"",ABS(P118-Y118)*N118/Z118))</f>
        <v/>
      </c>
      <c r="AB118" s="54">
        <f>IF(Z118="","",Z118/Capital)</f>
        <v/>
      </c>
      <c r="AC118" s="5">
        <f>IF(B118="","",IF(X118="","NO SL",IF(OR(N(M118)&gt;MaxLots,N(AB118)&gt;RiskPct),"OVERSIZED","OK")))</f>
        <v/>
      </c>
      <c r="AD118" s="51" t="n"/>
      <c r="AE118" s="32" t="n"/>
      <c r="AF118" s="37" t="n"/>
      <c r="AG118" s="32" t="n"/>
      <c r="AH118" s="32" t="n"/>
      <c r="AI118" s="39">
        <f>IF(OR(AG118="",P118="",N118=""),"",ABS(AG118-P118)*N118)</f>
        <v/>
      </c>
      <c r="AJ118" s="39">
        <f>IF(OR(AH118="",P118="",N118=""),"",ABS(P118-AH118)*N118)</f>
        <v/>
      </c>
      <c r="AK118" s="39">
        <f>IF(OR(AE118="",P118="",N118=""),"",IF(I118="Buy",AE118-P118,P118-AE118)*N118)</f>
        <v/>
      </c>
      <c r="AL118" s="39">
        <f>IF(OR(AJ118="",AK118=""),"",MAX(0,AJ118-AK118))</f>
        <v/>
      </c>
      <c r="AM118" s="39">
        <f>IF(AK118="","",(P118+AE118)*N118)</f>
        <v/>
      </c>
      <c r="AN118" s="55">
        <f>IF(AK118="","",BrokeragePerOrder*2*MAX(1,N(L118)))</f>
        <v/>
      </c>
      <c r="AO118" s="55">
        <f>IF(AK118="","",STTRate*IF(I118="Buy",AE118,P118)*N118)</f>
        <v/>
      </c>
      <c r="AP118" s="55">
        <f>IF(AK118="","",ExchRate*AM118)</f>
        <v/>
      </c>
      <c r="AQ118" s="55">
        <f>IF(AK118="","",SEBIRate*AM118)</f>
        <v/>
      </c>
      <c r="AR118" s="55">
        <f>IF(AK118="","",StampRate*IF(I118="Buy",P118,AE118)*N118)</f>
        <v/>
      </c>
      <c r="AS118" s="55">
        <f>IF(AK118="","",GSTRate*(AN118+AP118+AQ118))</f>
        <v/>
      </c>
      <c r="AT118" s="55">
        <f>IF(AK118="","",AN118+AO118+AP118+AQ118+AR118+AS118)</f>
        <v/>
      </c>
      <c r="AU118" s="39">
        <f>IF(AK118="","",AK118-AT118)</f>
        <v/>
      </c>
      <c r="AV118" s="56">
        <f>IF(AU118="","",AU118/IF(N(Z118)&gt;0,Z118,RiskPerTrade))</f>
        <v/>
      </c>
      <c r="AW118" s="31">
        <f>IF(AU118="","",AU118/Capital)</f>
        <v/>
      </c>
      <c r="AX118" s="37" t="n"/>
      <c r="AY118" s="37" t="n"/>
      <c r="AZ118" s="37" t="n"/>
      <c r="BA118" s="37" t="n"/>
      <c r="BB118" s="37" t="n"/>
      <c r="BC118" s="37" t="n"/>
      <c r="BD118" s="37" t="n"/>
      <c r="BE118" s="5">
        <f>IF(AU118="","",IF(AU118&gt;0,"Win",IF(AU118&lt;0,"Loss","BE")))</f>
        <v/>
      </c>
      <c r="BF118" s="5">
        <f>IF(O118="","",LOOKUP(O118,List_BucketStart,List_BucketLabel))</f>
        <v/>
      </c>
      <c r="BG118" s="57">
        <f>IF(B118="","",B118-WEEKDAY(B118,3))</f>
        <v/>
      </c>
      <c r="BH118" s="28">
        <f>IF(B118="","",COUNTIF($B$6:B118,B118))</f>
        <v/>
      </c>
      <c r="BI118" s="39">
        <f>IF(B118="","",SUMIFS($AU$6:AU118,$B$6:B118,B118)-N(AU118))</f>
        <v/>
      </c>
      <c r="BJ118" s="5">
        <f>IF(OR(B118="",E118=""),"",IF(AND(E118=0,I118="Sell",MAX(N(O118),N(AD118))&gt;ExpiryCutoff),"BREACH","OK"))</f>
        <v/>
      </c>
      <c r="BK118" s="5">
        <f>IF(B118="","",IF(OR(AC118&lt;&gt;"OK",BJ118="BREACH",BH118&gt;MaxTradesDay,BI118&lt;=-DailyLossLimit,OR(AF118="Panic",AF118="Revenge",AF118="Rule break")),"CHECK","OK"))</f>
        <v/>
      </c>
      <c r="BL118" s="39">
        <f>IF(AU118="","",SUM($AU$6:AU118))</f>
        <v/>
      </c>
      <c r="BM118" s="39">
        <f>IF(BL118="","",Capital+BL118)</f>
        <v/>
      </c>
      <c r="BN118" s="39">
        <f>IF(BM118="","",MAX(Capital,MAX($BM$6:BM118)))</f>
        <v/>
      </c>
      <c r="BO118" s="39">
        <f>IF(BM118="","",BN118-BM118)</f>
        <v/>
      </c>
      <c r="BP118" s="58">
        <f>IF(BO118="","",BO118/BN118)</f>
        <v/>
      </c>
      <c r="BQ118" s="28">
        <f>IF(AU118="","",IF(AU118&lt;0,N(BQ117)+1,0))</f>
        <v/>
      </c>
    </row>
    <row r="119">
      <c r="A119" s="28">
        <f>IF(B119="","",COUNT($B$6:B119))</f>
        <v/>
      </c>
      <c r="B119" s="27" t="n"/>
      <c r="C119" s="5">
        <f>IF(B119="","",TEXT(B119,"ddd"))</f>
        <v/>
      </c>
      <c r="D119" s="27" t="n"/>
      <c r="E119" s="28">
        <f>IF(OR(B119="",D119=""),"",MAX(0,NETWORKDAYS(B119,D119)-1))</f>
        <v/>
      </c>
      <c r="F119" s="37" t="n"/>
      <c r="G119" s="36" t="n"/>
      <c r="H119" s="37" t="n"/>
      <c r="I119" s="37" t="n"/>
      <c r="J119" s="37" t="n"/>
      <c r="K119" s="37" t="n"/>
      <c r="L119" s="36" t="n"/>
      <c r="M119" s="36" t="n"/>
      <c r="N119" s="33">
        <f>IF(M119="","",M119*LotSize)</f>
        <v/>
      </c>
      <c r="O119" s="51" t="n"/>
      <c r="P119" s="32" t="n"/>
      <c r="Q119" s="29" t="n"/>
      <c r="R119" s="30">
        <f>IF(OR(G119="",Q119="",H119=""),"",IF(H119="CE",G119-Q119,Q119-G119))</f>
        <v/>
      </c>
      <c r="S119" s="31">
        <f>IF(R119="","",R119/Q119)</f>
        <v/>
      </c>
      <c r="T119" s="38" t="n"/>
      <c r="U119" s="32" t="n"/>
      <c r="V119" s="52" t="n"/>
      <c r="W119" s="37" t="n"/>
      <c r="X119" s="32" t="n"/>
      <c r="Y119" s="32" t="n"/>
      <c r="Z119" s="39">
        <f>IF(OR(X119="",P119="",N119=""),"",ABS(X119-P119)*N119)</f>
        <v/>
      </c>
      <c r="AA119" s="53">
        <f>IF(OR(Z119="",Y119=""),"",IF(Z119=0,"",ABS(P119-Y119)*N119/Z119))</f>
        <v/>
      </c>
      <c r="AB119" s="54">
        <f>IF(Z119="","",Z119/Capital)</f>
        <v/>
      </c>
      <c r="AC119" s="5">
        <f>IF(B119="","",IF(X119="","NO SL",IF(OR(N(M119)&gt;MaxLots,N(AB119)&gt;RiskPct),"OVERSIZED","OK")))</f>
        <v/>
      </c>
      <c r="AD119" s="51" t="n"/>
      <c r="AE119" s="32" t="n"/>
      <c r="AF119" s="37" t="n"/>
      <c r="AG119" s="32" t="n"/>
      <c r="AH119" s="32" t="n"/>
      <c r="AI119" s="39">
        <f>IF(OR(AG119="",P119="",N119=""),"",ABS(AG119-P119)*N119)</f>
        <v/>
      </c>
      <c r="AJ119" s="39">
        <f>IF(OR(AH119="",P119="",N119=""),"",ABS(P119-AH119)*N119)</f>
        <v/>
      </c>
      <c r="AK119" s="39">
        <f>IF(OR(AE119="",P119="",N119=""),"",IF(I119="Buy",AE119-P119,P119-AE119)*N119)</f>
        <v/>
      </c>
      <c r="AL119" s="39">
        <f>IF(OR(AJ119="",AK119=""),"",MAX(0,AJ119-AK119))</f>
        <v/>
      </c>
      <c r="AM119" s="39">
        <f>IF(AK119="","",(P119+AE119)*N119)</f>
        <v/>
      </c>
      <c r="AN119" s="55">
        <f>IF(AK119="","",BrokeragePerOrder*2*MAX(1,N(L119)))</f>
        <v/>
      </c>
      <c r="AO119" s="55">
        <f>IF(AK119="","",STTRate*IF(I119="Buy",AE119,P119)*N119)</f>
        <v/>
      </c>
      <c r="AP119" s="55">
        <f>IF(AK119="","",ExchRate*AM119)</f>
        <v/>
      </c>
      <c r="AQ119" s="55">
        <f>IF(AK119="","",SEBIRate*AM119)</f>
        <v/>
      </c>
      <c r="AR119" s="55">
        <f>IF(AK119="","",StampRate*IF(I119="Buy",P119,AE119)*N119)</f>
        <v/>
      </c>
      <c r="AS119" s="55">
        <f>IF(AK119="","",GSTRate*(AN119+AP119+AQ119))</f>
        <v/>
      </c>
      <c r="AT119" s="55">
        <f>IF(AK119="","",AN119+AO119+AP119+AQ119+AR119+AS119)</f>
        <v/>
      </c>
      <c r="AU119" s="39">
        <f>IF(AK119="","",AK119-AT119)</f>
        <v/>
      </c>
      <c r="AV119" s="56">
        <f>IF(AU119="","",AU119/IF(N(Z119)&gt;0,Z119,RiskPerTrade))</f>
        <v/>
      </c>
      <c r="AW119" s="31">
        <f>IF(AU119="","",AU119/Capital)</f>
        <v/>
      </c>
      <c r="AX119" s="37" t="n"/>
      <c r="AY119" s="37" t="n"/>
      <c r="AZ119" s="37" t="n"/>
      <c r="BA119" s="37" t="n"/>
      <c r="BB119" s="37" t="n"/>
      <c r="BC119" s="37" t="n"/>
      <c r="BD119" s="37" t="n"/>
      <c r="BE119" s="5">
        <f>IF(AU119="","",IF(AU119&gt;0,"Win",IF(AU119&lt;0,"Loss","BE")))</f>
        <v/>
      </c>
      <c r="BF119" s="5">
        <f>IF(O119="","",LOOKUP(O119,List_BucketStart,List_BucketLabel))</f>
        <v/>
      </c>
      <c r="BG119" s="57">
        <f>IF(B119="","",B119-WEEKDAY(B119,3))</f>
        <v/>
      </c>
      <c r="BH119" s="28">
        <f>IF(B119="","",COUNTIF($B$6:B119,B119))</f>
        <v/>
      </c>
      <c r="BI119" s="39">
        <f>IF(B119="","",SUMIFS($AU$6:AU119,$B$6:B119,B119)-N(AU119))</f>
        <v/>
      </c>
      <c r="BJ119" s="5">
        <f>IF(OR(B119="",E119=""),"",IF(AND(E119=0,I119="Sell",MAX(N(O119),N(AD119))&gt;ExpiryCutoff),"BREACH","OK"))</f>
        <v/>
      </c>
      <c r="BK119" s="5">
        <f>IF(B119="","",IF(OR(AC119&lt;&gt;"OK",BJ119="BREACH",BH119&gt;MaxTradesDay,BI119&lt;=-DailyLossLimit,OR(AF119="Panic",AF119="Revenge",AF119="Rule break")),"CHECK","OK"))</f>
        <v/>
      </c>
      <c r="BL119" s="39">
        <f>IF(AU119="","",SUM($AU$6:AU119))</f>
        <v/>
      </c>
      <c r="BM119" s="39">
        <f>IF(BL119="","",Capital+BL119)</f>
        <v/>
      </c>
      <c r="BN119" s="39">
        <f>IF(BM119="","",MAX(Capital,MAX($BM$6:BM119)))</f>
        <v/>
      </c>
      <c r="BO119" s="39">
        <f>IF(BM119="","",BN119-BM119)</f>
        <v/>
      </c>
      <c r="BP119" s="58">
        <f>IF(BO119="","",BO119/BN119)</f>
        <v/>
      </c>
      <c r="BQ119" s="28">
        <f>IF(AU119="","",IF(AU119&lt;0,N(BQ118)+1,0))</f>
        <v/>
      </c>
    </row>
    <row r="120">
      <c r="A120" s="28">
        <f>IF(B120="","",COUNT($B$6:B120))</f>
        <v/>
      </c>
      <c r="B120" s="27" t="n"/>
      <c r="C120" s="5">
        <f>IF(B120="","",TEXT(B120,"ddd"))</f>
        <v/>
      </c>
      <c r="D120" s="27" t="n"/>
      <c r="E120" s="28">
        <f>IF(OR(B120="",D120=""),"",MAX(0,NETWORKDAYS(B120,D120)-1))</f>
        <v/>
      </c>
      <c r="F120" s="37" t="n"/>
      <c r="G120" s="36" t="n"/>
      <c r="H120" s="37" t="n"/>
      <c r="I120" s="37" t="n"/>
      <c r="J120" s="37" t="n"/>
      <c r="K120" s="37" t="n"/>
      <c r="L120" s="36" t="n"/>
      <c r="M120" s="36" t="n"/>
      <c r="N120" s="33">
        <f>IF(M120="","",M120*LotSize)</f>
        <v/>
      </c>
      <c r="O120" s="51" t="n"/>
      <c r="P120" s="32" t="n"/>
      <c r="Q120" s="29" t="n"/>
      <c r="R120" s="30">
        <f>IF(OR(G120="",Q120="",H120=""),"",IF(H120="CE",G120-Q120,Q120-G120))</f>
        <v/>
      </c>
      <c r="S120" s="31">
        <f>IF(R120="","",R120/Q120)</f>
        <v/>
      </c>
      <c r="T120" s="38" t="n"/>
      <c r="U120" s="32" t="n"/>
      <c r="V120" s="52" t="n"/>
      <c r="W120" s="37" t="n"/>
      <c r="X120" s="32" t="n"/>
      <c r="Y120" s="32" t="n"/>
      <c r="Z120" s="39">
        <f>IF(OR(X120="",P120="",N120=""),"",ABS(X120-P120)*N120)</f>
        <v/>
      </c>
      <c r="AA120" s="53">
        <f>IF(OR(Z120="",Y120=""),"",IF(Z120=0,"",ABS(P120-Y120)*N120/Z120))</f>
        <v/>
      </c>
      <c r="AB120" s="54">
        <f>IF(Z120="","",Z120/Capital)</f>
        <v/>
      </c>
      <c r="AC120" s="5">
        <f>IF(B120="","",IF(X120="","NO SL",IF(OR(N(M120)&gt;MaxLots,N(AB120)&gt;RiskPct),"OVERSIZED","OK")))</f>
        <v/>
      </c>
      <c r="AD120" s="51" t="n"/>
      <c r="AE120" s="32" t="n"/>
      <c r="AF120" s="37" t="n"/>
      <c r="AG120" s="32" t="n"/>
      <c r="AH120" s="32" t="n"/>
      <c r="AI120" s="39">
        <f>IF(OR(AG120="",P120="",N120=""),"",ABS(AG120-P120)*N120)</f>
        <v/>
      </c>
      <c r="AJ120" s="39">
        <f>IF(OR(AH120="",P120="",N120=""),"",ABS(P120-AH120)*N120)</f>
        <v/>
      </c>
      <c r="AK120" s="39">
        <f>IF(OR(AE120="",P120="",N120=""),"",IF(I120="Buy",AE120-P120,P120-AE120)*N120)</f>
        <v/>
      </c>
      <c r="AL120" s="39">
        <f>IF(OR(AJ120="",AK120=""),"",MAX(0,AJ120-AK120))</f>
        <v/>
      </c>
      <c r="AM120" s="39">
        <f>IF(AK120="","",(P120+AE120)*N120)</f>
        <v/>
      </c>
      <c r="AN120" s="55">
        <f>IF(AK120="","",BrokeragePerOrder*2*MAX(1,N(L120)))</f>
        <v/>
      </c>
      <c r="AO120" s="55">
        <f>IF(AK120="","",STTRate*IF(I120="Buy",AE120,P120)*N120)</f>
        <v/>
      </c>
      <c r="AP120" s="55">
        <f>IF(AK120="","",ExchRate*AM120)</f>
        <v/>
      </c>
      <c r="AQ120" s="55">
        <f>IF(AK120="","",SEBIRate*AM120)</f>
        <v/>
      </c>
      <c r="AR120" s="55">
        <f>IF(AK120="","",StampRate*IF(I120="Buy",P120,AE120)*N120)</f>
        <v/>
      </c>
      <c r="AS120" s="55">
        <f>IF(AK120="","",GSTRate*(AN120+AP120+AQ120))</f>
        <v/>
      </c>
      <c r="AT120" s="55">
        <f>IF(AK120="","",AN120+AO120+AP120+AQ120+AR120+AS120)</f>
        <v/>
      </c>
      <c r="AU120" s="39">
        <f>IF(AK120="","",AK120-AT120)</f>
        <v/>
      </c>
      <c r="AV120" s="56">
        <f>IF(AU120="","",AU120/IF(N(Z120)&gt;0,Z120,RiskPerTrade))</f>
        <v/>
      </c>
      <c r="AW120" s="31">
        <f>IF(AU120="","",AU120/Capital)</f>
        <v/>
      </c>
      <c r="AX120" s="37" t="n"/>
      <c r="AY120" s="37" t="n"/>
      <c r="AZ120" s="37" t="n"/>
      <c r="BA120" s="37" t="n"/>
      <c r="BB120" s="37" t="n"/>
      <c r="BC120" s="37" t="n"/>
      <c r="BD120" s="37" t="n"/>
      <c r="BE120" s="5">
        <f>IF(AU120="","",IF(AU120&gt;0,"Win",IF(AU120&lt;0,"Loss","BE")))</f>
        <v/>
      </c>
      <c r="BF120" s="5">
        <f>IF(O120="","",LOOKUP(O120,List_BucketStart,List_BucketLabel))</f>
        <v/>
      </c>
      <c r="BG120" s="57">
        <f>IF(B120="","",B120-WEEKDAY(B120,3))</f>
        <v/>
      </c>
      <c r="BH120" s="28">
        <f>IF(B120="","",COUNTIF($B$6:B120,B120))</f>
        <v/>
      </c>
      <c r="BI120" s="39">
        <f>IF(B120="","",SUMIFS($AU$6:AU120,$B$6:B120,B120)-N(AU120))</f>
        <v/>
      </c>
      <c r="BJ120" s="5">
        <f>IF(OR(B120="",E120=""),"",IF(AND(E120=0,I120="Sell",MAX(N(O120),N(AD120))&gt;ExpiryCutoff),"BREACH","OK"))</f>
        <v/>
      </c>
      <c r="BK120" s="5">
        <f>IF(B120="","",IF(OR(AC120&lt;&gt;"OK",BJ120="BREACH",BH120&gt;MaxTradesDay,BI120&lt;=-DailyLossLimit,OR(AF120="Panic",AF120="Revenge",AF120="Rule break")),"CHECK","OK"))</f>
        <v/>
      </c>
      <c r="BL120" s="39">
        <f>IF(AU120="","",SUM($AU$6:AU120))</f>
        <v/>
      </c>
      <c r="BM120" s="39">
        <f>IF(BL120="","",Capital+BL120)</f>
        <v/>
      </c>
      <c r="BN120" s="39">
        <f>IF(BM120="","",MAX(Capital,MAX($BM$6:BM120)))</f>
        <v/>
      </c>
      <c r="BO120" s="39">
        <f>IF(BM120="","",BN120-BM120)</f>
        <v/>
      </c>
      <c r="BP120" s="58">
        <f>IF(BO120="","",BO120/BN120)</f>
        <v/>
      </c>
      <c r="BQ120" s="28">
        <f>IF(AU120="","",IF(AU120&lt;0,N(BQ119)+1,0))</f>
        <v/>
      </c>
    </row>
    <row r="121">
      <c r="A121" s="28">
        <f>IF(B121="","",COUNT($B$6:B121))</f>
        <v/>
      </c>
      <c r="B121" s="27" t="n"/>
      <c r="C121" s="5">
        <f>IF(B121="","",TEXT(B121,"ddd"))</f>
        <v/>
      </c>
      <c r="D121" s="27" t="n"/>
      <c r="E121" s="28">
        <f>IF(OR(B121="",D121=""),"",MAX(0,NETWORKDAYS(B121,D121)-1))</f>
        <v/>
      </c>
      <c r="F121" s="37" t="n"/>
      <c r="G121" s="36" t="n"/>
      <c r="H121" s="37" t="n"/>
      <c r="I121" s="37" t="n"/>
      <c r="J121" s="37" t="n"/>
      <c r="K121" s="37" t="n"/>
      <c r="L121" s="36" t="n"/>
      <c r="M121" s="36" t="n"/>
      <c r="N121" s="33">
        <f>IF(M121="","",M121*LotSize)</f>
        <v/>
      </c>
      <c r="O121" s="51" t="n"/>
      <c r="P121" s="32" t="n"/>
      <c r="Q121" s="29" t="n"/>
      <c r="R121" s="30">
        <f>IF(OR(G121="",Q121="",H121=""),"",IF(H121="CE",G121-Q121,Q121-G121))</f>
        <v/>
      </c>
      <c r="S121" s="31">
        <f>IF(R121="","",R121/Q121)</f>
        <v/>
      </c>
      <c r="T121" s="38" t="n"/>
      <c r="U121" s="32" t="n"/>
      <c r="V121" s="52" t="n"/>
      <c r="W121" s="37" t="n"/>
      <c r="X121" s="32" t="n"/>
      <c r="Y121" s="32" t="n"/>
      <c r="Z121" s="39">
        <f>IF(OR(X121="",P121="",N121=""),"",ABS(X121-P121)*N121)</f>
        <v/>
      </c>
      <c r="AA121" s="53">
        <f>IF(OR(Z121="",Y121=""),"",IF(Z121=0,"",ABS(P121-Y121)*N121/Z121))</f>
        <v/>
      </c>
      <c r="AB121" s="54">
        <f>IF(Z121="","",Z121/Capital)</f>
        <v/>
      </c>
      <c r="AC121" s="5">
        <f>IF(B121="","",IF(X121="","NO SL",IF(OR(N(M121)&gt;MaxLots,N(AB121)&gt;RiskPct),"OVERSIZED","OK")))</f>
        <v/>
      </c>
      <c r="AD121" s="51" t="n"/>
      <c r="AE121" s="32" t="n"/>
      <c r="AF121" s="37" t="n"/>
      <c r="AG121" s="32" t="n"/>
      <c r="AH121" s="32" t="n"/>
      <c r="AI121" s="39">
        <f>IF(OR(AG121="",P121="",N121=""),"",ABS(AG121-P121)*N121)</f>
        <v/>
      </c>
      <c r="AJ121" s="39">
        <f>IF(OR(AH121="",P121="",N121=""),"",ABS(P121-AH121)*N121)</f>
        <v/>
      </c>
      <c r="AK121" s="39">
        <f>IF(OR(AE121="",P121="",N121=""),"",IF(I121="Buy",AE121-P121,P121-AE121)*N121)</f>
        <v/>
      </c>
      <c r="AL121" s="39">
        <f>IF(OR(AJ121="",AK121=""),"",MAX(0,AJ121-AK121))</f>
        <v/>
      </c>
      <c r="AM121" s="39">
        <f>IF(AK121="","",(P121+AE121)*N121)</f>
        <v/>
      </c>
      <c r="AN121" s="55">
        <f>IF(AK121="","",BrokeragePerOrder*2*MAX(1,N(L121)))</f>
        <v/>
      </c>
      <c r="AO121" s="55">
        <f>IF(AK121="","",STTRate*IF(I121="Buy",AE121,P121)*N121)</f>
        <v/>
      </c>
      <c r="AP121" s="55">
        <f>IF(AK121="","",ExchRate*AM121)</f>
        <v/>
      </c>
      <c r="AQ121" s="55">
        <f>IF(AK121="","",SEBIRate*AM121)</f>
        <v/>
      </c>
      <c r="AR121" s="55">
        <f>IF(AK121="","",StampRate*IF(I121="Buy",P121,AE121)*N121)</f>
        <v/>
      </c>
      <c r="AS121" s="55">
        <f>IF(AK121="","",GSTRate*(AN121+AP121+AQ121))</f>
        <v/>
      </c>
      <c r="AT121" s="55">
        <f>IF(AK121="","",AN121+AO121+AP121+AQ121+AR121+AS121)</f>
        <v/>
      </c>
      <c r="AU121" s="39">
        <f>IF(AK121="","",AK121-AT121)</f>
        <v/>
      </c>
      <c r="AV121" s="56">
        <f>IF(AU121="","",AU121/IF(N(Z121)&gt;0,Z121,RiskPerTrade))</f>
        <v/>
      </c>
      <c r="AW121" s="31">
        <f>IF(AU121="","",AU121/Capital)</f>
        <v/>
      </c>
      <c r="AX121" s="37" t="n"/>
      <c r="AY121" s="37" t="n"/>
      <c r="AZ121" s="37" t="n"/>
      <c r="BA121" s="37" t="n"/>
      <c r="BB121" s="37" t="n"/>
      <c r="BC121" s="37" t="n"/>
      <c r="BD121" s="37" t="n"/>
      <c r="BE121" s="5">
        <f>IF(AU121="","",IF(AU121&gt;0,"Win",IF(AU121&lt;0,"Loss","BE")))</f>
        <v/>
      </c>
      <c r="BF121" s="5">
        <f>IF(O121="","",LOOKUP(O121,List_BucketStart,List_BucketLabel))</f>
        <v/>
      </c>
      <c r="BG121" s="57">
        <f>IF(B121="","",B121-WEEKDAY(B121,3))</f>
        <v/>
      </c>
      <c r="BH121" s="28">
        <f>IF(B121="","",COUNTIF($B$6:B121,B121))</f>
        <v/>
      </c>
      <c r="BI121" s="39">
        <f>IF(B121="","",SUMIFS($AU$6:AU121,$B$6:B121,B121)-N(AU121))</f>
        <v/>
      </c>
      <c r="BJ121" s="5">
        <f>IF(OR(B121="",E121=""),"",IF(AND(E121=0,I121="Sell",MAX(N(O121),N(AD121))&gt;ExpiryCutoff),"BREACH","OK"))</f>
        <v/>
      </c>
      <c r="BK121" s="5">
        <f>IF(B121="","",IF(OR(AC121&lt;&gt;"OK",BJ121="BREACH",BH121&gt;MaxTradesDay,BI121&lt;=-DailyLossLimit,OR(AF121="Panic",AF121="Revenge",AF121="Rule break")),"CHECK","OK"))</f>
        <v/>
      </c>
      <c r="BL121" s="39">
        <f>IF(AU121="","",SUM($AU$6:AU121))</f>
        <v/>
      </c>
      <c r="BM121" s="39">
        <f>IF(BL121="","",Capital+BL121)</f>
        <v/>
      </c>
      <c r="BN121" s="39">
        <f>IF(BM121="","",MAX(Capital,MAX($BM$6:BM121)))</f>
        <v/>
      </c>
      <c r="BO121" s="39">
        <f>IF(BM121="","",BN121-BM121)</f>
        <v/>
      </c>
      <c r="BP121" s="58">
        <f>IF(BO121="","",BO121/BN121)</f>
        <v/>
      </c>
      <c r="BQ121" s="28">
        <f>IF(AU121="","",IF(AU121&lt;0,N(BQ120)+1,0))</f>
        <v/>
      </c>
    </row>
    <row r="122">
      <c r="A122" s="28">
        <f>IF(B122="","",COUNT($B$6:B122))</f>
        <v/>
      </c>
      <c r="B122" s="27" t="n"/>
      <c r="C122" s="5">
        <f>IF(B122="","",TEXT(B122,"ddd"))</f>
        <v/>
      </c>
      <c r="D122" s="27" t="n"/>
      <c r="E122" s="28">
        <f>IF(OR(B122="",D122=""),"",MAX(0,NETWORKDAYS(B122,D122)-1))</f>
        <v/>
      </c>
      <c r="F122" s="37" t="n"/>
      <c r="G122" s="36" t="n"/>
      <c r="H122" s="37" t="n"/>
      <c r="I122" s="37" t="n"/>
      <c r="J122" s="37" t="n"/>
      <c r="K122" s="37" t="n"/>
      <c r="L122" s="36" t="n"/>
      <c r="M122" s="36" t="n"/>
      <c r="N122" s="33">
        <f>IF(M122="","",M122*LotSize)</f>
        <v/>
      </c>
      <c r="O122" s="51" t="n"/>
      <c r="P122" s="32" t="n"/>
      <c r="Q122" s="29" t="n"/>
      <c r="R122" s="30">
        <f>IF(OR(G122="",Q122="",H122=""),"",IF(H122="CE",G122-Q122,Q122-G122))</f>
        <v/>
      </c>
      <c r="S122" s="31">
        <f>IF(R122="","",R122/Q122)</f>
        <v/>
      </c>
      <c r="T122" s="38" t="n"/>
      <c r="U122" s="32" t="n"/>
      <c r="V122" s="52" t="n"/>
      <c r="W122" s="37" t="n"/>
      <c r="X122" s="32" t="n"/>
      <c r="Y122" s="32" t="n"/>
      <c r="Z122" s="39">
        <f>IF(OR(X122="",P122="",N122=""),"",ABS(X122-P122)*N122)</f>
        <v/>
      </c>
      <c r="AA122" s="53">
        <f>IF(OR(Z122="",Y122=""),"",IF(Z122=0,"",ABS(P122-Y122)*N122/Z122))</f>
        <v/>
      </c>
      <c r="AB122" s="54">
        <f>IF(Z122="","",Z122/Capital)</f>
        <v/>
      </c>
      <c r="AC122" s="5">
        <f>IF(B122="","",IF(X122="","NO SL",IF(OR(N(M122)&gt;MaxLots,N(AB122)&gt;RiskPct),"OVERSIZED","OK")))</f>
        <v/>
      </c>
      <c r="AD122" s="51" t="n"/>
      <c r="AE122" s="32" t="n"/>
      <c r="AF122" s="37" t="n"/>
      <c r="AG122" s="32" t="n"/>
      <c r="AH122" s="32" t="n"/>
      <c r="AI122" s="39">
        <f>IF(OR(AG122="",P122="",N122=""),"",ABS(AG122-P122)*N122)</f>
        <v/>
      </c>
      <c r="AJ122" s="39">
        <f>IF(OR(AH122="",P122="",N122=""),"",ABS(P122-AH122)*N122)</f>
        <v/>
      </c>
      <c r="AK122" s="39">
        <f>IF(OR(AE122="",P122="",N122=""),"",IF(I122="Buy",AE122-P122,P122-AE122)*N122)</f>
        <v/>
      </c>
      <c r="AL122" s="39">
        <f>IF(OR(AJ122="",AK122=""),"",MAX(0,AJ122-AK122))</f>
        <v/>
      </c>
      <c r="AM122" s="39">
        <f>IF(AK122="","",(P122+AE122)*N122)</f>
        <v/>
      </c>
      <c r="AN122" s="55">
        <f>IF(AK122="","",BrokeragePerOrder*2*MAX(1,N(L122)))</f>
        <v/>
      </c>
      <c r="AO122" s="55">
        <f>IF(AK122="","",STTRate*IF(I122="Buy",AE122,P122)*N122)</f>
        <v/>
      </c>
      <c r="AP122" s="55">
        <f>IF(AK122="","",ExchRate*AM122)</f>
        <v/>
      </c>
      <c r="AQ122" s="55">
        <f>IF(AK122="","",SEBIRate*AM122)</f>
        <v/>
      </c>
      <c r="AR122" s="55">
        <f>IF(AK122="","",StampRate*IF(I122="Buy",P122,AE122)*N122)</f>
        <v/>
      </c>
      <c r="AS122" s="55">
        <f>IF(AK122="","",GSTRate*(AN122+AP122+AQ122))</f>
        <v/>
      </c>
      <c r="AT122" s="55">
        <f>IF(AK122="","",AN122+AO122+AP122+AQ122+AR122+AS122)</f>
        <v/>
      </c>
      <c r="AU122" s="39">
        <f>IF(AK122="","",AK122-AT122)</f>
        <v/>
      </c>
      <c r="AV122" s="56">
        <f>IF(AU122="","",AU122/IF(N(Z122)&gt;0,Z122,RiskPerTrade))</f>
        <v/>
      </c>
      <c r="AW122" s="31">
        <f>IF(AU122="","",AU122/Capital)</f>
        <v/>
      </c>
      <c r="AX122" s="37" t="n"/>
      <c r="AY122" s="37" t="n"/>
      <c r="AZ122" s="37" t="n"/>
      <c r="BA122" s="37" t="n"/>
      <c r="BB122" s="37" t="n"/>
      <c r="BC122" s="37" t="n"/>
      <c r="BD122" s="37" t="n"/>
      <c r="BE122" s="5">
        <f>IF(AU122="","",IF(AU122&gt;0,"Win",IF(AU122&lt;0,"Loss","BE")))</f>
        <v/>
      </c>
      <c r="BF122" s="5">
        <f>IF(O122="","",LOOKUP(O122,List_BucketStart,List_BucketLabel))</f>
        <v/>
      </c>
      <c r="BG122" s="57">
        <f>IF(B122="","",B122-WEEKDAY(B122,3))</f>
        <v/>
      </c>
      <c r="BH122" s="28">
        <f>IF(B122="","",COUNTIF($B$6:B122,B122))</f>
        <v/>
      </c>
      <c r="BI122" s="39">
        <f>IF(B122="","",SUMIFS($AU$6:AU122,$B$6:B122,B122)-N(AU122))</f>
        <v/>
      </c>
      <c r="BJ122" s="5">
        <f>IF(OR(B122="",E122=""),"",IF(AND(E122=0,I122="Sell",MAX(N(O122),N(AD122))&gt;ExpiryCutoff),"BREACH","OK"))</f>
        <v/>
      </c>
      <c r="BK122" s="5">
        <f>IF(B122="","",IF(OR(AC122&lt;&gt;"OK",BJ122="BREACH",BH122&gt;MaxTradesDay,BI122&lt;=-DailyLossLimit,OR(AF122="Panic",AF122="Revenge",AF122="Rule break")),"CHECK","OK"))</f>
        <v/>
      </c>
      <c r="BL122" s="39">
        <f>IF(AU122="","",SUM($AU$6:AU122))</f>
        <v/>
      </c>
      <c r="BM122" s="39">
        <f>IF(BL122="","",Capital+BL122)</f>
        <v/>
      </c>
      <c r="BN122" s="39">
        <f>IF(BM122="","",MAX(Capital,MAX($BM$6:BM122)))</f>
        <v/>
      </c>
      <c r="BO122" s="39">
        <f>IF(BM122="","",BN122-BM122)</f>
        <v/>
      </c>
      <c r="BP122" s="58">
        <f>IF(BO122="","",BO122/BN122)</f>
        <v/>
      </c>
      <c r="BQ122" s="28">
        <f>IF(AU122="","",IF(AU122&lt;0,N(BQ121)+1,0))</f>
        <v/>
      </c>
    </row>
    <row r="123">
      <c r="A123" s="28">
        <f>IF(B123="","",COUNT($B$6:B123))</f>
        <v/>
      </c>
      <c r="B123" s="27" t="n"/>
      <c r="C123" s="5">
        <f>IF(B123="","",TEXT(B123,"ddd"))</f>
        <v/>
      </c>
      <c r="D123" s="27" t="n"/>
      <c r="E123" s="28">
        <f>IF(OR(B123="",D123=""),"",MAX(0,NETWORKDAYS(B123,D123)-1))</f>
        <v/>
      </c>
      <c r="F123" s="37" t="n"/>
      <c r="G123" s="36" t="n"/>
      <c r="H123" s="37" t="n"/>
      <c r="I123" s="37" t="n"/>
      <c r="J123" s="37" t="n"/>
      <c r="K123" s="37" t="n"/>
      <c r="L123" s="36" t="n"/>
      <c r="M123" s="36" t="n"/>
      <c r="N123" s="33">
        <f>IF(M123="","",M123*LotSize)</f>
        <v/>
      </c>
      <c r="O123" s="51" t="n"/>
      <c r="P123" s="32" t="n"/>
      <c r="Q123" s="29" t="n"/>
      <c r="R123" s="30">
        <f>IF(OR(G123="",Q123="",H123=""),"",IF(H123="CE",G123-Q123,Q123-G123))</f>
        <v/>
      </c>
      <c r="S123" s="31">
        <f>IF(R123="","",R123/Q123)</f>
        <v/>
      </c>
      <c r="T123" s="38" t="n"/>
      <c r="U123" s="32" t="n"/>
      <c r="V123" s="52" t="n"/>
      <c r="W123" s="37" t="n"/>
      <c r="X123" s="32" t="n"/>
      <c r="Y123" s="32" t="n"/>
      <c r="Z123" s="39">
        <f>IF(OR(X123="",P123="",N123=""),"",ABS(X123-P123)*N123)</f>
        <v/>
      </c>
      <c r="AA123" s="53">
        <f>IF(OR(Z123="",Y123=""),"",IF(Z123=0,"",ABS(P123-Y123)*N123/Z123))</f>
        <v/>
      </c>
      <c r="AB123" s="54">
        <f>IF(Z123="","",Z123/Capital)</f>
        <v/>
      </c>
      <c r="AC123" s="5">
        <f>IF(B123="","",IF(X123="","NO SL",IF(OR(N(M123)&gt;MaxLots,N(AB123)&gt;RiskPct),"OVERSIZED","OK")))</f>
        <v/>
      </c>
      <c r="AD123" s="51" t="n"/>
      <c r="AE123" s="32" t="n"/>
      <c r="AF123" s="37" t="n"/>
      <c r="AG123" s="32" t="n"/>
      <c r="AH123" s="32" t="n"/>
      <c r="AI123" s="39">
        <f>IF(OR(AG123="",P123="",N123=""),"",ABS(AG123-P123)*N123)</f>
        <v/>
      </c>
      <c r="AJ123" s="39">
        <f>IF(OR(AH123="",P123="",N123=""),"",ABS(P123-AH123)*N123)</f>
        <v/>
      </c>
      <c r="AK123" s="39">
        <f>IF(OR(AE123="",P123="",N123=""),"",IF(I123="Buy",AE123-P123,P123-AE123)*N123)</f>
        <v/>
      </c>
      <c r="AL123" s="39">
        <f>IF(OR(AJ123="",AK123=""),"",MAX(0,AJ123-AK123))</f>
        <v/>
      </c>
      <c r="AM123" s="39">
        <f>IF(AK123="","",(P123+AE123)*N123)</f>
        <v/>
      </c>
      <c r="AN123" s="55">
        <f>IF(AK123="","",BrokeragePerOrder*2*MAX(1,N(L123)))</f>
        <v/>
      </c>
      <c r="AO123" s="55">
        <f>IF(AK123="","",STTRate*IF(I123="Buy",AE123,P123)*N123)</f>
        <v/>
      </c>
      <c r="AP123" s="55">
        <f>IF(AK123="","",ExchRate*AM123)</f>
        <v/>
      </c>
      <c r="AQ123" s="55">
        <f>IF(AK123="","",SEBIRate*AM123)</f>
        <v/>
      </c>
      <c r="AR123" s="55">
        <f>IF(AK123="","",StampRate*IF(I123="Buy",P123,AE123)*N123)</f>
        <v/>
      </c>
      <c r="AS123" s="55">
        <f>IF(AK123="","",GSTRate*(AN123+AP123+AQ123))</f>
        <v/>
      </c>
      <c r="AT123" s="55">
        <f>IF(AK123="","",AN123+AO123+AP123+AQ123+AR123+AS123)</f>
        <v/>
      </c>
      <c r="AU123" s="39">
        <f>IF(AK123="","",AK123-AT123)</f>
        <v/>
      </c>
      <c r="AV123" s="56">
        <f>IF(AU123="","",AU123/IF(N(Z123)&gt;0,Z123,RiskPerTrade))</f>
        <v/>
      </c>
      <c r="AW123" s="31">
        <f>IF(AU123="","",AU123/Capital)</f>
        <v/>
      </c>
      <c r="AX123" s="37" t="n"/>
      <c r="AY123" s="37" t="n"/>
      <c r="AZ123" s="37" t="n"/>
      <c r="BA123" s="37" t="n"/>
      <c r="BB123" s="37" t="n"/>
      <c r="BC123" s="37" t="n"/>
      <c r="BD123" s="37" t="n"/>
      <c r="BE123" s="5">
        <f>IF(AU123="","",IF(AU123&gt;0,"Win",IF(AU123&lt;0,"Loss","BE")))</f>
        <v/>
      </c>
      <c r="BF123" s="5">
        <f>IF(O123="","",LOOKUP(O123,List_BucketStart,List_BucketLabel))</f>
        <v/>
      </c>
      <c r="BG123" s="57">
        <f>IF(B123="","",B123-WEEKDAY(B123,3))</f>
        <v/>
      </c>
      <c r="BH123" s="28">
        <f>IF(B123="","",COUNTIF($B$6:B123,B123))</f>
        <v/>
      </c>
      <c r="BI123" s="39">
        <f>IF(B123="","",SUMIFS($AU$6:AU123,$B$6:B123,B123)-N(AU123))</f>
        <v/>
      </c>
      <c r="BJ123" s="5">
        <f>IF(OR(B123="",E123=""),"",IF(AND(E123=0,I123="Sell",MAX(N(O123),N(AD123))&gt;ExpiryCutoff),"BREACH","OK"))</f>
        <v/>
      </c>
      <c r="BK123" s="5">
        <f>IF(B123="","",IF(OR(AC123&lt;&gt;"OK",BJ123="BREACH",BH123&gt;MaxTradesDay,BI123&lt;=-DailyLossLimit,OR(AF123="Panic",AF123="Revenge",AF123="Rule break")),"CHECK","OK"))</f>
        <v/>
      </c>
      <c r="BL123" s="39">
        <f>IF(AU123="","",SUM($AU$6:AU123))</f>
        <v/>
      </c>
      <c r="BM123" s="39">
        <f>IF(BL123="","",Capital+BL123)</f>
        <v/>
      </c>
      <c r="BN123" s="39">
        <f>IF(BM123="","",MAX(Capital,MAX($BM$6:BM123)))</f>
        <v/>
      </c>
      <c r="BO123" s="39">
        <f>IF(BM123="","",BN123-BM123)</f>
        <v/>
      </c>
      <c r="BP123" s="58">
        <f>IF(BO123="","",BO123/BN123)</f>
        <v/>
      </c>
      <c r="BQ123" s="28">
        <f>IF(AU123="","",IF(AU123&lt;0,N(BQ122)+1,0))</f>
        <v/>
      </c>
    </row>
    <row r="124">
      <c r="A124" s="28">
        <f>IF(B124="","",COUNT($B$6:B124))</f>
        <v/>
      </c>
      <c r="B124" s="27" t="n"/>
      <c r="C124" s="5">
        <f>IF(B124="","",TEXT(B124,"ddd"))</f>
        <v/>
      </c>
      <c r="D124" s="27" t="n"/>
      <c r="E124" s="28">
        <f>IF(OR(B124="",D124=""),"",MAX(0,NETWORKDAYS(B124,D124)-1))</f>
        <v/>
      </c>
      <c r="F124" s="37" t="n"/>
      <c r="G124" s="36" t="n"/>
      <c r="H124" s="37" t="n"/>
      <c r="I124" s="37" t="n"/>
      <c r="J124" s="37" t="n"/>
      <c r="K124" s="37" t="n"/>
      <c r="L124" s="36" t="n"/>
      <c r="M124" s="36" t="n"/>
      <c r="N124" s="33">
        <f>IF(M124="","",M124*LotSize)</f>
        <v/>
      </c>
      <c r="O124" s="51" t="n"/>
      <c r="P124" s="32" t="n"/>
      <c r="Q124" s="29" t="n"/>
      <c r="R124" s="30">
        <f>IF(OR(G124="",Q124="",H124=""),"",IF(H124="CE",G124-Q124,Q124-G124))</f>
        <v/>
      </c>
      <c r="S124" s="31">
        <f>IF(R124="","",R124/Q124)</f>
        <v/>
      </c>
      <c r="T124" s="38" t="n"/>
      <c r="U124" s="32" t="n"/>
      <c r="V124" s="52" t="n"/>
      <c r="W124" s="37" t="n"/>
      <c r="X124" s="32" t="n"/>
      <c r="Y124" s="32" t="n"/>
      <c r="Z124" s="39">
        <f>IF(OR(X124="",P124="",N124=""),"",ABS(X124-P124)*N124)</f>
        <v/>
      </c>
      <c r="AA124" s="53">
        <f>IF(OR(Z124="",Y124=""),"",IF(Z124=0,"",ABS(P124-Y124)*N124/Z124))</f>
        <v/>
      </c>
      <c r="AB124" s="54">
        <f>IF(Z124="","",Z124/Capital)</f>
        <v/>
      </c>
      <c r="AC124" s="5">
        <f>IF(B124="","",IF(X124="","NO SL",IF(OR(N(M124)&gt;MaxLots,N(AB124)&gt;RiskPct),"OVERSIZED","OK")))</f>
        <v/>
      </c>
      <c r="AD124" s="51" t="n"/>
      <c r="AE124" s="32" t="n"/>
      <c r="AF124" s="37" t="n"/>
      <c r="AG124" s="32" t="n"/>
      <c r="AH124" s="32" t="n"/>
      <c r="AI124" s="39">
        <f>IF(OR(AG124="",P124="",N124=""),"",ABS(AG124-P124)*N124)</f>
        <v/>
      </c>
      <c r="AJ124" s="39">
        <f>IF(OR(AH124="",P124="",N124=""),"",ABS(P124-AH124)*N124)</f>
        <v/>
      </c>
      <c r="AK124" s="39">
        <f>IF(OR(AE124="",P124="",N124=""),"",IF(I124="Buy",AE124-P124,P124-AE124)*N124)</f>
        <v/>
      </c>
      <c r="AL124" s="39">
        <f>IF(OR(AJ124="",AK124=""),"",MAX(0,AJ124-AK124))</f>
        <v/>
      </c>
      <c r="AM124" s="39">
        <f>IF(AK124="","",(P124+AE124)*N124)</f>
        <v/>
      </c>
      <c r="AN124" s="55">
        <f>IF(AK124="","",BrokeragePerOrder*2*MAX(1,N(L124)))</f>
        <v/>
      </c>
      <c r="AO124" s="55">
        <f>IF(AK124="","",STTRate*IF(I124="Buy",AE124,P124)*N124)</f>
        <v/>
      </c>
      <c r="AP124" s="55">
        <f>IF(AK124="","",ExchRate*AM124)</f>
        <v/>
      </c>
      <c r="AQ124" s="55">
        <f>IF(AK124="","",SEBIRate*AM124)</f>
        <v/>
      </c>
      <c r="AR124" s="55">
        <f>IF(AK124="","",StampRate*IF(I124="Buy",P124,AE124)*N124)</f>
        <v/>
      </c>
      <c r="AS124" s="55">
        <f>IF(AK124="","",GSTRate*(AN124+AP124+AQ124))</f>
        <v/>
      </c>
      <c r="AT124" s="55">
        <f>IF(AK124="","",AN124+AO124+AP124+AQ124+AR124+AS124)</f>
        <v/>
      </c>
      <c r="AU124" s="39">
        <f>IF(AK124="","",AK124-AT124)</f>
        <v/>
      </c>
      <c r="AV124" s="56">
        <f>IF(AU124="","",AU124/IF(N(Z124)&gt;0,Z124,RiskPerTrade))</f>
        <v/>
      </c>
      <c r="AW124" s="31">
        <f>IF(AU124="","",AU124/Capital)</f>
        <v/>
      </c>
      <c r="AX124" s="37" t="n"/>
      <c r="AY124" s="37" t="n"/>
      <c r="AZ124" s="37" t="n"/>
      <c r="BA124" s="37" t="n"/>
      <c r="BB124" s="37" t="n"/>
      <c r="BC124" s="37" t="n"/>
      <c r="BD124" s="37" t="n"/>
      <c r="BE124" s="5">
        <f>IF(AU124="","",IF(AU124&gt;0,"Win",IF(AU124&lt;0,"Loss","BE")))</f>
        <v/>
      </c>
      <c r="BF124" s="5">
        <f>IF(O124="","",LOOKUP(O124,List_BucketStart,List_BucketLabel))</f>
        <v/>
      </c>
      <c r="BG124" s="57">
        <f>IF(B124="","",B124-WEEKDAY(B124,3))</f>
        <v/>
      </c>
      <c r="BH124" s="28">
        <f>IF(B124="","",COUNTIF($B$6:B124,B124))</f>
        <v/>
      </c>
      <c r="BI124" s="39">
        <f>IF(B124="","",SUMIFS($AU$6:AU124,$B$6:B124,B124)-N(AU124))</f>
        <v/>
      </c>
      <c r="BJ124" s="5">
        <f>IF(OR(B124="",E124=""),"",IF(AND(E124=0,I124="Sell",MAX(N(O124),N(AD124))&gt;ExpiryCutoff),"BREACH","OK"))</f>
        <v/>
      </c>
      <c r="BK124" s="5">
        <f>IF(B124="","",IF(OR(AC124&lt;&gt;"OK",BJ124="BREACH",BH124&gt;MaxTradesDay,BI124&lt;=-DailyLossLimit,OR(AF124="Panic",AF124="Revenge",AF124="Rule break")),"CHECK","OK"))</f>
        <v/>
      </c>
      <c r="BL124" s="39">
        <f>IF(AU124="","",SUM($AU$6:AU124))</f>
        <v/>
      </c>
      <c r="BM124" s="39">
        <f>IF(BL124="","",Capital+BL124)</f>
        <v/>
      </c>
      <c r="BN124" s="39">
        <f>IF(BM124="","",MAX(Capital,MAX($BM$6:BM124)))</f>
        <v/>
      </c>
      <c r="BO124" s="39">
        <f>IF(BM124="","",BN124-BM124)</f>
        <v/>
      </c>
      <c r="BP124" s="58">
        <f>IF(BO124="","",BO124/BN124)</f>
        <v/>
      </c>
      <c r="BQ124" s="28">
        <f>IF(AU124="","",IF(AU124&lt;0,N(BQ123)+1,0))</f>
        <v/>
      </c>
    </row>
    <row r="125">
      <c r="A125" s="28">
        <f>IF(B125="","",COUNT($B$6:B125))</f>
        <v/>
      </c>
      <c r="B125" s="27" t="n"/>
      <c r="C125" s="5">
        <f>IF(B125="","",TEXT(B125,"ddd"))</f>
        <v/>
      </c>
      <c r="D125" s="27" t="n"/>
      <c r="E125" s="28">
        <f>IF(OR(B125="",D125=""),"",MAX(0,NETWORKDAYS(B125,D125)-1))</f>
        <v/>
      </c>
      <c r="F125" s="37" t="n"/>
      <c r="G125" s="36" t="n"/>
      <c r="H125" s="37" t="n"/>
      <c r="I125" s="37" t="n"/>
      <c r="J125" s="37" t="n"/>
      <c r="K125" s="37" t="n"/>
      <c r="L125" s="36" t="n"/>
      <c r="M125" s="36" t="n"/>
      <c r="N125" s="33">
        <f>IF(M125="","",M125*LotSize)</f>
        <v/>
      </c>
      <c r="O125" s="51" t="n"/>
      <c r="P125" s="32" t="n"/>
      <c r="Q125" s="29" t="n"/>
      <c r="R125" s="30">
        <f>IF(OR(G125="",Q125="",H125=""),"",IF(H125="CE",G125-Q125,Q125-G125))</f>
        <v/>
      </c>
      <c r="S125" s="31">
        <f>IF(R125="","",R125/Q125)</f>
        <v/>
      </c>
      <c r="T125" s="38" t="n"/>
      <c r="U125" s="32" t="n"/>
      <c r="V125" s="52" t="n"/>
      <c r="W125" s="37" t="n"/>
      <c r="X125" s="32" t="n"/>
      <c r="Y125" s="32" t="n"/>
      <c r="Z125" s="39">
        <f>IF(OR(X125="",P125="",N125=""),"",ABS(X125-P125)*N125)</f>
        <v/>
      </c>
      <c r="AA125" s="53">
        <f>IF(OR(Z125="",Y125=""),"",IF(Z125=0,"",ABS(P125-Y125)*N125/Z125))</f>
        <v/>
      </c>
      <c r="AB125" s="54">
        <f>IF(Z125="","",Z125/Capital)</f>
        <v/>
      </c>
      <c r="AC125" s="5">
        <f>IF(B125="","",IF(X125="","NO SL",IF(OR(N(M125)&gt;MaxLots,N(AB125)&gt;RiskPct),"OVERSIZED","OK")))</f>
        <v/>
      </c>
      <c r="AD125" s="51" t="n"/>
      <c r="AE125" s="32" t="n"/>
      <c r="AF125" s="37" t="n"/>
      <c r="AG125" s="32" t="n"/>
      <c r="AH125" s="32" t="n"/>
      <c r="AI125" s="39">
        <f>IF(OR(AG125="",P125="",N125=""),"",ABS(AG125-P125)*N125)</f>
        <v/>
      </c>
      <c r="AJ125" s="39">
        <f>IF(OR(AH125="",P125="",N125=""),"",ABS(P125-AH125)*N125)</f>
        <v/>
      </c>
      <c r="AK125" s="39">
        <f>IF(OR(AE125="",P125="",N125=""),"",IF(I125="Buy",AE125-P125,P125-AE125)*N125)</f>
        <v/>
      </c>
      <c r="AL125" s="39">
        <f>IF(OR(AJ125="",AK125=""),"",MAX(0,AJ125-AK125))</f>
        <v/>
      </c>
      <c r="AM125" s="39">
        <f>IF(AK125="","",(P125+AE125)*N125)</f>
        <v/>
      </c>
      <c r="AN125" s="55">
        <f>IF(AK125="","",BrokeragePerOrder*2*MAX(1,N(L125)))</f>
        <v/>
      </c>
      <c r="AO125" s="55">
        <f>IF(AK125="","",STTRate*IF(I125="Buy",AE125,P125)*N125)</f>
        <v/>
      </c>
      <c r="AP125" s="55">
        <f>IF(AK125="","",ExchRate*AM125)</f>
        <v/>
      </c>
      <c r="AQ125" s="55">
        <f>IF(AK125="","",SEBIRate*AM125)</f>
        <v/>
      </c>
      <c r="AR125" s="55">
        <f>IF(AK125="","",StampRate*IF(I125="Buy",P125,AE125)*N125)</f>
        <v/>
      </c>
      <c r="AS125" s="55">
        <f>IF(AK125="","",GSTRate*(AN125+AP125+AQ125))</f>
        <v/>
      </c>
      <c r="AT125" s="55">
        <f>IF(AK125="","",AN125+AO125+AP125+AQ125+AR125+AS125)</f>
        <v/>
      </c>
      <c r="AU125" s="39">
        <f>IF(AK125="","",AK125-AT125)</f>
        <v/>
      </c>
      <c r="AV125" s="56">
        <f>IF(AU125="","",AU125/IF(N(Z125)&gt;0,Z125,RiskPerTrade))</f>
        <v/>
      </c>
      <c r="AW125" s="31">
        <f>IF(AU125="","",AU125/Capital)</f>
        <v/>
      </c>
      <c r="AX125" s="37" t="n"/>
      <c r="AY125" s="37" t="n"/>
      <c r="AZ125" s="37" t="n"/>
      <c r="BA125" s="37" t="n"/>
      <c r="BB125" s="37" t="n"/>
      <c r="BC125" s="37" t="n"/>
      <c r="BD125" s="37" t="n"/>
      <c r="BE125" s="5">
        <f>IF(AU125="","",IF(AU125&gt;0,"Win",IF(AU125&lt;0,"Loss","BE")))</f>
        <v/>
      </c>
      <c r="BF125" s="5">
        <f>IF(O125="","",LOOKUP(O125,List_BucketStart,List_BucketLabel))</f>
        <v/>
      </c>
      <c r="BG125" s="57">
        <f>IF(B125="","",B125-WEEKDAY(B125,3))</f>
        <v/>
      </c>
      <c r="BH125" s="28">
        <f>IF(B125="","",COUNTIF($B$6:B125,B125))</f>
        <v/>
      </c>
      <c r="BI125" s="39">
        <f>IF(B125="","",SUMIFS($AU$6:AU125,$B$6:B125,B125)-N(AU125))</f>
        <v/>
      </c>
      <c r="BJ125" s="5">
        <f>IF(OR(B125="",E125=""),"",IF(AND(E125=0,I125="Sell",MAX(N(O125),N(AD125))&gt;ExpiryCutoff),"BREACH","OK"))</f>
        <v/>
      </c>
      <c r="BK125" s="5">
        <f>IF(B125="","",IF(OR(AC125&lt;&gt;"OK",BJ125="BREACH",BH125&gt;MaxTradesDay,BI125&lt;=-DailyLossLimit,OR(AF125="Panic",AF125="Revenge",AF125="Rule break")),"CHECK","OK"))</f>
        <v/>
      </c>
      <c r="BL125" s="39">
        <f>IF(AU125="","",SUM($AU$6:AU125))</f>
        <v/>
      </c>
      <c r="BM125" s="39">
        <f>IF(BL125="","",Capital+BL125)</f>
        <v/>
      </c>
      <c r="BN125" s="39">
        <f>IF(BM125="","",MAX(Capital,MAX($BM$6:BM125)))</f>
        <v/>
      </c>
      <c r="BO125" s="39">
        <f>IF(BM125="","",BN125-BM125)</f>
        <v/>
      </c>
      <c r="BP125" s="58">
        <f>IF(BO125="","",BO125/BN125)</f>
        <v/>
      </c>
      <c r="BQ125" s="28">
        <f>IF(AU125="","",IF(AU125&lt;0,N(BQ124)+1,0))</f>
        <v/>
      </c>
    </row>
    <row r="126">
      <c r="A126" s="28">
        <f>IF(B126="","",COUNT($B$6:B126))</f>
        <v/>
      </c>
      <c r="B126" s="27" t="n"/>
      <c r="C126" s="5">
        <f>IF(B126="","",TEXT(B126,"ddd"))</f>
        <v/>
      </c>
      <c r="D126" s="27" t="n"/>
      <c r="E126" s="28">
        <f>IF(OR(B126="",D126=""),"",MAX(0,NETWORKDAYS(B126,D126)-1))</f>
        <v/>
      </c>
      <c r="F126" s="37" t="n"/>
      <c r="G126" s="36" t="n"/>
      <c r="H126" s="37" t="n"/>
      <c r="I126" s="37" t="n"/>
      <c r="J126" s="37" t="n"/>
      <c r="K126" s="37" t="n"/>
      <c r="L126" s="36" t="n"/>
      <c r="M126" s="36" t="n"/>
      <c r="N126" s="33">
        <f>IF(M126="","",M126*LotSize)</f>
        <v/>
      </c>
      <c r="O126" s="51" t="n"/>
      <c r="P126" s="32" t="n"/>
      <c r="Q126" s="29" t="n"/>
      <c r="R126" s="30">
        <f>IF(OR(G126="",Q126="",H126=""),"",IF(H126="CE",G126-Q126,Q126-G126))</f>
        <v/>
      </c>
      <c r="S126" s="31">
        <f>IF(R126="","",R126/Q126)</f>
        <v/>
      </c>
      <c r="T126" s="38" t="n"/>
      <c r="U126" s="32" t="n"/>
      <c r="V126" s="52" t="n"/>
      <c r="W126" s="37" t="n"/>
      <c r="X126" s="32" t="n"/>
      <c r="Y126" s="32" t="n"/>
      <c r="Z126" s="39">
        <f>IF(OR(X126="",P126="",N126=""),"",ABS(X126-P126)*N126)</f>
        <v/>
      </c>
      <c r="AA126" s="53">
        <f>IF(OR(Z126="",Y126=""),"",IF(Z126=0,"",ABS(P126-Y126)*N126/Z126))</f>
        <v/>
      </c>
      <c r="AB126" s="54">
        <f>IF(Z126="","",Z126/Capital)</f>
        <v/>
      </c>
      <c r="AC126" s="5">
        <f>IF(B126="","",IF(X126="","NO SL",IF(OR(N(M126)&gt;MaxLots,N(AB126)&gt;RiskPct),"OVERSIZED","OK")))</f>
        <v/>
      </c>
      <c r="AD126" s="51" t="n"/>
      <c r="AE126" s="32" t="n"/>
      <c r="AF126" s="37" t="n"/>
      <c r="AG126" s="32" t="n"/>
      <c r="AH126" s="32" t="n"/>
      <c r="AI126" s="39">
        <f>IF(OR(AG126="",P126="",N126=""),"",ABS(AG126-P126)*N126)</f>
        <v/>
      </c>
      <c r="AJ126" s="39">
        <f>IF(OR(AH126="",P126="",N126=""),"",ABS(P126-AH126)*N126)</f>
        <v/>
      </c>
      <c r="AK126" s="39">
        <f>IF(OR(AE126="",P126="",N126=""),"",IF(I126="Buy",AE126-P126,P126-AE126)*N126)</f>
        <v/>
      </c>
      <c r="AL126" s="39">
        <f>IF(OR(AJ126="",AK126=""),"",MAX(0,AJ126-AK126))</f>
        <v/>
      </c>
      <c r="AM126" s="39">
        <f>IF(AK126="","",(P126+AE126)*N126)</f>
        <v/>
      </c>
      <c r="AN126" s="55">
        <f>IF(AK126="","",BrokeragePerOrder*2*MAX(1,N(L126)))</f>
        <v/>
      </c>
      <c r="AO126" s="55">
        <f>IF(AK126="","",STTRate*IF(I126="Buy",AE126,P126)*N126)</f>
        <v/>
      </c>
      <c r="AP126" s="55">
        <f>IF(AK126="","",ExchRate*AM126)</f>
        <v/>
      </c>
      <c r="AQ126" s="55">
        <f>IF(AK126="","",SEBIRate*AM126)</f>
        <v/>
      </c>
      <c r="AR126" s="55">
        <f>IF(AK126="","",StampRate*IF(I126="Buy",P126,AE126)*N126)</f>
        <v/>
      </c>
      <c r="AS126" s="55">
        <f>IF(AK126="","",GSTRate*(AN126+AP126+AQ126))</f>
        <v/>
      </c>
      <c r="AT126" s="55">
        <f>IF(AK126="","",AN126+AO126+AP126+AQ126+AR126+AS126)</f>
        <v/>
      </c>
      <c r="AU126" s="39">
        <f>IF(AK126="","",AK126-AT126)</f>
        <v/>
      </c>
      <c r="AV126" s="56">
        <f>IF(AU126="","",AU126/IF(N(Z126)&gt;0,Z126,RiskPerTrade))</f>
        <v/>
      </c>
      <c r="AW126" s="31">
        <f>IF(AU126="","",AU126/Capital)</f>
        <v/>
      </c>
      <c r="AX126" s="37" t="n"/>
      <c r="AY126" s="37" t="n"/>
      <c r="AZ126" s="37" t="n"/>
      <c r="BA126" s="37" t="n"/>
      <c r="BB126" s="37" t="n"/>
      <c r="BC126" s="37" t="n"/>
      <c r="BD126" s="37" t="n"/>
      <c r="BE126" s="5">
        <f>IF(AU126="","",IF(AU126&gt;0,"Win",IF(AU126&lt;0,"Loss","BE")))</f>
        <v/>
      </c>
      <c r="BF126" s="5">
        <f>IF(O126="","",LOOKUP(O126,List_BucketStart,List_BucketLabel))</f>
        <v/>
      </c>
      <c r="BG126" s="57">
        <f>IF(B126="","",B126-WEEKDAY(B126,3))</f>
        <v/>
      </c>
      <c r="BH126" s="28">
        <f>IF(B126="","",COUNTIF($B$6:B126,B126))</f>
        <v/>
      </c>
      <c r="BI126" s="39">
        <f>IF(B126="","",SUMIFS($AU$6:AU126,$B$6:B126,B126)-N(AU126))</f>
        <v/>
      </c>
      <c r="BJ126" s="5">
        <f>IF(OR(B126="",E126=""),"",IF(AND(E126=0,I126="Sell",MAX(N(O126),N(AD126))&gt;ExpiryCutoff),"BREACH","OK"))</f>
        <v/>
      </c>
      <c r="BK126" s="5">
        <f>IF(B126="","",IF(OR(AC126&lt;&gt;"OK",BJ126="BREACH",BH126&gt;MaxTradesDay,BI126&lt;=-DailyLossLimit,OR(AF126="Panic",AF126="Revenge",AF126="Rule break")),"CHECK","OK"))</f>
        <v/>
      </c>
      <c r="BL126" s="39">
        <f>IF(AU126="","",SUM($AU$6:AU126))</f>
        <v/>
      </c>
      <c r="BM126" s="39">
        <f>IF(BL126="","",Capital+BL126)</f>
        <v/>
      </c>
      <c r="BN126" s="39">
        <f>IF(BM126="","",MAX(Capital,MAX($BM$6:BM126)))</f>
        <v/>
      </c>
      <c r="BO126" s="39">
        <f>IF(BM126="","",BN126-BM126)</f>
        <v/>
      </c>
      <c r="BP126" s="58">
        <f>IF(BO126="","",BO126/BN126)</f>
        <v/>
      </c>
      <c r="BQ126" s="28">
        <f>IF(AU126="","",IF(AU126&lt;0,N(BQ125)+1,0))</f>
        <v/>
      </c>
    </row>
    <row r="127">
      <c r="A127" s="28">
        <f>IF(B127="","",COUNT($B$6:B127))</f>
        <v/>
      </c>
      <c r="B127" s="27" t="n"/>
      <c r="C127" s="5">
        <f>IF(B127="","",TEXT(B127,"ddd"))</f>
        <v/>
      </c>
      <c r="D127" s="27" t="n"/>
      <c r="E127" s="28">
        <f>IF(OR(B127="",D127=""),"",MAX(0,NETWORKDAYS(B127,D127)-1))</f>
        <v/>
      </c>
      <c r="F127" s="37" t="n"/>
      <c r="G127" s="36" t="n"/>
      <c r="H127" s="37" t="n"/>
      <c r="I127" s="37" t="n"/>
      <c r="J127" s="37" t="n"/>
      <c r="K127" s="37" t="n"/>
      <c r="L127" s="36" t="n"/>
      <c r="M127" s="36" t="n"/>
      <c r="N127" s="33">
        <f>IF(M127="","",M127*LotSize)</f>
        <v/>
      </c>
      <c r="O127" s="51" t="n"/>
      <c r="P127" s="32" t="n"/>
      <c r="Q127" s="29" t="n"/>
      <c r="R127" s="30">
        <f>IF(OR(G127="",Q127="",H127=""),"",IF(H127="CE",G127-Q127,Q127-G127))</f>
        <v/>
      </c>
      <c r="S127" s="31">
        <f>IF(R127="","",R127/Q127)</f>
        <v/>
      </c>
      <c r="T127" s="38" t="n"/>
      <c r="U127" s="32" t="n"/>
      <c r="V127" s="52" t="n"/>
      <c r="W127" s="37" t="n"/>
      <c r="X127" s="32" t="n"/>
      <c r="Y127" s="32" t="n"/>
      <c r="Z127" s="39">
        <f>IF(OR(X127="",P127="",N127=""),"",ABS(X127-P127)*N127)</f>
        <v/>
      </c>
      <c r="AA127" s="53">
        <f>IF(OR(Z127="",Y127=""),"",IF(Z127=0,"",ABS(P127-Y127)*N127/Z127))</f>
        <v/>
      </c>
      <c r="AB127" s="54">
        <f>IF(Z127="","",Z127/Capital)</f>
        <v/>
      </c>
      <c r="AC127" s="5">
        <f>IF(B127="","",IF(X127="","NO SL",IF(OR(N(M127)&gt;MaxLots,N(AB127)&gt;RiskPct),"OVERSIZED","OK")))</f>
        <v/>
      </c>
      <c r="AD127" s="51" t="n"/>
      <c r="AE127" s="32" t="n"/>
      <c r="AF127" s="37" t="n"/>
      <c r="AG127" s="32" t="n"/>
      <c r="AH127" s="32" t="n"/>
      <c r="AI127" s="39">
        <f>IF(OR(AG127="",P127="",N127=""),"",ABS(AG127-P127)*N127)</f>
        <v/>
      </c>
      <c r="AJ127" s="39">
        <f>IF(OR(AH127="",P127="",N127=""),"",ABS(P127-AH127)*N127)</f>
        <v/>
      </c>
      <c r="AK127" s="39">
        <f>IF(OR(AE127="",P127="",N127=""),"",IF(I127="Buy",AE127-P127,P127-AE127)*N127)</f>
        <v/>
      </c>
      <c r="AL127" s="39">
        <f>IF(OR(AJ127="",AK127=""),"",MAX(0,AJ127-AK127))</f>
        <v/>
      </c>
      <c r="AM127" s="39">
        <f>IF(AK127="","",(P127+AE127)*N127)</f>
        <v/>
      </c>
      <c r="AN127" s="55">
        <f>IF(AK127="","",BrokeragePerOrder*2*MAX(1,N(L127)))</f>
        <v/>
      </c>
      <c r="AO127" s="55">
        <f>IF(AK127="","",STTRate*IF(I127="Buy",AE127,P127)*N127)</f>
        <v/>
      </c>
      <c r="AP127" s="55">
        <f>IF(AK127="","",ExchRate*AM127)</f>
        <v/>
      </c>
      <c r="AQ127" s="55">
        <f>IF(AK127="","",SEBIRate*AM127)</f>
        <v/>
      </c>
      <c r="AR127" s="55">
        <f>IF(AK127="","",StampRate*IF(I127="Buy",P127,AE127)*N127)</f>
        <v/>
      </c>
      <c r="AS127" s="55">
        <f>IF(AK127="","",GSTRate*(AN127+AP127+AQ127))</f>
        <v/>
      </c>
      <c r="AT127" s="55">
        <f>IF(AK127="","",AN127+AO127+AP127+AQ127+AR127+AS127)</f>
        <v/>
      </c>
      <c r="AU127" s="39">
        <f>IF(AK127="","",AK127-AT127)</f>
        <v/>
      </c>
      <c r="AV127" s="56">
        <f>IF(AU127="","",AU127/IF(N(Z127)&gt;0,Z127,RiskPerTrade))</f>
        <v/>
      </c>
      <c r="AW127" s="31">
        <f>IF(AU127="","",AU127/Capital)</f>
        <v/>
      </c>
      <c r="AX127" s="37" t="n"/>
      <c r="AY127" s="37" t="n"/>
      <c r="AZ127" s="37" t="n"/>
      <c r="BA127" s="37" t="n"/>
      <c r="BB127" s="37" t="n"/>
      <c r="BC127" s="37" t="n"/>
      <c r="BD127" s="37" t="n"/>
      <c r="BE127" s="5">
        <f>IF(AU127="","",IF(AU127&gt;0,"Win",IF(AU127&lt;0,"Loss","BE")))</f>
        <v/>
      </c>
      <c r="BF127" s="5">
        <f>IF(O127="","",LOOKUP(O127,List_BucketStart,List_BucketLabel))</f>
        <v/>
      </c>
      <c r="BG127" s="57">
        <f>IF(B127="","",B127-WEEKDAY(B127,3))</f>
        <v/>
      </c>
      <c r="BH127" s="28">
        <f>IF(B127="","",COUNTIF($B$6:B127,B127))</f>
        <v/>
      </c>
      <c r="BI127" s="39">
        <f>IF(B127="","",SUMIFS($AU$6:AU127,$B$6:B127,B127)-N(AU127))</f>
        <v/>
      </c>
      <c r="BJ127" s="5">
        <f>IF(OR(B127="",E127=""),"",IF(AND(E127=0,I127="Sell",MAX(N(O127),N(AD127))&gt;ExpiryCutoff),"BREACH","OK"))</f>
        <v/>
      </c>
      <c r="BK127" s="5">
        <f>IF(B127="","",IF(OR(AC127&lt;&gt;"OK",BJ127="BREACH",BH127&gt;MaxTradesDay,BI127&lt;=-DailyLossLimit,OR(AF127="Panic",AF127="Revenge",AF127="Rule break")),"CHECK","OK"))</f>
        <v/>
      </c>
      <c r="BL127" s="39">
        <f>IF(AU127="","",SUM($AU$6:AU127))</f>
        <v/>
      </c>
      <c r="BM127" s="39">
        <f>IF(BL127="","",Capital+BL127)</f>
        <v/>
      </c>
      <c r="BN127" s="39">
        <f>IF(BM127="","",MAX(Capital,MAX($BM$6:BM127)))</f>
        <v/>
      </c>
      <c r="BO127" s="39">
        <f>IF(BM127="","",BN127-BM127)</f>
        <v/>
      </c>
      <c r="BP127" s="58">
        <f>IF(BO127="","",BO127/BN127)</f>
        <v/>
      </c>
      <c r="BQ127" s="28">
        <f>IF(AU127="","",IF(AU127&lt;0,N(BQ126)+1,0))</f>
        <v/>
      </c>
    </row>
    <row r="128">
      <c r="A128" s="28">
        <f>IF(B128="","",COUNT($B$6:B128))</f>
        <v/>
      </c>
      <c r="B128" s="27" t="n"/>
      <c r="C128" s="5">
        <f>IF(B128="","",TEXT(B128,"ddd"))</f>
        <v/>
      </c>
      <c r="D128" s="27" t="n"/>
      <c r="E128" s="28">
        <f>IF(OR(B128="",D128=""),"",MAX(0,NETWORKDAYS(B128,D128)-1))</f>
        <v/>
      </c>
      <c r="F128" s="37" t="n"/>
      <c r="G128" s="36" t="n"/>
      <c r="H128" s="37" t="n"/>
      <c r="I128" s="37" t="n"/>
      <c r="J128" s="37" t="n"/>
      <c r="K128" s="37" t="n"/>
      <c r="L128" s="36" t="n"/>
      <c r="M128" s="36" t="n"/>
      <c r="N128" s="33">
        <f>IF(M128="","",M128*LotSize)</f>
        <v/>
      </c>
      <c r="O128" s="51" t="n"/>
      <c r="P128" s="32" t="n"/>
      <c r="Q128" s="29" t="n"/>
      <c r="R128" s="30">
        <f>IF(OR(G128="",Q128="",H128=""),"",IF(H128="CE",G128-Q128,Q128-G128))</f>
        <v/>
      </c>
      <c r="S128" s="31">
        <f>IF(R128="","",R128/Q128)</f>
        <v/>
      </c>
      <c r="T128" s="38" t="n"/>
      <c r="U128" s="32" t="n"/>
      <c r="V128" s="52" t="n"/>
      <c r="W128" s="37" t="n"/>
      <c r="X128" s="32" t="n"/>
      <c r="Y128" s="32" t="n"/>
      <c r="Z128" s="39">
        <f>IF(OR(X128="",P128="",N128=""),"",ABS(X128-P128)*N128)</f>
        <v/>
      </c>
      <c r="AA128" s="53">
        <f>IF(OR(Z128="",Y128=""),"",IF(Z128=0,"",ABS(P128-Y128)*N128/Z128))</f>
        <v/>
      </c>
      <c r="AB128" s="54">
        <f>IF(Z128="","",Z128/Capital)</f>
        <v/>
      </c>
      <c r="AC128" s="5">
        <f>IF(B128="","",IF(X128="","NO SL",IF(OR(N(M128)&gt;MaxLots,N(AB128)&gt;RiskPct),"OVERSIZED","OK")))</f>
        <v/>
      </c>
      <c r="AD128" s="51" t="n"/>
      <c r="AE128" s="32" t="n"/>
      <c r="AF128" s="37" t="n"/>
      <c r="AG128" s="32" t="n"/>
      <c r="AH128" s="32" t="n"/>
      <c r="AI128" s="39">
        <f>IF(OR(AG128="",P128="",N128=""),"",ABS(AG128-P128)*N128)</f>
        <v/>
      </c>
      <c r="AJ128" s="39">
        <f>IF(OR(AH128="",P128="",N128=""),"",ABS(P128-AH128)*N128)</f>
        <v/>
      </c>
      <c r="AK128" s="39">
        <f>IF(OR(AE128="",P128="",N128=""),"",IF(I128="Buy",AE128-P128,P128-AE128)*N128)</f>
        <v/>
      </c>
      <c r="AL128" s="39">
        <f>IF(OR(AJ128="",AK128=""),"",MAX(0,AJ128-AK128))</f>
        <v/>
      </c>
      <c r="AM128" s="39">
        <f>IF(AK128="","",(P128+AE128)*N128)</f>
        <v/>
      </c>
      <c r="AN128" s="55">
        <f>IF(AK128="","",BrokeragePerOrder*2*MAX(1,N(L128)))</f>
        <v/>
      </c>
      <c r="AO128" s="55">
        <f>IF(AK128="","",STTRate*IF(I128="Buy",AE128,P128)*N128)</f>
        <v/>
      </c>
      <c r="AP128" s="55">
        <f>IF(AK128="","",ExchRate*AM128)</f>
        <v/>
      </c>
      <c r="AQ128" s="55">
        <f>IF(AK128="","",SEBIRate*AM128)</f>
        <v/>
      </c>
      <c r="AR128" s="55">
        <f>IF(AK128="","",StampRate*IF(I128="Buy",P128,AE128)*N128)</f>
        <v/>
      </c>
      <c r="AS128" s="55">
        <f>IF(AK128="","",GSTRate*(AN128+AP128+AQ128))</f>
        <v/>
      </c>
      <c r="AT128" s="55">
        <f>IF(AK128="","",AN128+AO128+AP128+AQ128+AR128+AS128)</f>
        <v/>
      </c>
      <c r="AU128" s="39">
        <f>IF(AK128="","",AK128-AT128)</f>
        <v/>
      </c>
      <c r="AV128" s="56">
        <f>IF(AU128="","",AU128/IF(N(Z128)&gt;0,Z128,RiskPerTrade))</f>
        <v/>
      </c>
      <c r="AW128" s="31">
        <f>IF(AU128="","",AU128/Capital)</f>
        <v/>
      </c>
      <c r="AX128" s="37" t="n"/>
      <c r="AY128" s="37" t="n"/>
      <c r="AZ128" s="37" t="n"/>
      <c r="BA128" s="37" t="n"/>
      <c r="BB128" s="37" t="n"/>
      <c r="BC128" s="37" t="n"/>
      <c r="BD128" s="37" t="n"/>
      <c r="BE128" s="5">
        <f>IF(AU128="","",IF(AU128&gt;0,"Win",IF(AU128&lt;0,"Loss","BE")))</f>
        <v/>
      </c>
      <c r="BF128" s="5">
        <f>IF(O128="","",LOOKUP(O128,List_BucketStart,List_BucketLabel))</f>
        <v/>
      </c>
      <c r="BG128" s="57">
        <f>IF(B128="","",B128-WEEKDAY(B128,3))</f>
        <v/>
      </c>
      <c r="BH128" s="28">
        <f>IF(B128="","",COUNTIF($B$6:B128,B128))</f>
        <v/>
      </c>
      <c r="BI128" s="39">
        <f>IF(B128="","",SUMIFS($AU$6:AU128,$B$6:B128,B128)-N(AU128))</f>
        <v/>
      </c>
      <c r="BJ128" s="5">
        <f>IF(OR(B128="",E128=""),"",IF(AND(E128=0,I128="Sell",MAX(N(O128),N(AD128))&gt;ExpiryCutoff),"BREACH","OK"))</f>
        <v/>
      </c>
      <c r="BK128" s="5">
        <f>IF(B128="","",IF(OR(AC128&lt;&gt;"OK",BJ128="BREACH",BH128&gt;MaxTradesDay,BI128&lt;=-DailyLossLimit,OR(AF128="Panic",AF128="Revenge",AF128="Rule break")),"CHECK","OK"))</f>
        <v/>
      </c>
      <c r="BL128" s="39">
        <f>IF(AU128="","",SUM($AU$6:AU128))</f>
        <v/>
      </c>
      <c r="BM128" s="39">
        <f>IF(BL128="","",Capital+BL128)</f>
        <v/>
      </c>
      <c r="BN128" s="39">
        <f>IF(BM128="","",MAX(Capital,MAX($BM$6:BM128)))</f>
        <v/>
      </c>
      <c r="BO128" s="39">
        <f>IF(BM128="","",BN128-BM128)</f>
        <v/>
      </c>
      <c r="BP128" s="58">
        <f>IF(BO128="","",BO128/BN128)</f>
        <v/>
      </c>
      <c r="BQ128" s="28">
        <f>IF(AU128="","",IF(AU128&lt;0,N(BQ127)+1,0))</f>
        <v/>
      </c>
    </row>
    <row r="129">
      <c r="A129" s="28">
        <f>IF(B129="","",COUNT($B$6:B129))</f>
        <v/>
      </c>
      <c r="B129" s="27" t="n"/>
      <c r="C129" s="5">
        <f>IF(B129="","",TEXT(B129,"ddd"))</f>
        <v/>
      </c>
      <c r="D129" s="27" t="n"/>
      <c r="E129" s="28">
        <f>IF(OR(B129="",D129=""),"",MAX(0,NETWORKDAYS(B129,D129)-1))</f>
        <v/>
      </c>
      <c r="F129" s="37" t="n"/>
      <c r="G129" s="36" t="n"/>
      <c r="H129" s="37" t="n"/>
      <c r="I129" s="37" t="n"/>
      <c r="J129" s="37" t="n"/>
      <c r="K129" s="37" t="n"/>
      <c r="L129" s="36" t="n"/>
      <c r="M129" s="36" t="n"/>
      <c r="N129" s="33">
        <f>IF(M129="","",M129*LotSize)</f>
        <v/>
      </c>
      <c r="O129" s="51" t="n"/>
      <c r="P129" s="32" t="n"/>
      <c r="Q129" s="29" t="n"/>
      <c r="R129" s="30">
        <f>IF(OR(G129="",Q129="",H129=""),"",IF(H129="CE",G129-Q129,Q129-G129))</f>
        <v/>
      </c>
      <c r="S129" s="31">
        <f>IF(R129="","",R129/Q129)</f>
        <v/>
      </c>
      <c r="T129" s="38" t="n"/>
      <c r="U129" s="32" t="n"/>
      <c r="V129" s="52" t="n"/>
      <c r="W129" s="37" t="n"/>
      <c r="X129" s="32" t="n"/>
      <c r="Y129" s="32" t="n"/>
      <c r="Z129" s="39">
        <f>IF(OR(X129="",P129="",N129=""),"",ABS(X129-P129)*N129)</f>
        <v/>
      </c>
      <c r="AA129" s="53">
        <f>IF(OR(Z129="",Y129=""),"",IF(Z129=0,"",ABS(P129-Y129)*N129/Z129))</f>
        <v/>
      </c>
      <c r="AB129" s="54">
        <f>IF(Z129="","",Z129/Capital)</f>
        <v/>
      </c>
      <c r="AC129" s="5">
        <f>IF(B129="","",IF(X129="","NO SL",IF(OR(N(M129)&gt;MaxLots,N(AB129)&gt;RiskPct),"OVERSIZED","OK")))</f>
        <v/>
      </c>
      <c r="AD129" s="51" t="n"/>
      <c r="AE129" s="32" t="n"/>
      <c r="AF129" s="37" t="n"/>
      <c r="AG129" s="32" t="n"/>
      <c r="AH129" s="32" t="n"/>
      <c r="AI129" s="39">
        <f>IF(OR(AG129="",P129="",N129=""),"",ABS(AG129-P129)*N129)</f>
        <v/>
      </c>
      <c r="AJ129" s="39">
        <f>IF(OR(AH129="",P129="",N129=""),"",ABS(P129-AH129)*N129)</f>
        <v/>
      </c>
      <c r="AK129" s="39">
        <f>IF(OR(AE129="",P129="",N129=""),"",IF(I129="Buy",AE129-P129,P129-AE129)*N129)</f>
        <v/>
      </c>
      <c r="AL129" s="39">
        <f>IF(OR(AJ129="",AK129=""),"",MAX(0,AJ129-AK129))</f>
        <v/>
      </c>
      <c r="AM129" s="39">
        <f>IF(AK129="","",(P129+AE129)*N129)</f>
        <v/>
      </c>
      <c r="AN129" s="55">
        <f>IF(AK129="","",BrokeragePerOrder*2*MAX(1,N(L129)))</f>
        <v/>
      </c>
      <c r="AO129" s="55">
        <f>IF(AK129="","",STTRate*IF(I129="Buy",AE129,P129)*N129)</f>
        <v/>
      </c>
      <c r="AP129" s="55">
        <f>IF(AK129="","",ExchRate*AM129)</f>
        <v/>
      </c>
      <c r="AQ129" s="55">
        <f>IF(AK129="","",SEBIRate*AM129)</f>
        <v/>
      </c>
      <c r="AR129" s="55">
        <f>IF(AK129="","",StampRate*IF(I129="Buy",P129,AE129)*N129)</f>
        <v/>
      </c>
      <c r="AS129" s="55">
        <f>IF(AK129="","",GSTRate*(AN129+AP129+AQ129))</f>
        <v/>
      </c>
      <c r="AT129" s="55">
        <f>IF(AK129="","",AN129+AO129+AP129+AQ129+AR129+AS129)</f>
        <v/>
      </c>
      <c r="AU129" s="39">
        <f>IF(AK129="","",AK129-AT129)</f>
        <v/>
      </c>
      <c r="AV129" s="56">
        <f>IF(AU129="","",AU129/IF(N(Z129)&gt;0,Z129,RiskPerTrade))</f>
        <v/>
      </c>
      <c r="AW129" s="31">
        <f>IF(AU129="","",AU129/Capital)</f>
        <v/>
      </c>
      <c r="AX129" s="37" t="n"/>
      <c r="AY129" s="37" t="n"/>
      <c r="AZ129" s="37" t="n"/>
      <c r="BA129" s="37" t="n"/>
      <c r="BB129" s="37" t="n"/>
      <c r="BC129" s="37" t="n"/>
      <c r="BD129" s="37" t="n"/>
      <c r="BE129" s="5">
        <f>IF(AU129="","",IF(AU129&gt;0,"Win",IF(AU129&lt;0,"Loss","BE")))</f>
        <v/>
      </c>
      <c r="BF129" s="5">
        <f>IF(O129="","",LOOKUP(O129,List_BucketStart,List_BucketLabel))</f>
        <v/>
      </c>
      <c r="BG129" s="57">
        <f>IF(B129="","",B129-WEEKDAY(B129,3))</f>
        <v/>
      </c>
      <c r="BH129" s="28">
        <f>IF(B129="","",COUNTIF($B$6:B129,B129))</f>
        <v/>
      </c>
      <c r="BI129" s="39">
        <f>IF(B129="","",SUMIFS($AU$6:AU129,$B$6:B129,B129)-N(AU129))</f>
        <v/>
      </c>
      <c r="BJ129" s="5">
        <f>IF(OR(B129="",E129=""),"",IF(AND(E129=0,I129="Sell",MAX(N(O129),N(AD129))&gt;ExpiryCutoff),"BREACH","OK"))</f>
        <v/>
      </c>
      <c r="BK129" s="5">
        <f>IF(B129="","",IF(OR(AC129&lt;&gt;"OK",BJ129="BREACH",BH129&gt;MaxTradesDay,BI129&lt;=-DailyLossLimit,OR(AF129="Panic",AF129="Revenge",AF129="Rule break")),"CHECK","OK"))</f>
        <v/>
      </c>
      <c r="BL129" s="39">
        <f>IF(AU129="","",SUM($AU$6:AU129))</f>
        <v/>
      </c>
      <c r="BM129" s="39">
        <f>IF(BL129="","",Capital+BL129)</f>
        <v/>
      </c>
      <c r="BN129" s="39">
        <f>IF(BM129="","",MAX(Capital,MAX($BM$6:BM129)))</f>
        <v/>
      </c>
      <c r="BO129" s="39">
        <f>IF(BM129="","",BN129-BM129)</f>
        <v/>
      </c>
      <c r="BP129" s="58">
        <f>IF(BO129="","",BO129/BN129)</f>
        <v/>
      </c>
      <c r="BQ129" s="28">
        <f>IF(AU129="","",IF(AU129&lt;0,N(BQ128)+1,0))</f>
        <v/>
      </c>
    </row>
    <row r="130">
      <c r="A130" s="28">
        <f>IF(B130="","",COUNT($B$6:B130))</f>
        <v/>
      </c>
      <c r="B130" s="27" t="n"/>
      <c r="C130" s="5">
        <f>IF(B130="","",TEXT(B130,"ddd"))</f>
        <v/>
      </c>
      <c r="D130" s="27" t="n"/>
      <c r="E130" s="28">
        <f>IF(OR(B130="",D130=""),"",MAX(0,NETWORKDAYS(B130,D130)-1))</f>
        <v/>
      </c>
      <c r="F130" s="37" t="n"/>
      <c r="G130" s="36" t="n"/>
      <c r="H130" s="37" t="n"/>
      <c r="I130" s="37" t="n"/>
      <c r="J130" s="37" t="n"/>
      <c r="K130" s="37" t="n"/>
      <c r="L130" s="36" t="n"/>
      <c r="M130" s="36" t="n"/>
      <c r="N130" s="33">
        <f>IF(M130="","",M130*LotSize)</f>
        <v/>
      </c>
      <c r="O130" s="51" t="n"/>
      <c r="P130" s="32" t="n"/>
      <c r="Q130" s="29" t="n"/>
      <c r="R130" s="30">
        <f>IF(OR(G130="",Q130="",H130=""),"",IF(H130="CE",G130-Q130,Q130-G130))</f>
        <v/>
      </c>
      <c r="S130" s="31">
        <f>IF(R130="","",R130/Q130)</f>
        <v/>
      </c>
      <c r="T130" s="38" t="n"/>
      <c r="U130" s="32" t="n"/>
      <c r="V130" s="52" t="n"/>
      <c r="W130" s="37" t="n"/>
      <c r="X130" s="32" t="n"/>
      <c r="Y130" s="32" t="n"/>
      <c r="Z130" s="39">
        <f>IF(OR(X130="",P130="",N130=""),"",ABS(X130-P130)*N130)</f>
        <v/>
      </c>
      <c r="AA130" s="53">
        <f>IF(OR(Z130="",Y130=""),"",IF(Z130=0,"",ABS(P130-Y130)*N130/Z130))</f>
        <v/>
      </c>
      <c r="AB130" s="54">
        <f>IF(Z130="","",Z130/Capital)</f>
        <v/>
      </c>
      <c r="AC130" s="5">
        <f>IF(B130="","",IF(X130="","NO SL",IF(OR(N(M130)&gt;MaxLots,N(AB130)&gt;RiskPct),"OVERSIZED","OK")))</f>
        <v/>
      </c>
      <c r="AD130" s="51" t="n"/>
      <c r="AE130" s="32" t="n"/>
      <c r="AF130" s="37" t="n"/>
      <c r="AG130" s="32" t="n"/>
      <c r="AH130" s="32" t="n"/>
      <c r="AI130" s="39">
        <f>IF(OR(AG130="",P130="",N130=""),"",ABS(AG130-P130)*N130)</f>
        <v/>
      </c>
      <c r="AJ130" s="39">
        <f>IF(OR(AH130="",P130="",N130=""),"",ABS(P130-AH130)*N130)</f>
        <v/>
      </c>
      <c r="AK130" s="39">
        <f>IF(OR(AE130="",P130="",N130=""),"",IF(I130="Buy",AE130-P130,P130-AE130)*N130)</f>
        <v/>
      </c>
      <c r="AL130" s="39">
        <f>IF(OR(AJ130="",AK130=""),"",MAX(0,AJ130-AK130))</f>
        <v/>
      </c>
      <c r="AM130" s="39">
        <f>IF(AK130="","",(P130+AE130)*N130)</f>
        <v/>
      </c>
      <c r="AN130" s="55">
        <f>IF(AK130="","",BrokeragePerOrder*2*MAX(1,N(L130)))</f>
        <v/>
      </c>
      <c r="AO130" s="55">
        <f>IF(AK130="","",STTRate*IF(I130="Buy",AE130,P130)*N130)</f>
        <v/>
      </c>
      <c r="AP130" s="55">
        <f>IF(AK130="","",ExchRate*AM130)</f>
        <v/>
      </c>
      <c r="AQ130" s="55">
        <f>IF(AK130="","",SEBIRate*AM130)</f>
        <v/>
      </c>
      <c r="AR130" s="55">
        <f>IF(AK130="","",StampRate*IF(I130="Buy",P130,AE130)*N130)</f>
        <v/>
      </c>
      <c r="AS130" s="55">
        <f>IF(AK130="","",GSTRate*(AN130+AP130+AQ130))</f>
        <v/>
      </c>
      <c r="AT130" s="55">
        <f>IF(AK130="","",AN130+AO130+AP130+AQ130+AR130+AS130)</f>
        <v/>
      </c>
      <c r="AU130" s="39">
        <f>IF(AK130="","",AK130-AT130)</f>
        <v/>
      </c>
      <c r="AV130" s="56">
        <f>IF(AU130="","",AU130/IF(N(Z130)&gt;0,Z130,RiskPerTrade))</f>
        <v/>
      </c>
      <c r="AW130" s="31">
        <f>IF(AU130="","",AU130/Capital)</f>
        <v/>
      </c>
      <c r="AX130" s="37" t="n"/>
      <c r="AY130" s="37" t="n"/>
      <c r="AZ130" s="37" t="n"/>
      <c r="BA130" s="37" t="n"/>
      <c r="BB130" s="37" t="n"/>
      <c r="BC130" s="37" t="n"/>
      <c r="BD130" s="37" t="n"/>
      <c r="BE130" s="5">
        <f>IF(AU130="","",IF(AU130&gt;0,"Win",IF(AU130&lt;0,"Loss","BE")))</f>
        <v/>
      </c>
      <c r="BF130" s="5">
        <f>IF(O130="","",LOOKUP(O130,List_BucketStart,List_BucketLabel))</f>
        <v/>
      </c>
      <c r="BG130" s="57">
        <f>IF(B130="","",B130-WEEKDAY(B130,3))</f>
        <v/>
      </c>
      <c r="BH130" s="28">
        <f>IF(B130="","",COUNTIF($B$6:B130,B130))</f>
        <v/>
      </c>
      <c r="BI130" s="39">
        <f>IF(B130="","",SUMIFS($AU$6:AU130,$B$6:B130,B130)-N(AU130))</f>
        <v/>
      </c>
      <c r="BJ130" s="5">
        <f>IF(OR(B130="",E130=""),"",IF(AND(E130=0,I130="Sell",MAX(N(O130),N(AD130))&gt;ExpiryCutoff),"BREACH","OK"))</f>
        <v/>
      </c>
      <c r="BK130" s="5">
        <f>IF(B130="","",IF(OR(AC130&lt;&gt;"OK",BJ130="BREACH",BH130&gt;MaxTradesDay,BI130&lt;=-DailyLossLimit,OR(AF130="Panic",AF130="Revenge",AF130="Rule break")),"CHECK","OK"))</f>
        <v/>
      </c>
      <c r="BL130" s="39">
        <f>IF(AU130="","",SUM($AU$6:AU130))</f>
        <v/>
      </c>
      <c r="BM130" s="39">
        <f>IF(BL130="","",Capital+BL130)</f>
        <v/>
      </c>
      <c r="BN130" s="39">
        <f>IF(BM130="","",MAX(Capital,MAX($BM$6:BM130)))</f>
        <v/>
      </c>
      <c r="BO130" s="39">
        <f>IF(BM130="","",BN130-BM130)</f>
        <v/>
      </c>
      <c r="BP130" s="58">
        <f>IF(BO130="","",BO130/BN130)</f>
        <v/>
      </c>
      <c r="BQ130" s="28">
        <f>IF(AU130="","",IF(AU130&lt;0,N(BQ129)+1,0))</f>
        <v/>
      </c>
    </row>
    <row r="131">
      <c r="A131" s="28">
        <f>IF(B131="","",COUNT($B$6:B131))</f>
        <v/>
      </c>
      <c r="B131" s="27" t="n"/>
      <c r="C131" s="5">
        <f>IF(B131="","",TEXT(B131,"ddd"))</f>
        <v/>
      </c>
      <c r="D131" s="27" t="n"/>
      <c r="E131" s="28">
        <f>IF(OR(B131="",D131=""),"",MAX(0,NETWORKDAYS(B131,D131)-1))</f>
        <v/>
      </c>
      <c r="F131" s="37" t="n"/>
      <c r="G131" s="36" t="n"/>
      <c r="H131" s="37" t="n"/>
      <c r="I131" s="37" t="n"/>
      <c r="J131" s="37" t="n"/>
      <c r="K131" s="37" t="n"/>
      <c r="L131" s="36" t="n"/>
      <c r="M131" s="36" t="n"/>
      <c r="N131" s="33">
        <f>IF(M131="","",M131*LotSize)</f>
        <v/>
      </c>
      <c r="O131" s="51" t="n"/>
      <c r="P131" s="32" t="n"/>
      <c r="Q131" s="29" t="n"/>
      <c r="R131" s="30">
        <f>IF(OR(G131="",Q131="",H131=""),"",IF(H131="CE",G131-Q131,Q131-G131))</f>
        <v/>
      </c>
      <c r="S131" s="31">
        <f>IF(R131="","",R131/Q131)</f>
        <v/>
      </c>
      <c r="T131" s="38" t="n"/>
      <c r="U131" s="32" t="n"/>
      <c r="V131" s="52" t="n"/>
      <c r="W131" s="37" t="n"/>
      <c r="X131" s="32" t="n"/>
      <c r="Y131" s="32" t="n"/>
      <c r="Z131" s="39">
        <f>IF(OR(X131="",P131="",N131=""),"",ABS(X131-P131)*N131)</f>
        <v/>
      </c>
      <c r="AA131" s="53">
        <f>IF(OR(Z131="",Y131=""),"",IF(Z131=0,"",ABS(P131-Y131)*N131/Z131))</f>
        <v/>
      </c>
      <c r="AB131" s="54">
        <f>IF(Z131="","",Z131/Capital)</f>
        <v/>
      </c>
      <c r="AC131" s="5">
        <f>IF(B131="","",IF(X131="","NO SL",IF(OR(N(M131)&gt;MaxLots,N(AB131)&gt;RiskPct),"OVERSIZED","OK")))</f>
        <v/>
      </c>
      <c r="AD131" s="51" t="n"/>
      <c r="AE131" s="32" t="n"/>
      <c r="AF131" s="37" t="n"/>
      <c r="AG131" s="32" t="n"/>
      <c r="AH131" s="32" t="n"/>
      <c r="AI131" s="39">
        <f>IF(OR(AG131="",P131="",N131=""),"",ABS(AG131-P131)*N131)</f>
        <v/>
      </c>
      <c r="AJ131" s="39">
        <f>IF(OR(AH131="",P131="",N131=""),"",ABS(P131-AH131)*N131)</f>
        <v/>
      </c>
      <c r="AK131" s="39">
        <f>IF(OR(AE131="",P131="",N131=""),"",IF(I131="Buy",AE131-P131,P131-AE131)*N131)</f>
        <v/>
      </c>
      <c r="AL131" s="39">
        <f>IF(OR(AJ131="",AK131=""),"",MAX(0,AJ131-AK131))</f>
        <v/>
      </c>
      <c r="AM131" s="39">
        <f>IF(AK131="","",(P131+AE131)*N131)</f>
        <v/>
      </c>
      <c r="AN131" s="55">
        <f>IF(AK131="","",BrokeragePerOrder*2*MAX(1,N(L131)))</f>
        <v/>
      </c>
      <c r="AO131" s="55">
        <f>IF(AK131="","",STTRate*IF(I131="Buy",AE131,P131)*N131)</f>
        <v/>
      </c>
      <c r="AP131" s="55">
        <f>IF(AK131="","",ExchRate*AM131)</f>
        <v/>
      </c>
      <c r="AQ131" s="55">
        <f>IF(AK131="","",SEBIRate*AM131)</f>
        <v/>
      </c>
      <c r="AR131" s="55">
        <f>IF(AK131="","",StampRate*IF(I131="Buy",P131,AE131)*N131)</f>
        <v/>
      </c>
      <c r="AS131" s="55">
        <f>IF(AK131="","",GSTRate*(AN131+AP131+AQ131))</f>
        <v/>
      </c>
      <c r="AT131" s="55">
        <f>IF(AK131="","",AN131+AO131+AP131+AQ131+AR131+AS131)</f>
        <v/>
      </c>
      <c r="AU131" s="39">
        <f>IF(AK131="","",AK131-AT131)</f>
        <v/>
      </c>
      <c r="AV131" s="56">
        <f>IF(AU131="","",AU131/IF(N(Z131)&gt;0,Z131,RiskPerTrade))</f>
        <v/>
      </c>
      <c r="AW131" s="31">
        <f>IF(AU131="","",AU131/Capital)</f>
        <v/>
      </c>
      <c r="AX131" s="37" t="n"/>
      <c r="AY131" s="37" t="n"/>
      <c r="AZ131" s="37" t="n"/>
      <c r="BA131" s="37" t="n"/>
      <c r="BB131" s="37" t="n"/>
      <c r="BC131" s="37" t="n"/>
      <c r="BD131" s="37" t="n"/>
      <c r="BE131" s="5">
        <f>IF(AU131="","",IF(AU131&gt;0,"Win",IF(AU131&lt;0,"Loss","BE")))</f>
        <v/>
      </c>
      <c r="BF131" s="5">
        <f>IF(O131="","",LOOKUP(O131,List_BucketStart,List_BucketLabel))</f>
        <v/>
      </c>
      <c r="BG131" s="57">
        <f>IF(B131="","",B131-WEEKDAY(B131,3))</f>
        <v/>
      </c>
      <c r="BH131" s="28">
        <f>IF(B131="","",COUNTIF($B$6:B131,B131))</f>
        <v/>
      </c>
      <c r="BI131" s="39">
        <f>IF(B131="","",SUMIFS($AU$6:AU131,$B$6:B131,B131)-N(AU131))</f>
        <v/>
      </c>
      <c r="BJ131" s="5">
        <f>IF(OR(B131="",E131=""),"",IF(AND(E131=0,I131="Sell",MAX(N(O131),N(AD131))&gt;ExpiryCutoff),"BREACH","OK"))</f>
        <v/>
      </c>
      <c r="BK131" s="5">
        <f>IF(B131="","",IF(OR(AC131&lt;&gt;"OK",BJ131="BREACH",BH131&gt;MaxTradesDay,BI131&lt;=-DailyLossLimit,OR(AF131="Panic",AF131="Revenge",AF131="Rule break")),"CHECK","OK"))</f>
        <v/>
      </c>
      <c r="BL131" s="39">
        <f>IF(AU131="","",SUM($AU$6:AU131))</f>
        <v/>
      </c>
      <c r="BM131" s="39">
        <f>IF(BL131="","",Capital+BL131)</f>
        <v/>
      </c>
      <c r="BN131" s="39">
        <f>IF(BM131="","",MAX(Capital,MAX($BM$6:BM131)))</f>
        <v/>
      </c>
      <c r="BO131" s="39">
        <f>IF(BM131="","",BN131-BM131)</f>
        <v/>
      </c>
      <c r="BP131" s="58">
        <f>IF(BO131="","",BO131/BN131)</f>
        <v/>
      </c>
      <c r="BQ131" s="28">
        <f>IF(AU131="","",IF(AU131&lt;0,N(BQ130)+1,0))</f>
        <v/>
      </c>
    </row>
    <row r="132">
      <c r="A132" s="28">
        <f>IF(B132="","",COUNT($B$6:B132))</f>
        <v/>
      </c>
      <c r="B132" s="27" t="n"/>
      <c r="C132" s="5">
        <f>IF(B132="","",TEXT(B132,"ddd"))</f>
        <v/>
      </c>
      <c r="D132" s="27" t="n"/>
      <c r="E132" s="28">
        <f>IF(OR(B132="",D132=""),"",MAX(0,NETWORKDAYS(B132,D132)-1))</f>
        <v/>
      </c>
      <c r="F132" s="37" t="n"/>
      <c r="G132" s="36" t="n"/>
      <c r="H132" s="37" t="n"/>
      <c r="I132" s="37" t="n"/>
      <c r="J132" s="37" t="n"/>
      <c r="K132" s="37" t="n"/>
      <c r="L132" s="36" t="n"/>
      <c r="M132" s="36" t="n"/>
      <c r="N132" s="33">
        <f>IF(M132="","",M132*LotSize)</f>
        <v/>
      </c>
      <c r="O132" s="51" t="n"/>
      <c r="P132" s="32" t="n"/>
      <c r="Q132" s="29" t="n"/>
      <c r="R132" s="30">
        <f>IF(OR(G132="",Q132="",H132=""),"",IF(H132="CE",G132-Q132,Q132-G132))</f>
        <v/>
      </c>
      <c r="S132" s="31">
        <f>IF(R132="","",R132/Q132)</f>
        <v/>
      </c>
      <c r="T132" s="38" t="n"/>
      <c r="U132" s="32" t="n"/>
      <c r="V132" s="52" t="n"/>
      <c r="W132" s="37" t="n"/>
      <c r="X132" s="32" t="n"/>
      <c r="Y132" s="32" t="n"/>
      <c r="Z132" s="39">
        <f>IF(OR(X132="",P132="",N132=""),"",ABS(X132-P132)*N132)</f>
        <v/>
      </c>
      <c r="AA132" s="53">
        <f>IF(OR(Z132="",Y132=""),"",IF(Z132=0,"",ABS(P132-Y132)*N132/Z132))</f>
        <v/>
      </c>
      <c r="AB132" s="54">
        <f>IF(Z132="","",Z132/Capital)</f>
        <v/>
      </c>
      <c r="AC132" s="5">
        <f>IF(B132="","",IF(X132="","NO SL",IF(OR(N(M132)&gt;MaxLots,N(AB132)&gt;RiskPct),"OVERSIZED","OK")))</f>
        <v/>
      </c>
      <c r="AD132" s="51" t="n"/>
      <c r="AE132" s="32" t="n"/>
      <c r="AF132" s="37" t="n"/>
      <c r="AG132" s="32" t="n"/>
      <c r="AH132" s="32" t="n"/>
      <c r="AI132" s="39">
        <f>IF(OR(AG132="",P132="",N132=""),"",ABS(AG132-P132)*N132)</f>
        <v/>
      </c>
      <c r="AJ132" s="39">
        <f>IF(OR(AH132="",P132="",N132=""),"",ABS(P132-AH132)*N132)</f>
        <v/>
      </c>
      <c r="AK132" s="39">
        <f>IF(OR(AE132="",P132="",N132=""),"",IF(I132="Buy",AE132-P132,P132-AE132)*N132)</f>
        <v/>
      </c>
      <c r="AL132" s="39">
        <f>IF(OR(AJ132="",AK132=""),"",MAX(0,AJ132-AK132))</f>
        <v/>
      </c>
      <c r="AM132" s="39">
        <f>IF(AK132="","",(P132+AE132)*N132)</f>
        <v/>
      </c>
      <c r="AN132" s="55">
        <f>IF(AK132="","",BrokeragePerOrder*2*MAX(1,N(L132)))</f>
        <v/>
      </c>
      <c r="AO132" s="55">
        <f>IF(AK132="","",STTRate*IF(I132="Buy",AE132,P132)*N132)</f>
        <v/>
      </c>
      <c r="AP132" s="55">
        <f>IF(AK132="","",ExchRate*AM132)</f>
        <v/>
      </c>
      <c r="AQ132" s="55">
        <f>IF(AK132="","",SEBIRate*AM132)</f>
        <v/>
      </c>
      <c r="AR132" s="55">
        <f>IF(AK132="","",StampRate*IF(I132="Buy",P132,AE132)*N132)</f>
        <v/>
      </c>
      <c r="AS132" s="55">
        <f>IF(AK132="","",GSTRate*(AN132+AP132+AQ132))</f>
        <v/>
      </c>
      <c r="AT132" s="55">
        <f>IF(AK132="","",AN132+AO132+AP132+AQ132+AR132+AS132)</f>
        <v/>
      </c>
      <c r="AU132" s="39">
        <f>IF(AK132="","",AK132-AT132)</f>
        <v/>
      </c>
      <c r="AV132" s="56">
        <f>IF(AU132="","",AU132/IF(N(Z132)&gt;0,Z132,RiskPerTrade))</f>
        <v/>
      </c>
      <c r="AW132" s="31">
        <f>IF(AU132="","",AU132/Capital)</f>
        <v/>
      </c>
      <c r="AX132" s="37" t="n"/>
      <c r="AY132" s="37" t="n"/>
      <c r="AZ132" s="37" t="n"/>
      <c r="BA132" s="37" t="n"/>
      <c r="BB132" s="37" t="n"/>
      <c r="BC132" s="37" t="n"/>
      <c r="BD132" s="37" t="n"/>
      <c r="BE132" s="5">
        <f>IF(AU132="","",IF(AU132&gt;0,"Win",IF(AU132&lt;0,"Loss","BE")))</f>
        <v/>
      </c>
      <c r="BF132" s="5">
        <f>IF(O132="","",LOOKUP(O132,List_BucketStart,List_BucketLabel))</f>
        <v/>
      </c>
      <c r="BG132" s="57">
        <f>IF(B132="","",B132-WEEKDAY(B132,3))</f>
        <v/>
      </c>
      <c r="BH132" s="28">
        <f>IF(B132="","",COUNTIF($B$6:B132,B132))</f>
        <v/>
      </c>
      <c r="BI132" s="39">
        <f>IF(B132="","",SUMIFS($AU$6:AU132,$B$6:B132,B132)-N(AU132))</f>
        <v/>
      </c>
      <c r="BJ132" s="5">
        <f>IF(OR(B132="",E132=""),"",IF(AND(E132=0,I132="Sell",MAX(N(O132),N(AD132))&gt;ExpiryCutoff),"BREACH","OK"))</f>
        <v/>
      </c>
      <c r="BK132" s="5">
        <f>IF(B132="","",IF(OR(AC132&lt;&gt;"OK",BJ132="BREACH",BH132&gt;MaxTradesDay,BI132&lt;=-DailyLossLimit,OR(AF132="Panic",AF132="Revenge",AF132="Rule break")),"CHECK","OK"))</f>
        <v/>
      </c>
      <c r="BL132" s="39">
        <f>IF(AU132="","",SUM($AU$6:AU132))</f>
        <v/>
      </c>
      <c r="BM132" s="39">
        <f>IF(BL132="","",Capital+BL132)</f>
        <v/>
      </c>
      <c r="BN132" s="39">
        <f>IF(BM132="","",MAX(Capital,MAX($BM$6:BM132)))</f>
        <v/>
      </c>
      <c r="BO132" s="39">
        <f>IF(BM132="","",BN132-BM132)</f>
        <v/>
      </c>
      <c r="BP132" s="58">
        <f>IF(BO132="","",BO132/BN132)</f>
        <v/>
      </c>
      <c r="BQ132" s="28">
        <f>IF(AU132="","",IF(AU132&lt;0,N(BQ131)+1,0))</f>
        <v/>
      </c>
    </row>
    <row r="133">
      <c r="A133" s="28">
        <f>IF(B133="","",COUNT($B$6:B133))</f>
        <v/>
      </c>
      <c r="B133" s="27" t="n"/>
      <c r="C133" s="5">
        <f>IF(B133="","",TEXT(B133,"ddd"))</f>
        <v/>
      </c>
      <c r="D133" s="27" t="n"/>
      <c r="E133" s="28">
        <f>IF(OR(B133="",D133=""),"",MAX(0,NETWORKDAYS(B133,D133)-1))</f>
        <v/>
      </c>
      <c r="F133" s="37" t="n"/>
      <c r="G133" s="36" t="n"/>
      <c r="H133" s="37" t="n"/>
      <c r="I133" s="37" t="n"/>
      <c r="J133" s="37" t="n"/>
      <c r="K133" s="37" t="n"/>
      <c r="L133" s="36" t="n"/>
      <c r="M133" s="36" t="n"/>
      <c r="N133" s="33">
        <f>IF(M133="","",M133*LotSize)</f>
        <v/>
      </c>
      <c r="O133" s="51" t="n"/>
      <c r="P133" s="32" t="n"/>
      <c r="Q133" s="29" t="n"/>
      <c r="R133" s="30">
        <f>IF(OR(G133="",Q133="",H133=""),"",IF(H133="CE",G133-Q133,Q133-G133))</f>
        <v/>
      </c>
      <c r="S133" s="31">
        <f>IF(R133="","",R133/Q133)</f>
        <v/>
      </c>
      <c r="T133" s="38" t="n"/>
      <c r="U133" s="32" t="n"/>
      <c r="V133" s="52" t="n"/>
      <c r="W133" s="37" t="n"/>
      <c r="X133" s="32" t="n"/>
      <c r="Y133" s="32" t="n"/>
      <c r="Z133" s="39">
        <f>IF(OR(X133="",P133="",N133=""),"",ABS(X133-P133)*N133)</f>
        <v/>
      </c>
      <c r="AA133" s="53">
        <f>IF(OR(Z133="",Y133=""),"",IF(Z133=0,"",ABS(P133-Y133)*N133/Z133))</f>
        <v/>
      </c>
      <c r="AB133" s="54">
        <f>IF(Z133="","",Z133/Capital)</f>
        <v/>
      </c>
      <c r="AC133" s="5">
        <f>IF(B133="","",IF(X133="","NO SL",IF(OR(N(M133)&gt;MaxLots,N(AB133)&gt;RiskPct),"OVERSIZED","OK")))</f>
        <v/>
      </c>
      <c r="AD133" s="51" t="n"/>
      <c r="AE133" s="32" t="n"/>
      <c r="AF133" s="37" t="n"/>
      <c r="AG133" s="32" t="n"/>
      <c r="AH133" s="32" t="n"/>
      <c r="AI133" s="39">
        <f>IF(OR(AG133="",P133="",N133=""),"",ABS(AG133-P133)*N133)</f>
        <v/>
      </c>
      <c r="AJ133" s="39">
        <f>IF(OR(AH133="",P133="",N133=""),"",ABS(P133-AH133)*N133)</f>
        <v/>
      </c>
      <c r="AK133" s="39">
        <f>IF(OR(AE133="",P133="",N133=""),"",IF(I133="Buy",AE133-P133,P133-AE133)*N133)</f>
        <v/>
      </c>
      <c r="AL133" s="39">
        <f>IF(OR(AJ133="",AK133=""),"",MAX(0,AJ133-AK133))</f>
        <v/>
      </c>
      <c r="AM133" s="39">
        <f>IF(AK133="","",(P133+AE133)*N133)</f>
        <v/>
      </c>
      <c r="AN133" s="55">
        <f>IF(AK133="","",BrokeragePerOrder*2*MAX(1,N(L133)))</f>
        <v/>
      </c>
      <c r="AO133" s="55">
        <f>IF(AK133="","",STTRate*IF(I133="Buy",AE133,P133)*N133)</f>
        <v/>
      </c>
      <c r="AP133" s="55">
        <f>IF(AK133="","",ExchRate*AM133)</f>
        <v/>
      </c>
      <c r="AQ133" s="55">
        <f>IF(AK133="","",SEBIRate*AM133)</f>
        <v/>
      </c>
      <c r="AR133" s="55">
        <f>IF(AK133="","",StampRate*IF(I133="Buy",P133,AE133)*N133)</f>
        <v/>
      </c>
      <c r="AS133" s="55">
        <f>IF(AK133="","",GSTRate*(AN133+AP133+AQ133))</f>
        <v/>
      </c>
      <c r="AT133" s="55">
        <f>IF(AK133="","",AN133+AO133+AP133+AQ133+AR133+AS133)</f>
        <v/>
      </c>
      <c r="AU133" s="39">
        <f>IF(AK133="","",AK133-AT133)</f>
        <v/>
      </c>
      <c r="AV133" s="56">
        <f>IF(AU133="","",AU133/IF(N(Z133)&gt;0,Z133,RiskPerTrade))</f>
        <v/>
      </c>
      <c r="AW133" s="31">
        <f>IF(AU133="","",AU133/Capital)</f>
        <v/>
      </c>
      <c r="AX133" s="37" t="n"/>
      <c r="AY133" s="37" t="n"/>
      <c r="AZ133" s="37" t="n"/>
      <c r="BA133" s="37" t="n"/>
      <c r="BB133" s="37" t="n"/>
      <c r="BC133" s="37" t="n"/>
      <c r="BD133" s="37" t="n"/>
      <c r="BE133" s="5">
        <f>IF(AU133="","",IF(AU133&gt;0,"Win",IF(AU133&lt;0,"Loss","BE")))</f>
        <v/>
      </c>
      <c r="BF133" s="5">
        <f>IF(O133="","",LOOKUP(O133,List_BucketStart,List_BucketLabel))</f>
        <v/>
      </c>
      <c r="BG133" s="57">
        <f>IF(B133="","",B133-WEEKDAY(B133,3))</f>
        <v/>
      </c>
      <c r="BH133" s="28">
        <f>IF(B133="","",COUNTIF($B$6:B133,B133))</f>
        <v/>
      </c>
      <c r="BI133" s="39">
        <f>IF(B133="","",SUMIFS($AU$6:AU133,$B$6:B133,B133)-N(AU133))</f>
        <v/>
      </c>
      <c r="BJ133" s="5">
        <f>IF(OR(B133="",E133=""),"",IF(AND(E133=0,I133="Sell",MAX(N(O133),N(AD133))&gt;ExpiryCutoff),"BREACH","OK"))</f>
        <v/>
      </c>
      <c r="BK133" s="5">
        <f>IF(B133="","",IF(OR(AC133&lt;&gt;"OK",BJ133="BREACH",BH133&gt;MaxTradesDay,BI133&lt;=-DailyLossLimit,OR(AF133="Panic",AF133="Revenge",AF133="Rule break")),"CHECK","OK"))</f>
        <v/>
      </c>
      <c r="BL133" s="39">
        <f>IF(AU133="","",SUM($AU$6:AU133))</f>
        <v/>
      </c>
      <c r="BM133" s="39">
        <f>IF(BL133="","",Capital+BL133)</f>
        <v/>
      </c>
      <c r="BN133" s="39">
        <f>IF(BM133="","",MAX(Capital,MAX($BM$6:BM133)))</f>
        <v/>
      </c>
      <c r="BO133" s="39">
        <f>IF(BM133="","",BN133-BM133)</f>
        <v/>
      </c>
      <c r="BP133" s="58">
        <f>IF(BO133="","",BO133/BN133)</f>
        <v/>
      </c>
      <c r="BQ133" s="28">
        <f>IF(AU133="","",IF(AU133&lt;0,N(BQ132)+1,0))</f>
        <v/>
      </c>
    </row>
    <row r="134">
      <c r="A134" s="28">
        <f>IF(B134="","",COUNT($B$6:B134))</f>
        <v/>
      </c>
      <c r="B134" s="27" t="n"/>
      <c r="C134" s="5">
        <f>IF(B134="","",TEXT(B134,"ddd"))</f>
        <v/>
      </c>
      <c r="D134" s="27" t="n"/>
      <c r="E134" s="28">
        <f>IF(OR(B134="",D134=""),"",MAX(0,NETWORKDAYS(B134,D134)-1))</f>
        <v/>
      </c>
      <c r="F134" s="37" t="n"/>
      <c r="G134" s="36" t="n"/>
      <c r="H134" s="37" t="n"/>
      <c r="I134" s="37" t="n"/>
      <c r="J134" s="37" t="n"/>
      <c r="K134" s="37" t="n"/>
      <c r="L134" s="36" t="n"/>
      <c r="M134" s="36" t="n"/>
      <c r="N134" s="33">
        <f>IF(M134="","",M134*LotSize)</f>
        <v/>
      </c>
      <c r="O134" s="51" t="n"/>
      <c r="P134" s="32" t="n"/>
      <c r="Q134" s="29" t="n"/>
      <c r="R134" s="30">
        <f>IF(OR(G134="",Q134="",H134=""),"",IF(H134="CE",G134-Q134,Q134-G134))</f>
        <v/>
      </c>
      <c r="S134" s="31">
        <f>IF(R134="","",R134/Q134)</f>
        <v/>
      </c>
      <c r="T134" s="38" t="n"/>
      <c r="U134" s="32" t="n"/>
      <c r="V134" s="52" t="n"/>
      <c r="W134" s="37" t="n"/>
      <c r="X134" s="32" t="n"/>
      <c r="Y134" s="32" t="n"/>
      <c r="Z134" s="39">
        <f>IF(OR(X134="",P134="",N134=""),"",ABS(X134-P134)*N134)</f>
        <v/>
      </c>
      <c r="AA134" s="53">
        <f>IF(OR(Z134="",Y134=""),"",IF(Z134=0,"",ABS(P134-Y134)*N134/Z134))</f>
        <v/>
      </c>
      <c r="AB134" s="54">
        <f>IF(Z134="","",Z134/Capital)</f>
        <v/>
      </c>
      <c r="AC134" s="5">
        <f>IF(B134="","",IF(X134="","NO SL",IF(OR(N(M134)&gt;MaxLots,N(AB134)&gt;RiskPct),"OVERSIZED","OK")))</f>
        <v/>
      </c>
      <c r="AD134" s="51" t="n"/>
      <c r="AE134" s="32" t="n"/>
      <c r="AF134" s="37" t="n"/>
      <c r="AG134" s="32" t="n"/>
      <c r="AH134" s="32" t="n"/>
      <c r="AI134" s="39">
        <f>IF(OR(AG134="",P134="",N134=""),"",ABS(AG134-P134)*N134)</f>
        <v/>
      </c>
      <c r="AJ134" s="39">
        <f>IF(OR(AH134="",P134="",N134=""),"",ABS(P134-AH134)*N134)</f>
        <v/>
      </c>
      <c r="AK134" s="39">
        <f>IF(OR(AE134="",P134="",N134=""),"",IF(I134="Buy",AE134-P134,P134-AE134)*N134)</f>
        <v/>
      </c>
      <c r="AL134" s="39">
        <f>IF(OR(AJ134="",AK134=""),"",MAX(0,AJ134-AK134))</f>
        <v/>
      </c>
      <c r="AM134" s="39">
        <f>IF(AK134="","",(P134+AE134)*N134)</f>
        <v/>
      </c>
      <c r="AN134" s="55">
        <f>IF(AK134="","",BrokeragePerOrder*2*MAX(1,N(L134)))</f>
        <v/>
      </c>
      <c r="AO134" s="55">
        <f>IF(AK134="","",STTRate*IF(I134="Buy",AE134,P134)*N134)</f>
        <v/>
      </c>
      <c r="AP134" s="55">
        <f>IF(AK134="","",ExchRate*AM134)</f>
        <v/>
      </c>
      <c r="AQ134" s="55">
        <f>IF(AK134="","",SEBIRate*AM134)</f>
        <v/>
      </c>
      <c r="AR134" s="55">
        <f>IF(AK134="","",StampRate*IF(I134="Buy",P134,AE134)*N134)</f>
        <v/>
      </c>
      <c r="AS134" s="55">
        <f>IF(AK134="","",GSTRate*(AN134+AP134+AQ134))</f>
        <v/>
      </c>
      <c r="AT134" s="55">
        <f>IF(AK134="","",AN134+AO134+AP134+AQ134+AR134+AS134)</f>
        <v/>
      </c>
      <c r="AU134" s="39">
        <f>IF(AK134="","",AK134-AT134)</f>
        <v/>
      </c>
      <c r="AV134" s="56">
        <f>IF(AU134="","",AU134/IF(N(Z134)&gt;0,Z134,RiskPerTrade))</f>
        <v/>
      </c>
      <c r="AW134" s="31">
        <f>IF(AU134="","",AU134/Capital)</f>
        <v/>
      </c>
      <c r="AX134" s="37" t="n"/>
      <c r="AY134" s="37" t="n"/>
      <c r="AZ134" s="37" t="n"/>
      <c r="BA134" s="37" t="n"/>
      <c r="BB134" s="37" t="n"/>
      <c r="BC134" s="37" t="n"/>
      <c r="BD134" s="37" t="n"/>
      <c r="BE134" s="5">
        <f>IF(AU134="","",IF(AU134&gt;0,"Win",IF(AU134&lt;0,"Loss","BE")))</f>
        <v/>
      </c>
      <c r="BF134" s="5">
        <f>IF(O134="","",LOOKUP(O134,List_BucketStart,List_BucketLabel))</f>
        <v/>
      </c>
      <c r="BG134" s="57">
        <f>IF(B134="","",B134-WEEKDAY(B134,3))</f>
        <v/>
      </c>
      <c r="BH134" s="28">
        <f>IF(B134="","",COUNTIF($B$6:B134,B134))</f>
        <v/>
      </c>
      <c r="BI134" s="39">
        <f>IF(B134="","",SUMIFS($AU$6:AU134,$B$6:B134,B134)-N(AU134))</f>
        <v/>
      </c>
      <c r="BJ134" s="5">
        <f>IF(OR(B134="",E134=""),"",IF(AND(E134=0,I134="Sell",MAX(N(O134),N(AD134))&gt;ExpiryCutoff),"BREACH","OK"))</f>
        <v/>
      </c>
      <c r="BK134" s="5">
        <f>IF(B134="","",IF(OR(AC134&lt;&gt;"OK",BJ134="BREACH",BH134&gt;MaxTradesDay,BI134&lt;=-DailyLossLimit,OR(AF134="Panic",AF134="Revenge",AF134="Rule break")),"CHECK","OK"))</f>
        <v/>
      </c>
      <c r="BL134" s="39">
        <f>IF(AU134="","",SUM($AU$6:AU134))</f>
        <v/>
      </c>
      <c r="BM134" s="39">
        <f>IF(BL134="","",Capital+BL134)</f>
        <v/>
      </c>
      <c r="BN134" s="39">
        <f>IF(BM134="","",MAX(Capital,MAX($BM$6:BM134)))</f>
        <v/>
      </c>
      <c r="BO134" s="39">
        <f>IF(BM134="","",BN134-BM134)</f>
        <v/>
      </c>
      <c r="BP134" s="58">
        <f>IF(BO134="","",BO134/BN134)</f>
        <v/>
      </c>
      <c r="BQ134" s="28">
        <f>IF(AU134="","",IF(AU134&lt;0,N(BQ133)+1,0))</f>
        <v/>
      </c>
    </row>
    <row r="135">
      <c r="A135" s="28">
        <f>IF(B135="","",COUNT($B$6:B135))</f>
        <v/>
      </c>
      <c r="B135" s="27" t="n"/>
      <c r="C135" s="5">
        <f>IF(B135="","",TEXT(B135,"ddd"))</f>
        <v/>
      </c>
      <c r="D135" s="27" t="n"/>
      <c r="E135" s="28">
        <f>IF(OR(B135="",D135=""),"",MAX(0,NETWORKDAYS(B135,D135)-1))</f>
        <v/>
      </c>
      <c r="F135" s="37" t="n"/>
      <c r="G135" s="36" t="n"/>
      <c r="H135" s="37" t="n"/>
      <c r="I135" s="37" t="n"/>
      <c r="J135" s="37" t="n"/>
      <c r="K135" s="37" t="n"/>
      <c r="L135" s="36" t="n"/>
      <c r="M135" s="36" t="n"/>
      <c r="N135" s="33">
        <f>IF(M135="","",M135*LotSize)</f>
        <v/>
      </c>
      <c r="O135" s="51" t="n"/>
      <c r="P135" s="32" t="n"/>
      <c r="Q135" s="29" t="n"/>
      <c r="R135" s="30">
        <f>IF(OR(G135="",Q135="",H135=""),"",IF(H135="CE",G135-Q135,Q135-G135))</f>
        <v/>
      </c>
      <c r="S135" s="31">
        <f>IF(R135="","",R135/Q135)</f>
        <v/>
      </c>
      <c r="T135" s="38" t="n"/>
      <c r="U135" s="32" t="n"/>
      <c r="V135" s="52" t="n"/>
      <c r="W135" s="37" t="n"/>
      <c r="X135" s="32" t="n"/>
      <c r="Y135" s="32" t="n"/>
      <c r="Z135" s="39">
        <f>IF(OR(X135="",P135="",N135=""),"",ABS(X135-P135)*N135)</f>
        <v/>
      </c>
      <c r="AA135" s="53">
        <f>IF(OR(Z135="",Y135=""),"",IF(Z135=0,"",ABS(P135-Y135)*N135/Z135))</f>
        <v/>
      </c>
      <c r="AB135" s="54">
        <f>IF(Z135="","",Z135/Capital)</f>
        <v/>
      </c>
      <c r="AC135" s="5">
        <f>IF(B135="","",IF(X135="","NO SL",IF(OR(N(M135)&gt;MaxLots,N(AB135)&gt;RiskPct),"OVERSIZED","OK")))</f>
        <v/>
      </c>
      <c r="AD135" s="51" t="n"/>
      <c r="AE135" s="32" t="n"/>
      <c r="AF135" s="37" t="n"/>
      <c r="AG135" s="32" t="n"/>
      <c r="AH135" s="32" t="n"/>
      <c r="AI135" s="39">
        <f>IF(OR(AG135="",P135="",N135=""),"",ABS(AG135-P135)*N135)</f>
        <v/>
      </c>
      <c r="AJ135" s="39">
        <f>IF(OR(AH135="",P135="",N135=""),"",ABS(P135-AH135)*N135)</f>
        <v/>
      </c>
      <c r="AK135" s="39">
        <f>IF(OR(AE135="",P135="",N135=""),"",IF(I135="Buy",AE135-P135,P135-AE135)*N135)</f>
        <v/>
      </c>
      <c r="AL135" s="39">
        <f>IF(OR(AJ135="",AK135=""),"",MAX(0,AJ135-AK135))</f>
        <v/>
      </c>
      <c r="AM135" s="39">
        <f>IF(AK135="","",(P135+AE135)*N135)</f>
        <v/>
      </c>
      <c r="AN135" s="55">
        <f>IF(AK135="","",BrokeragePerOrder*2*MAX(1,N(L135)))</f>
        <v/>
      </c>
      <c r="AO135" s="55">
        <f>IF(AK135="","",STTRate*IF(I135="Buy",AE135,P135)*N135)</f>
        <v/>
      </c>
      <c r="AP135" s="55">
        <f>IF(AK135="","",ExchRate*AM135)</f>
        <v/>
      </c>
      <c r="AQ135" s="55">
        <f>IF(AK135="","",SEBIRate*AM135)</f>
        <v/>
      </c>
      <c r="AR135" s="55">
        <f>IF(AK135="","",StampRate*IF(I135="Buy",P135,AE135)*N135)</f>
        <v/>
      </c>
      <c r="AS135" s="55">
        <f>IF(AK135="","",GSTRate*(AN135+AP135+AQ135))</f>
        <v/>
      </c>
      <c r="AT135" s="55">
        <f>IF(AK135="","",AN135+AO135+AP135+AQ135+AR135+AS135)</f>
        <v/>
      </c>
      <c r="AU135" s="39">
        <f>IF(AK135="","",AK135-AT135)</f>
        <v/>
      </c>
      <c r="AV135" s="56">
        <f>IF(AU135="","",AU135/IF(N(Z135)&gt;0,Z135,RiskPerTrade))</f>
        <v/>
      </c>
      <c r="AW135" s="31">
        <f>IF(AU135="","",AU135/Capital)</f>
        <v/>
      </c>
      <c r="AX135" s="37" t="n"/>
      <c r="AY135" s="37" t="n"/>
      <c r="AZ135" s="37" t="n"/>
      <c r="BA135" s="37" t="n"/>
      <c r="BB135" s="37" t="n"/>
      <c r="BC135" s="37" t="n"/>
      <c r="BD135" s="37" t="n"/>
      <c r="BE135" s="5">
        <f>IF(AU135="","",IF(AU135&gt;0,"Win",IF(AU135&lt;0,"Loss","BE")))</f>
        <v/>
      </c>
      <c r="BF135" s="5">
        <f>IF(O135="","",LOOKUP(O135,List_BucketStart,List_BucketLabel))</f>
        <v/>
      </c>
      <c r="BG135" s="57">
        <f>IF(B135="","",B135-WEEKDAY(B135,3))</f>
        <v/>
      </c>
      <c r="BH135" s="28">
        <f>IF(B135="","",COUNTIF($B$6:B135,B135))</f>
        <v/>
      </c>
      <c r="BI135" s="39">
        <f>IF(B135="","",SUMIFS($AU$6:AU135,$B$6:B135,B135)-N(AU135))</f>
        <v/>
      </c>
      <c r="BJ135" s="5">
        <f>IF(OR(B135="",E135=""),"",IF(AND(E135=0,I135="Sell",MAX(N(O135),N(AD135))&gt;ExpiryCutoff),"BREACH","OK"))</f>
        <v/>
      </c>
      <c r="BK135" s="5">
        <f>IF(B135="","",IF(OR(AC135&lt;&gt;"OK",BJ135="BREACH",BH135&gt;MaxTradesDay,BI135&lt;=-DailyLossLimit,OR(AF135="Panic",AF135="Revenge",AF135="Rule break")),"CHECK","OK"))</f>
        <v/>
      </c>
      <c r="BL135" s="39">
        <f>IF(AU135="","",SUM($AU$6:AU135))</f>
        <v/>
      </c>
      <c r="BM135" s="39">
        <f>IF(BL135="","",Capital+BL135)</f>
        <v/>
      </c>
      <c r="BN135" s="39">
        <f>IF(BM135="","",MAX(Capital,MAX($BM$6:BM135)))</f>
        <v/>
      </c>
      <c r="BO135" s="39">
        <f>IF(BM135="","",BN135-BM135)</f>
        <v/>
      </c>
      <c r="BP135" s="58">
        <f>IF(BO135="","",BO135/BN135)</f>
        <v/>
      </c>
      <c r="BQ135" s="28">
        <f>IF(AU135="","",IF(AU135&lt;0,N(BQ134)+1,0))</f>
        <v/>
      </c>
    </row>
    <row r="136">
      <c r="A136" s="28">
        <f>IF(B136="","",COUNT($B$6:B136))</f>
        <v/>
      </c>
      <c r="B136" s="27" t="n"/>
      <c r="C136" s="5">
        <f>IF(B136="","",TEXT(B136,"ddd"))</f>
        <v/>
      </c>
      <c r="D136" s="27" t="n"/>
      <c r="E136" s="28">
        <f>IF(OR(B136="",D136=""),"",MAX(0,NETWORKDAYS(B136,D136)-1))</f>
        <v/>
      </c>
      <c r="F136" s="37" t="n"/>
      <c r="G136" s="36" t="n"/>
      <c r="H136" s="37" t="n"/>
      <c r="I136" s="37" t="n"/>
      <c r="J136" s="37" t="n"/>
      <c r="K136" s="37" t="n"/>
      <c r="L136" s="36" t="n"/>
      <c r="M136" s="36" t="n"/>
      <c r="N136" s="33">
        <f>IF(M136="","",M136*LotSize)</f>
        <v/>
      </c>
      <c r="O136" s="51" t="n"/>
      <c r="P136" s="32" t="n"/>
      <c r="Q136" s="29" t="n"/>
      <c r="R136" s="30">
        <f>IF(OR(G136="",Q136="",H136=""),"",IF(H136="CE",G136-Q136,Q136-G136))</f>
        <v/>
      </c>
      <c r="S136" s="31">
        <f>IF(R136="","",R136/Q136)</f>
        <v/>
      </c>
      <c r="T136" s="38" t="n"/>
      <c r="U136" s="32" t="n"/>
      <c r="V136" s="52" t="n"/>
      <c r="W136" s="37" t="n"/>
      <c r="X136" s="32" t="n"/>
      <c r="Y136" s="32" t="n"/>
      <c r="Z136" s="39">
        <f>IF(OR(X136="",P136="",N136=""),"",ABS(X136-P136)*N136)</f>
        <v/>
      </c>
      <c r="AA136" s="53">
        <f>IF(OR(Z136="",Y136=""),"",IF(Z136=0,"",ABS(P136-Y136)*N136/Z136))</f>
        <v/>
      </c>
      <c r="AB136" s="54">
        <f>IF(Z136="","",Z136/Capital)</f>
        <v/>
      </c>
      <c r="AC136" s="5">
        <f>IF(B136="","",IF(X136="","NO SL",IF(OR(N(M136)&gt;MaxLots,N(AB136)&gt;RiskPct),"OVERSIZED","OK")))</f>
        <v/>
      </c>
      <c r="AD136" s="51" t="n"/>
      <c r="AE136" s="32" t="n"/>
      <c r="AF136" s="37" t="n"/>
      <c r="AG136" s="32" t="n"/>
      <c r="AH136" s="32" t="n"/>
      <c r="AI136" s="39">
        <f>IF(OR(AG136="",P136="",N136=""),"",ABS(AG136-P136)*N136)</f>
        <v/>
      </c>
      <c r="AJ136" s="39">
        <f>IF(OR(AH136="",P136="",N136=""),"",ABS(P136-AH136)*N136)</f>
        <v/>
      </c>
      <c r="AK136" s="39">
        <f>IF(OR(AE136="",P136="",N136=""),"",IF(I136="Buy",AE136-P136,P136-AE136)*N136)</f>
        <v/>
      </c>
      <c r="AL136" s="39">
        <f>IF(OR(AJ136="",AK136=""),"",MAX(0,AJ136-AK136))</f>
        <v/>
      </c>
      <c r="AM136" s="39">
        <f>IF(AK136="","",(P136+AE136)*N136)</f>
        <v/>
      </c>
      <c r="AN136" s="55">
        <f>IF(AK136="","",BrokeragePerOrder*2*MAX(1,N(L136)))</f>
        <v/>
      </c>
      <c r="AO136" s="55">
        <f>IF(AK136="","",STTRate*IF(I136="Buy",AE136,P136)*N136)</f>
        <v/>
      </c>
      <c r="AP136" s="55">
        <f>IF(AK136="","",ExchRate*AM136)</f>
        <v/>
      </c>
      <c r="AQ136" s="55">
        <f>IF(AK136="","",SEBIRate*AM136)</f>
        <v/>
      </c>
      <c r="AR136" s="55">
        <f>IF(AK136="","",StampRate*IF(I136="Buy",P136,AE136)*N136)</f>
        <v/>
      </c>
      <c r="AS136" s="55">
        <f>IF(AK136="","",GSTRate*(AN136+AP136+AQ136))</f>
        <v/>
      </c>
      <c r="AT136" s="55">
        <f>IF(AK136="","",AN136+AO136+AP136+AQ136+AR136+AS136)</f>
        <v/>
      </c>
      <c r="AU136" s="39">
        <f>IF(AK136="","",AK136-AT136)</f>
        <v/>
      </c>
      <c r="AV136" s="56">
        <f>IF(AU136="","",AU136/IF(N(Z136)&gt;0,Z136,RiskPerTrade))</f>
        <v/>
      </c>
      <c r="AW136" s="31">
        <f>IF(AU136="","",AU136/Capital)</f>
        <v/>
      </c>
      <c r="AX136" s="37" t="n"/>
      <c r="AY136" s="37" t="n"/>
      <c r="AZ136" s="37" t="n"/>
      <c r="BA136" s="37" t="n"/>
      <c r="BB136" s="37" t="n"/>
      <c r="BC136" s="37" t="n"/>
      <c r="BD136" s="37" t="n"/>
      <c r="BE136" s="5">
        <f>IF(AU136="","",IF(AU136&gt;0,"Win",IF(AU136&lt;0,"Loss","BE")))</f>
        <v/>
      </c>
      <c r="BF136" s="5">
        <f>IF(O136="","",LOOKUP(O136,List_BucketStart,List_BucketLabel))</f>
        <v/>
      </c>
      <c r="BG136" s="57">
        <f>IF(B136="","",B136-WEEKDAY(B136,3))</f>
        <v/>
      </c>
      <c r="BH136" s="28">
        <f>IF(B136="","",COUNTIF($B$6:B136,B136))</f>
        <v/>
      </c>
      <c r="BI136" s="39">
        <f>IF(B136="","",SUMIFS($AU$6:AU136,$B$6:B136,B136)-N(AU136))</f>
        <v/>
      </c>
      <c r="BJ136" s="5">
        <f>IF(OR(B136="",E136=""),"",IF(AND(E136=0,I136="Sell",MAX(N(O136),N(AD136))&gt;ExpiryCutoff),"BREACH","OK"))</f>
        <v/>
      </c>
      <c r="BK136" s="5">
        <f>IF(B136="","",IF(OR(AC136&lt;&gt;"OK",BJ136="BREACH",BH136&gt;MaxTradesDay,BI136&lt;=-DailyLossLimit,OR(AF136="Panic",AF136="Revenge",AF136="Rule break")),"CHECK","OK"))</f>
        <v/>
      </c>
      <c r="BL136" s="39">
        <f>IF(AU136="","",SUM($AU$6:AU136))</f>
        <v/>
      </c>
      <c r="BM136" s="39">
        <f>IF(BL136="","",Capital+BL136)</f>
        <v/>
      </c>
      <c r="BN136" s="39">
        <f>IF(BM136="","",MAX(Capital,MAX($BM$6:BM136)))</f>
        <v/>
      </c>
      <c r="BO136" s="39">
        <f>IF(BM136="","",BN136-BM136)</f>
        <v/>
      </c>
      <c r="BP136" s="58">
        <f>IF(BO136="","",BO136/BN136)</f>
        <v/>
      </c>
      <c r="BQ136" s="28">
        <f>IF(AU136="","",IF(AU136&lt;0,N(BQ135)+1,0))</f>
        <v/>
      </c>
    </row>
    <row r="137">
      <c r="A137" s="28">
        <f>IF(B137="","",COUNT($B$6:B137))</f>
        <v/>
      </c>
      <c r="B137" s="27" t="n"/>
      <c r="C137" s="5">
        <f>IF(B137="","",TEXT(B137,"ddd"))</f>
        <v/>
      </c>
      <c r="D137" s="27" t="n"/>
      <c r="E137" s="28">
        <f>IF(OR(B137="",D137=""),"",MAX(0,NETWORKDAYS(B137,D137)-1))</f>
        <v/>
      </c>
      <c r="F137" s="37" t="n"/>
      <c r="G137" s="36" t="n"/>
      <c r="H137" s="37" t="n"/>
      <c r="I137" s="37" t="n"/>
      <c r="J137" s="37" t="n"/>
      <c r="K137" s="37" t="n"/>
      <c r="L137" s="36" t="n"/>
      <c r="M137" s="36" t="n"/>
      <c r="N137" s="33">
        <f>IF(M137="","",M137*LotSize)</f>
        <v/>
      </c>
      <c r="O137" s="51" t="n"/>
      <c r="P137" s="32" t="n"/>
      <c r="Q137" s="29" t="n"/>
      <c r="R137" s="30">
        <f>IF(OR(G137="",Q137="",H137=""),"",IF(H137="CE",G137-Q137,Q137-G137))</f>
        <v/>
      </c>
      <c r="S137" s="31">
        <f>IF(R137="","",R137/Q137)</f>
        <v/>
      </c>
      <c r="T137" s="38" t="n"/>
      <c r="U137" s="32" t="n"/>
      <c r="V137" s="52" t="n"/>
      <c r="W137" s="37" t="n"/>
      <c r="X137" s="32" t="n"/>
      <c r="Y137" s="32" t="n"/>
      <c r="Z137" s="39">
        <f>IF(OR(X137="",P137="",N137=""),"",ABS(X137-P137)*N137)</f>
        <v/>
      </c>
      <c r="AA137" s="53">
        <f>IF(OR(Z137="",Y137=""),"",IF(Z137=0,"",ABS(P137-Y137)*N137/Z137))</f>
        <v/>
      </c>
      <c r="AB137" s="54">
        <f>IF(Z137="","",Z137/Capital)</f>
        <v/>
      </c>
      <c r="AC137" s="5">
        <f>IF(B137="","",IF(X137="","NO SL",IF(OR(N(M137)&gt;MaxLots,N(AB137)&gt;RiskPct),"OVERSIZED","OK")))</f>
        <v/>
      </c>
      <c r="AD137" s="51" t="n"/>
      <c r="AE137" s="32" t="n"/>
      <c r="AF137" s="37" t="n"/>
      <c r="AG137" s="32" t="n"/>
      <c r="AH137" s="32" t="n"/>
      <c r="AI137" s="39">
        <f>IF(OR(AG137="",P137="",N137=""),"",ABS(AG137-P137)*N137)</f>
        <v/>
      </c>
      <c r="AJ137" s="39">
        <f>IF(OR(AH137="",P137="",N137=""),"",ABS(P137-AH137)*N137)</f>
        <v/>
      </c>
      <c r="AK137" s="39">
        <f>IF(OR(AE137="",P137="",N137=""),"",IF(I137="Buy",AE137-P137,P137-AE137)*N137)</f>
        <v/>
      </c>
      <c r="AL137" s="39">
        <f>IF(OR(AJ137="",AK137=""),"",MAX(0,AJ137-AK137))</f>
        <v/>
      </c>
      <c r="AM137" s="39">
        <f>IF(AK137="","",(P137+AE137)*N137)</f>
        <v/>
      </c>
      <c r="AN137" s="55">
        <f>IF(AK137="","",BrokeragePerOrder*2*MAX(1,N(L137)))</f>
        <v/>
      </c>
      <c r="AO137" s="55">
        <f>IF(AK137="","",STTRate*IF(I137="Buy",AE137,P137)*N137)</f>
        <v/>
      </c>
      <c r="AP137" s="55">
        <f>IF(AK137="","",ExchRate*AM137)</f>
        <v/>
      </c>
      <c r="AQ137" s="55">
        <f>IF(AK137="","",SEBIRate*AM137)</f>
        <v/>
      </c>
      <c r="AR137" s="55">
        <f>IF(AK137="","",StampRate*IF(I137="Buy",P137,AE137)*N137)</f>
        <v/>
      </c>
      <c r="AS137" s="55">
        <f>IF(AK137="","",GSTRate*(AN137+AP137+AQ137))</f>
        <v/>
      </c>
      <c r="AT137" s="55">
        <f>IF(AK137="","",AN137+AO137+AP137+AQ137+AR137+AS137)</f>
        <v/>
      </c>
      <c r="AU137" s="39">
        <f>IF(AK137="","",AK137-AT137)</f>
        <v/>
      </c>
      <c r="AV137" s="56">
        <f>IF(AU137="","",AU137/IF(N(Z137)&gt;0,Z137,RiskPerTrade))</f>
        <v/>
      </c>
      <c r="AW137" s="31">
        <f>IF(AU137="","",AU137/Capital)</f>
        <v/>
      </c>
      <c r="AX137" s="37" t="n"/>
      <c r="AY137" s="37" t="n"/>
      <c r="AZ137" s="37" t="n"/>
      <c r="BA137" s="37" t="n"/>
      <c r="BB137" s="37" t="n"/>
      <c r="BC137" s="37" t="n"/>
      <c r="BD137" s="37" t="n"/>
      <c r="BE137" s="5">
        <f>IF(AU137="","",IF(AU137&gt;0,"Win",IF(AU137&lt;0,"Loss","BE")))</f>
        <v/>
      </c>
      <c r="BF137" s="5">
        <f>IF(O137="","",LOOKUP(O137,List_BucketStart,List_BucketLabel))</f>
        <v/>
      </c>
      <c r="BG137" s="57">
        <f>IF(B137="","",B137-WEEKDAY(B137,3))</f>
        <v/>
      </c>
      <c r="BH137" s="28">
        <f>IF(B137="","",COUNTIF($B$6:B137,B137))</f>
        <v/>
      </c>
      <c r="BI137" s="39">
        <f>IF(B137="","",SUMIFS($AU$6:AU137,$B$6:B137,B137)-N(AU137))</f>
        <v/>
      </c>
      <c r="BJ137" s="5">
        <f>IF(OR(B137="",E137=""),"",IF(AND(E137=0,I137="Sell",MAX(N(O137),N(AD137))&gt;ExpiryCutoff),"BREACH","OK"))</f>
        <v/>
      </c>
      <c r="BK137" s="5">
        <f>IF(B137="","",IF(OR(AC137&lt;&gt;"OK",BJ137="BREACH",BH137&gt;MaxTradesDay,BI137&lt;=-DailyLossLimit,OR(AF137="Panic",AF137="Revenge",AF137="Rule break")),"CHECK","OK"))</f>
        <v/>
      </c>
      <c r="BL137" s="39">
        <f>IF(AU137="","",SUM($AU$6:AU137))</f>
        <v/>
      </c>
      <c r="BM137" s="39">
        <f>IF(BL137="","",Capital+BL137)</f>
        <v/>
      </c>
      <c r="BN137" s="39">
        <f>IF(BM137="","",MAX(Capital,MAX($BM$6:BM137)))</f>
        <v/>
      </c>
      <c r="BO137" s="39">
        <f>IF(BM137="","",BN137-BM137)</f>
        <v/>
      </c>
      <c r="BP137" s="58">
        <f>IF(BO137="","",BO137/BN137)</f>
        <v/>
      </c>
      <c r="BQ137" s="28">
        <f>IF(AU137="","",IF(AU137&lt;0,N(BQ136)+1,0))</f>
        <v/>
      </c>
    </row>
    <row r="138">
      <c r="A138" s="28">
        <f>IF(B138="","",COUNT($B$6:B138))</f>
        <v/>
      </c>
      <c r="B138" s="27" t="n"/>
      <c r="C138" s="5">
        <f>IF(B138="","",TEXT(B138,"ddd"))</f>
        <v/>
      </c>
      <c r="D138" s="27" t="n"/>
      <c r="E138" s="28">
        <f>IF(OR(B138="",D138=""),"",MAX(0,NETWORKDAYS(B138,D138)-1))</f>
        <v/>
      </c>
      <c r="F138" s="37" t="n"/>
      <c r="G138" s="36" t="n"/>
      <c r="H138" s="37" t="n"/>
      <c r="I138" s="37" t="n"/>
      <c r="J138" s="37" t="n"/>
      <c r="K138" s="37" t="n"/>
      <c r="L138" s="36" t="n"/>
      <c r="M138" s="36" t="n"/>
      <c r="N138" s="33">
        <f>IF(M138="","",M138*LotSize)</f>
        <v/>
      </c>
      <c r="O138" s="51" t="n"/>
      <c r="P138" s="32" t="n"/>
      <c r="Q138" s="29" t="n"/>
      <c r="R138" s="30">
        <f>IF(OR(G138="",Q138="",H138=""),"",IF(H138="CE",G138-Q138,Q138-G138))</f>
        <v/>
      </c>
      <c r="S138" s="31">
        <f>IF(R138="","",R138/Q138)</f>
        <v/>
      </c>
      <c r="T138" s="38" t="n"/>
      <c r="U138" s="32" t="n"/>
      <c r="V138" s="52" t="n"/>
      <c r="W138" s="37" t="n"/>
      <c r="X138" s="32" t="n"/>
      <c r="Y138" s="32" t="n"/>
      <c r="Z138" s="39">
        <f>IF(OR(X138="",P138="",N138=""),"",ABS(X138-P138)*N138)</f>
        <v/>
      </c>
      <c r="AA138" s="53">
        <f>IF(OR(Z138="",Y138=""),"",IF(Z138=0,"",ABS(P138-Y138)*N138/Z138))</f>
        <v/>
      </c>
      <c r="AB138" s="54">
        <f>IF(Z138="","",Z138/Capital)</f>
        <v/>
      </c>
      <c r="AC138" s="5">
        <f>IF(B138="","",IF(X138="","NO SL",IF(OR(N(M138)&gt;MaxLots,N(AB138)&gt;RiskPct),"OVERSIZED","OK")))</f>
        <v/>
      </c>
      <c r="AD138" s="51" t="n"/>
      <c r="AE138" s="32" t="n"/>
      <c r="AF138" s="37" t="n"/>
      <c r="AG138" s="32" t="n"/>
      <c r="AH138" s="32" t="n"/>
      <c r="AI138" s="39">
        <f>IF(OR(AG138="",P138="",N138=""),"",ABS(AG138-P138)*N138)</f>
        <v/>
      </c>
      <c r="AJ138" s="39">
        <f>IF(OR(AH138="",P138="",N138=""),"",ABS(P138-AH138)*N138)</f>
        <v/>
      </c>
      <c r="AK138" s="39">
        <f>IF(OR(AE138="",P138="",N138=""),"",IF(I138="Buy",AE138-P138,P138-AE138)*N138)</f>
        <v/>
      </c>
      <c r="AL138" s="39">
        <f>IF(OR(AJ138="",AK138=""),"",MAX(0,AJ138-AK138))</f>
        <v/>
      </c>
      <c r="AM138" s="39">
        <f>IF(AK138="","",(P138+AE138)*N138)</f>
        <v/>
      </c>
      <c r="AN138" s="55">
        <f>IF(AK138="","",BrokeragePerOrder*2*MAX(1,N(L138)))</f>
        <v/>
      </c>
      <c r="AO138" s="55">
        <f>IF(AK138="","",STTRate*IF(I138="Buy",AE138,P138)*N138)</f>
        <v/>
      </c>
      <c r="AP138" s="55">
        <f>IF(AK138="","",ExchRate*AM138)</f>
        <v/>
      </c>
      <c r="AQ138" s="55">
        <f>IF(AK138="","",SEBIRate*AM138)</f>
        <v/>
      </c>
      <c r="AR138" s="55">
        <f>IF(AK138="","",StampRate*IF(I138="Buy",P138,AE138)*N138)</f>
        <v/>
      </c>
      <c r="AS138" s="55">
        <f>IF(AK138="","",GSTRate*(AN138+AP138+AQ138))</f>
        <v/>
      </c>
      <c r="AT138" s="55">
        <f>IF(AK138="","",AN138+AO138+AP138+AQ138+AR138+AS138)</f>
        <v/>
      </c>
      <c r="AU138" s="39">
        <f>IF(AK138="","",AK138-AT138)</f>
        <v/>
      </c>
      <c r="AV138" s="56">
        <f>IF(AU138="","",AU138/IF(N(Z138)&gt;0,Z138,RiskPerTrade))</f>
        <v/>
      </c>
      <c r="AW138" s="31">
        <f>IF(AU138="","",AU138/Capital)</f>
        <v/>
      </c>
      <c r="AX138" s="37" t="n"/>
      <c r="AY138" s="37" t="n"/>
      <c r="AZ138" s="37" t="n"/>
      <c r="BA138" s="37" t="n"/>
      <c r="BB138" s="37" t="n"/>
      <c r="BC138" s="37" t="n"/>
      <c r="BD138" s="37" t="n"/>
      <c r="BE138" s="5">
        <f>IF(AU138="","",IF(AU138&gt;0,"Win",IF(AU138&lt;0,"Loss","BE")))</f>
        <v/>
      </c>
      <c r="BF138" s="5">
        <f>IF(O138="","",LOOKUP(O138,List_BucketStart,List_BucketLabel))</f>
        <v/>
      </c>
      <c r="BG138" s="57">
        <f>IF(B138="","",B138-WEEKDAY(B138,3))</f>
        <v/>
      </c>
      <c r="BH138" s="28">
        <f>IF(B138="","",COUNTIF($B$6:B138,B138))</f>
        <v/>
      </c>
      <c r="BI138" s="39">
        <f>IF(B138="","",SUMIFS($AU$6:AU138,$B$6:B138,B138)-N(AU138))</f>
        <v/>
      </c>
      <c r="BJ138" s="5">
        <f>IF(OR(B138="",E138=""),"",IF(AND(E138=0,I138="Sell",MAX(N(O138),N(AD138))&gt;ExpiryCutoff),"BREACH","OK"))</f>
        <v/>
      </c>
      <c r="BK138" s="5">
        <f>IF(B138="","",IF(OR(AC138&lt;&gt;"OK",BJ138="BREACH",BH138&gt;MaxTradesDay,BI138&lt;=-DailyLossLimit,OR(AF138="Panic",AF138="Revenge",AF138="Rule break")),"CHECK","OK"))</f>
        <v/>
      </c>
      <c r="BL138" s="39">
        <f>IF(AU138="","",SUM($AU$6:AU138))</f>
        <v/>
      </c>
      <c r="BM138" s="39">
        <f>IF(BL138="","",Capital+BL138)</f>
        <v/>
      </c>
      <c r="BN138" s="39">
        <f>IF(BM138="","",MAX(Capital,MAX($BM$6:BM138)))</f>
        <v/>
      </c>
      <c r="BO138" s="39">
        <f>IF(BM138="","",BN138-BM138)</f>
        <v/>
      </c>
      <c r="BP138" s="58">
        <f>IF(BO138="","",BO138/BN138)</f>
        <v/>
      </c>
      <c r="BQ138" s="28">
        <f>IF(AU138="","",IF(AU138&lt;0,N(BQ137)+1,0))</f>
        <v/>
      </c>
    </row>
    <row r="139">
      <c r="A139" s="28">
        <f>IF(B139="","",COUNT($B$6:B139))</f>
        <v/>
      </c>
      <c r="B139" s="27" t="n"/>
      <c r="C139" s="5">
        <f>IF(B139="","",TEXT(B139,"ddd"))</f>
        <v/>
      </c>
      <c r="D139" s="27" t="n"/>
      <c r="E139" s="28">
        <f>IF(OR(B139="",D139=""),"",MAX(0,NETWORKDAYS(B139,D139)-1))</f>
        <v/>
      </c>
      <c r="F139" s="37" t="n"/>
      <c r="G139" s="36" t="n"/>
      <c r="H139" s="37" t="n"/>
      <c r="I139" s="37" t="n"/>
      <c r="J139" s="37" t="n"/>
      <c r="K139" s="37" t="n"/>
      <c r="L139" s="36" t="n"/>
      <c r="M139" s="36" t="n"/>
      <c r="N139" s="33">
        <f>IF(M139="","",M139*LotSize)</f>
        <v/>
      </c>
      <c r="O139" s="51" t="n"/>
      <c r="P139" s="32" t="n"/>
      <c r="Q139" s="29" t="n"/>
      <c r="R139" s="30">
        <f>IF(OR(G139="",Q139="",H139=""),"",IF(H139="CE",G139-Q139,Q139-G139))</f>
        <v/>
      </c>
      <c r="S139" s="31">
        <f>IF(R139="","",R139/Q139)</f>
        <v/>
      </c>
      <c r="T139" s="38" t="n"/>
      <c r="U139" s="32" t="n"/>
      <c r="V139" s="52" t="n"/>
      <c r="W139" s="37" t="n"/>
      <c r="X139" s="32" t="n"/>
      <c r="Y139" s="32" t="n"/>
      <c r="Z139" s="39">
        <f>IF(OR(X139="",P139="",N139=""),"",ABS(X139-P139)*N139)</f>
        <v/>
      </c>
      <c r="AA139" s="53">
        <f>IF(OR(Z139="",Y139=""),"",IF(Z139=0,"",ABS(P139-Y139)*N139/Z139))</f>
        <v/>
      </c>
      <c r="AB139" s="54">
        <f>IF(Z139="","",Z139/Capital)</f>
        <v/>
      </c>
      <c r="AC139" s="5">
        <f>IF(B139="","",IF(X139="","NO SL",IF(OR(N(M139)&gt;MaxLots,N(AB139)&gt;RiskPct),"OVERSIZED","OK")))</f>
        <v/>
      </c>
      <c r="AD139" s="51" t="n"/>
      <c r="AE139" s="32" t="n"/>
      <c r="AF139" s="37" t="n"/>
      <c r="AG139" s="32" t="n"/>
      <c r="AH139" s="32" t="n"/>
      <c r="AI139" s="39">
        <f>IF(OR(AG139="",P139="",N139=""),"",ABS(AG139-P139)*N139)</f>
        <v/>
      </c>
      <c r="AJ139" s="39">
        <f>IF(OR(AH139="",P139="",N139=""),"",ABS(P139-AH139)*N139)</f>
        <v/>
      </c>
      <c r="AK139" s="39">
        <f>IF(OR(AE139="",P139="",N139=""),"",IF(I139="Buy",AE139-P139,P139-AE139)*N139)</f>
        <v/>
      </c>
      <c r="AL139" s="39">
        <f>IF(OR(AJ139="",AK139=""),"",MAX(0,AJ139-AK139))</f>
        <v/>
      </c>
      <c r="AM139" s="39">
        <f>IF(AK139="","",(P139+AE139)*N139)</f>
        <v/>
      </c>
      <c r="AN139" s="55">
        <f>IF(AK139="","",BrokeragePerOrder*2*MAX(1,N(L139)))</f>
        <v/>
      </c>
      <c r="AO139" s="55">
        <f>IF(AK139="","",STTRate*IF(I139="Buy",AE139,P139)*N139)</f>
        <v/>
      </c>
      <c r="AP139" s="55">
        <f>IF(AK139="","",ExchRate*AM139)</f>
        <v/>
      </c>
      <c r="AQ139" s="55">
        <f>IF(AK139="","",SEBIRate*AM139)</f>
        <v/>
      </c>
      <c r="AR139" s="55">
        <f>IF(AK139="","",StampRate*IF(I139="Buy",P139,AE139)*N139)</f>
        <v/>
      </c>
      <c r="AS139" s="55">
        <f>IF(AK139="","",GSTRate*(AN139+AP139+AQ139))</f>
        <v/>
      </c>
      <c r="AT139" s="55">
        <f>IF(AK139="","",AN139+AO139+AP139+AQ139+AR139+AS139)</f>
        <v/>
      </c>
      <c r="AU139" s="39">
        <f>IF(AK139="","",AK139-AT139)</f>
        <v/>
      </c>
      <c r="AV139" s="56">
        <f>IF(AU139="","",AU139/IF(N(Z139)&gt;0,Z139,RiskPerTrade))</f>
        <v/>
      </c>
      <c r="AW139" s="31">
        <f>IF(AU139="","",AU139/Capital)</f>
        <v/>
      </c>
      <c r="AX139" s="37" t="n"/>
      <c r="AY139" s="37" t="n"/>
      <c r="AZ139" s="37" t="n"/>
      <c r="BA139" s="37" t="n"/>
      <c r="BB139" s="37" t="n"/>
      <c r="BC139" s="37" t="n"/>
      <c r="BD139" s="37" t="n"/>
      <c r="BE139" s="5">
        <f>IF(AU139="","",IF(AU139&gt;0,"Win",IF(AU139&lt;0,"Loss","BE")))</f>
        <v/>
      </c>
      <c r="BF139" s="5">
        <f>IF(O139="","",LOOKUP(O139,List_BucketStart,List_BucketLabel))</f>
        <v/>
      </c>
      <c r="BG139" s="57">
        <f>IF(B139="","",B139-WEEKDAY(B139,3))</f>
        <v/>
      </c>
      <c r="BH139" s="28">
        <f>IF(B139="","",COUNTIF($B$6:B139,B139))</f>
        <v/>
      </c>
      <c r="BI139" s="39">
        <f>IF(B139="","",SUMIFS($AU$6:AU139,$B$6:B139,B139)-N(AU139))</f>
        <v/>
      </c>
      <c r="BJ139" s="5">
        <f>IF(OR(B139="",E139=""),"",IF(AND(E139=0,I139="Sell",MAX(N(O139),N(AD139))&gt;ExpiryCutoff),"BREACH","OK"))</f>
        <v/>
      </c>
      <c r="BK139" s="5">
        <f>IF(B139="","",IF(OR(AC139&lt;&gt;"OK",BJ139="BREACH",BH139&gt;MaxTradesDay,BI139&lt;=-DailyLossLimit,OR(AF139="Panic",AF139="Revenge",AF139="Rule break")),"CHECK","OK"))</f>
        <v/>
      </c>
      <c r="BL139" s="39">
        <f>IF(AU139="","",SUM($AU$6:AU139))</f>
        <v/>
      </c>
      <c r="BM139" s="39">
        <f>IF(BL139="","",Capital+BL139)</f>
        <v/>
      </c>
      <c r="BN139" s="39">
        <f>IF(BM139="","",MAX(Capital,MAX($BM$6:BM139)))</f>
        <v/>
      </c>
      <c r="BO139" s="39">
        <f>IF(BM139="","",BN139-BM139)</f>
        <v/>
      </c>
      <c r="BP139" s="58">
        <f>IF(BO139="","",BO139/BN139)</f>
        <v/>
      </c>
      <c r="BQ139" s="28">
        <f>IF(AU139="","",IF(AU139&lt;0,N(BQ138)+1,0))</f>
        <v/>
      </c>
    </row>
    <row r="140">
      <c r="A140" s="28">
        <f>IF(B140="","",COUNT($B$6:B140))</f>
        <v/>
      </c>
      <c r="B140" s="27" t="n"/>
      <c r="C140" s="5">
        <f>IF(B140="","",TEXT(B140,"ddd"))</f>
        <v/>
      </c>
      <c r="D140" s="27" t="n"/>
      <c r="E140" s="28">
        <f>IF(OR(B140="",D140=""),"",MAX(0,NETWORKDAYS(B140,D140)-1))</f>
        <v/>
      </c>
      <c r="F140" s="37" t="n"/>
      <c r="G140" s="36" t="n"/>
      <c r="H140" s="37" t="n"/>
      <c r="I140" s="37" t="n"/>
      <c r="J140" s="37" t="n"/>
      <c r="K140" s="37" t="n"/>
      <c r="L140" s="36" t="n"/>
      <c r="M140" s="36" t="n"/>
      <c r="N140" s="33">
        <f>IF(M140="","",M140*LotSize)</f>
        <v/>
      </c>
      <c r="O140" s="51" t="n"/>
      <c r="P140" s="32" t="n"/>
      <c r="Q140" s="29" t="n"/>
      <c r="R140" s="30">
        <f>IF(OR(G140="",Q140="",H140=""),"",IF(H140="CE",G140-Q140,Q140-G140))</f>
        <v/>
      </c>
      <c r="S140" s="31">
        <f>IF(R140="","",R140/Q140)</f>
        <v/>
      </c>
      <c r="T140" s="38" t="n"/>
      <c r="U140" s="32" t="n"/>
      <c r="V140" s="52" t="n"/>
      <c r="W140" s="37" t="n"/>
      <c r="X140" s="32" t="n"/>
      <c r="Y140" s="32" t="n"/>
      <c r="Z140" s="39">
        <f>IF(OR(X140="",P140="",N140=""),"",ABS(X140-P140)*N140)</f>
        <v/>
      </c>
      <c r="AA140" s="53">
        <f>IF(OR(Z140="",Y140=""),"",IF(Z140=0,"",ABS(P140-Y140)*N140/Z140))</f>
        <v/>
      </c>
      <c r="AB140" s="54">
        <f>IF(Z140="","",Z140/Capital)</f>
        <v/>
      </c>
      <c r="AC140" s="5">
        <f>IF(B140="","",IF(X140="","NO SL",IF(OR(N(M140)&gt;MaxLots,N(AB140)&gt;RiskPct),"OVERSIZED","OK")))</f>
        <v/>
      </c>
      <c r="AD140" s="51" t="n"/>
      <c r="AE140" s="32" t="n"/>
      <c r="AF140" s="37" t="n"/>
      <c r="AG140" s="32" t="n"/>
      <c r="AH140" s="32" t="n"/>
      <c r="AI140" s="39">
        <f>IF(OR(AG140="",P140="",N140=""),"",ABS(AG140-P140)*N140)</f>
        <v/>
      </c>
      <c r="AJ140" s="39">
        <f>IF(OR(AH140="",P140="",N140=""),"",ABS(P140-AH140)*N140)</f>
        <v/>
      </c>
      <c r="AK140" s="39">
        <f>IF(OR(AE140="",P140="",N140=""),"",IF(I140="Buy",AE140-P140,P140-AE140)*N140)</f>
        <v/>
      </c>
      <c r="AL140" s="39">
        <f>IF(OR(AJ140="",AK140=""),"",MAX(0,AJ140-AK140))</f>
        <v/>
      </c>
      <c r="AM140" s="39">
        <f>IF(AK140="","",(P140+AE140)*N140)</f>
        <v/>
      </c>
      <c r="AN140" s="55">
        <f>IF(AK140="","",BrokeragePerOrder*2*MAX(1,N(L140)))</f>
        <v/>
      </c>
      <c r="AO140" s="55">
        <f>IF(AK140="","",STTRate*IF(I140="Buy",AE140,P140)*N140)</f>
        <v/>
      </c>
      <c r="AP140" s="55">
        <f>IF(AK140="","",ExchRate*AM140)</f>
        <v/>
      </c>
      <c r="AQ140" s="55">
        <f>IF(AK140="","",SEBIRate*AM140)</f>
        <v/>
      </c>
      <c r="AR140" s="55">
        <f>IF(AK140="","",StampRate*IF(I140="Buy",P140,AE140)*N140)</f>
        <v/>
      </c>
      <c r="AS140" s="55">
        <f>IF(AK140="","",GSTRate*(AN140+AP140+AQ140))</f>
        <v/>
      </c>
      <c r="AT140" s="55">
        <f>IF(AK140="","",AN140+AO140+AP140+AQ140+AR140+AS140)</f>
        <v/>
      </c>
      <c r="AU140" s="39">
        <f>IF(AK140="","",AK140-AT140)</f>
        <v/>
      </c>
      <c r="AV140" s="56">
        <f>IF(AU140="","",AU140/IF(N(Z140)&gt;0,Z140,RiskPerTrade))</f>
        <v/>
      </c>
      <c r="AW140" s="31">
        <f>IF(AU140="","",AU140/Capital)</f>
        <v/>
      </c>
      <c r="AX140" s="37" t="n"/>
      <c r="AY140" s="37" t="n"/>
      <c r="AZ140" s="37" t="n"/>
      <c r="BA140" s="37" t="n"/>
      <c r="BB140" s="37" t="n"/>
      <c r="BC140" s="37" t="n"/>
      <c r="BD140" s="37" t="n"/>
      <c r="BE140" s="5">
        <f>IF(AU140="","",IF(AU140&gt;0,"Win",IF(AU140&lt;0,"Loss","BE")))</f>
        <v/>
      </c>
      <c r="BF140" s="5">
        <f>IF(O140="","",LOOKUP(O140,List_BucketStart,List_BucketLabel))</f>
        <v/>
      </c>
      <c r="BG140" s="57">
        <f>IF(B140="","",B140-WEEKDAY(B140,3))</f>
        <v/>
      </c>
      <c r="BH140" s="28">
        <f>IF(B140="","",COUNTIF($B$6:B140,B140))</f>
        <v/>
      </c>
      <c r="BI140" s="39">
        <f>IF(B140="","",SUMIFS($AU$6:AU140,$B$6:B140,B140)-N(AU140))</f>
        <v/>
      </c>
      <c r="BJ140" s="5">
        <f>IF(OR(B140="",E140=""),"",IF(AND(E140=0,I140="Sell",MAX(N(O140),N(AD140))&gt;ExpiryCutoff),"BREACH","OK"))</f>
        <v/>
      </c>
      <c r="BK140" s="5">
        <f>IF(B140="","",IF(OR(AC140&lt;&gt;"OK",BJ140="BREACH",BH140&gt;MaxTradesDay,BI140&lt;=-DailyLossLimit,OR(AF140="Panic",AF140="Revenge",AF140="Rule break")),"CHECK","OK"))</f>
        <v/>
      </c>
      <c r="BL140" s="39">
        <f>IF(AU140="","",SUM($AU$6:AU140))</f>
        <v/>
      </c>
      <c r="BM140" s="39">
        <f>IF(BL140="","",Capital+BL140)</f>
        <v/>
      </c>
      <c r="BN140" s="39">
        <f>IF(BM140="","",MAX(Capital,MAX($BM$6:BM140)))</f>
        <v/>
      </c>
      <c r="BO140" s="39">
        <f>IF(BM140="","",BN140-BM140)</f>
        <v/>
      </c>
      <c r="BP140" s="58">
        <f>IF(BO140="","",BO140/BN140)</f>
        <v/>
      </c>
      <c r="BQ140" s="28">
        <f>IF(AU140="","",IF(AU140&lt;0,N(BQ139)+1,0))</f>
        <v/>
      </c>
    </row>
    <row r="141">
      <c r="A141" s="28">
        <f>IF(B141="","",COUNT($B$6:B141))</f>
        <v/>
      </c>
      <c r="B141" s="27" t="n"/>
      <c r="C141" s="5">
        <f>IF(B141="","",TEXT(B141,"ddd"))</f>
        <v/>
      </c>
      <c r="D141" s="27" t="n"/>
      <c r="E141" s="28">
        <f>IF(OR(B141="",D141=""),"",MAX(0,NETWORKDAYS(B141,D141)-1))</f>
        <v/>
      </c>
      <c r="F141" s="37" t="n"/>
      <c r="G141" s="36" t="n"/>
      <c r="H141" s="37" t="n"/>
      <c r="I141" s="37" t="n"/>
      <c r="J141" s="37" t="n"/>
      <c r="K141" s="37" t="n"/>
      <c r="L141" s="36" t="n"/>
      <c r="M141" s="36" t="n"/>
      <c r="N141" s="33">
        <f>IF(M141="","",M141*LotSize)</f>
        <v/>
      </c>
      <c r="O141" s="51" t="n"/>
      <c r="P141" s="32" t="n"/>
      <c r="Q141" s="29" t="n"/>
      <c r="R141" s="30">
        <f>IF(OR(G141="",Q141="",H141=""),"",IF(H141="CE",G141-Q141,Q141-G141))</f>
        <v/>
      </c>
      <c r="S141" s="31">
        <f>IF(R141="","",R141/Q141)</f>
        <v/>
      </c>
      <c r="T141" s="38" t="n"/>
      <c r="U141" s="32" t="n"/>
      <c r="V141" s="52" t="n"/>
      <c r="W141" s="37" t="n"/>
      <c r="X141" s="32" t="n"/>
      <c r="Y141" s="32" t="n"/>
      <c r="Z141" s="39">
        <f>IF(OR(X141="",P141="",N141=""),"",ABS(X141-P141)*N141)</f>
        <v/>
      </c>
      <c r="AA141" s="53">
        <f>IF(OR(Z141="",Y141=""),"",IF(Z141=0,"",ABS(P141-Y141)*N141/Z141))</f>
        <v/>
      </c>
      <c r="AB141" s="54">
        <f>IF(Z141="","",Z141/Capital)</f>
        <v/>
      </c>
      <c r="AC141" s="5">
        <f>IF(B141="","",IF(X141="","NO SL",IF(OR(N(M141)&gt;MaxLots,N(AB141)&gt;RiskPct),"OVERSIZED","OK")))</f>
        <v/>
      </c>
      <c r="AD141" s="51" t="n"/>
      <c r="AE141" s="32" t="n"/>
      <c r="AF141" s="37" t="n"/>
      <c r="AG141" s="32" t="n"/>
      <c r="AH141" s="32" t="n"/>
      <c r="AI141" s="39">
        <f>IF(OR(AG141="",P141="",N141=""),"",ABS(AG141-P141)*N141)</f>
        <v/>
      </c>
      <c r="AJ141" s="39">
        <f>IF(OR(AH141="",P141="",N141=""),"",ABS(P141-AH141)*N141)</f>
        <v/>
      </c>
      <c r="AK141" s="39">
        <f>IF(OR(AE141="",P141="",N141=""),"",IF(I141="Buy",AE141-P141,P141-AE141)*N141)</f>
        <v/>
      </c>
      <c r="AL141" s="39">
        <f>IF(OR(AJ141="",AK141=""),"",MAX(0,AJ141-AK141))</f>
        <v/>
      </c>
      <c r="AM141" s="39">
        <f>IF(AK141="","",(P141+AE141)*N141)</f>
        <v/>
      </c>
      <c r="AN141" s="55">
        <f>IF(AK141="","",BrokeragePerOrder*2*MAX(1,N(L141)))</f>
        <v/>
      </c>
      <c r="AO141" s="55">
        <f>IF(AK141="","",STTRate*IF(I141="Buy",AE141,P141)*N141)</f>
        <v/>
      </c>
      <c r="AP141" s="55">
        <f>IF(AK141="","",ExchRate*AM141)</f>
        <v/>
      </c>
      <c r="AQ141" s="55">
        <f>IF(AK141="","",SEBIRate*AM141)</f>
        <v/>
      </c>
      <c r="AR141" s="55">
        <f>IF(AK141="","",StampRate*IF(I141="Buy",P141,AE141)*N141)</f>
        <v/>
      </c>
      <c r="AS141" s="55">
        <f>IF(AK141="","",GSTRate*(AN141+AP141+AQ141))</f>
        <v/>
      </c>
      <c r="AT141" s="55">
        <f>IF(AK141="","",AN141+AO141+AP141+AQ141+AR141+AS141)</f>
        <v/>
      </c>
      <c r="AU141" s="39">
        <f>IF(AK141="","",AK141-AT141)</f>
        <v/>
      </c>
      <c r="AV141" s="56">
        <f>IF(AU141="","",AU141/IF(N(Z141)&gt;0,Z141,RiskPerTrade))</f>
        <v/>
      </c>
      <c r="AW141" s="31">
        <f>IF(AU141="","",AU141/Capital)</f>
        <v/>
      </c>
      <c r="AX141" s="37" t="n"/>
      <c r="AY141" s="37" t="n"/>
      <c r="AZ141" s="37" t="n"/>
      <c r="BA141" s="37" t="n"/>
      <c r="BB141" s="37" t="n"/>
      <c r="BC141" s="37" t="n"/>
      <c r="BD141" s="37" t="n"/>
      <c r="BE141" s="5">
        <f>IF(AU141="","",IF(AU141&gt;0,"Win",IF(AU141&lt;0,"Loss","BE")))</f>
        <v/>
      </c>
      <c r="BF141" s="5">
        <f>IF(O141="","",LOOKUP(O141,List_BucketStart,List_BucketLabel))</f>
        <v/>
      </c>
      <c r="BG141" s="57">
        <f>IF(B141="","",B141-WEEKDAY(B141,3))</f>
        <v/>
      </c>
      <c r="BH141" s="28">
        <f>IF(B141="","",COUNTIF($B$6:B141,B141))</f>
        <v/>
      </c>
      <c r="BI141" s="39">
        <f>IF(B141="","",SUMIFS($AU$6:AU141,$B$6:B141,B141)-N(AU141))</f>
        <v/>
      </c>
      <c r="BJ141" s="5">
        <f>IF(OR(B141="",E141=""),"",IF(AND(E141=0,I141="Sell",MAX(N(O141),N(AD141))&gt;ExpiryCutoff),"BREACH","OK"))</f>
        <v/>
      </c>
      <c r="BK141" s="5">
        <f>IF(B141="","",IF(OR(AC141&lt;&gt;"OK",BJ141="BREACH",BH141&gt;MaxTradesDay,BI141&lt;=-DailyLossLimit,OR(AF141="Panic",AF141="Revenge",AF141="Rule break")),"CHECK","OK"))</f>
        <v/>
      </c>
      <c r="BL141" s="39">
        <f>IF(AU141="","",SUM($AU$6:AU141))</f>
        <v/>
      </c>
      <c r="BM141" s="39">
        <f>IF(BL141="","",Capital+BL141)</f>
        <v/>
      </c>
      <c r="BN141" s="39">
        <f>IF(BM141="","",MAX(Capital,MAX($BM$6:BM141)))</f>
        <v/>
      </c>
      <c r="BO141" s="39">
        <f>IF(BM141="","",BN141-BM141)</f>
        <v/>
      </c>
      <c r="BP141" s="58">
        <f>IF(BO141="","",BO141/BN141)</f>
        <v/>
      </c>
      <c r="BQ141" s="28">
        <f>IF(AU141="","",IF(AU141&lt;0,N(BQ140)+1,0))</f>
        <v/>
      </c>
    </row>
    <row r="142">
      <c r="A142" s="28">
        <f>IF(B142="","",COUNT($B$6:B142))</f>
        <v/>
      </c>
      <c r="B142" s="27" t="n"/>
      <c r="C142" s="5">
        <f>IF(B142="","",TEXT(B142,"ddd"))</f>
        <v/>
      </c>
      <c r="D142" s="27" t="n"/>
      <c r="E142" s="28">
        <f>IF(OR(B142="",D142=""),"",MAX(0,NETWORKDAYS(B142,D142)-1))</f>
        <v/>
      </c>
      <c r="F142" s="37" t="n"/>
      <c r="G142" s="36" t="n"/>
      <c r="H142" s="37" t="n"/>
      <c r="I142" s="37" t="n"/>
      <c r="J142" s="37" t="n"/>
      <c r="K142" s="37" t="n"/>
      <c r="L142" s="36" t="n"/>
      <c r="M142" s="36" t="n"/>
      <c r="N142" s="33">
        <f>IF(M142="","",M142*LotSize)</f>
        <v/>
      </c>
      <c r="O142" s="51" t="n"/>
      <c r="P142" s="32" t="n"/>
      <c r="Q142" s="29" t="n"/>
      <c r="R142" s="30">
        <f>IF(OR(G142="",Q142="",H142=""),"",IF(H142="CE",G142-Q142,Q142-G142))</f>
        <v/>
      </c>
      <c r="S142" s="31">
        <f>IF(R142="","",R142/Q142)</f>
        <v/>
      </c>
      <c r="T142" s="38" t="n"/>
      <c r="U142" s="32" t="n"/>
      <c r="V142" s="52" t="n"/>
      <c r="W142" s="37" t="n"/>
      <c r="X142" s="32" t="n"/>
      <c r="Y142" s="32" t="n"/>
      <c r="Z142" s="39">
        <f>IF(OR(X142="",P142="",N142=""),"",ABS(X142-P142)*N142)</f>
        <v/>
      </c>
      <c r="AA142" s="53">
        <f>IF(OR(Z142="",Y142=""),"",IF(Z142=0,"",ABS(P142-Y142)*N142/Z142))</f>
        <v/>
      </c>
      <c r="AB142" s="54">
        <f>IF(Z142="","",Z142/Capital)</f>
        <v/>
      </c>
      <c r="AC142" s="5">
        <f>IF(B142="","",IF(X142="","NO SL",IF(OR(N(M142)&gt;MaxLots,N(AB142)&gt;RiskPct),"OVERSIZED","OK")))</f>
        <v/>
      </c>
      <c r="AD142" s="51" t="n"/>
      <c r="AE142" s="32" t="n"/>
      <c r="AF142" s="37" t="n"/>
      <c r="AG142" s="32" t="n"/>
      <c r="AH142" s="32" t="n"/>
      <c r="AI142" s="39">
        <f>IF(OR(AG142="",P142="",N142=""),"",ABS(AG142-P142)*N142)</f>
        <v/>
      </c>
      <c r="AJ142" s="39">
        <f>IF(OR(AH142="",P142="",N142=""),"",ABS(P142-AH142)*N142)</f>
        <v/>
      </c>
      <c r="AK142" s="39">
        <f>IF(OR(AE142="",P142="",N142=""),"",IF(I142="Buy",AE142-P142,P142-AE142)*N142)</f>
        <v/>
      </c>
      <c r="AL142" s="39">
        <f>IF(OR(AJ142="",AK142=""),"",MAX(0,AJ142-AK142))</f>
        <v/>
      </c>
      <c r="AM142" s="39">
        <f>IF(AK142="","",(P142+AE142)*N142)</f>
        <v/>
      </c>
      <c r="AN142" s="55">
        <f>IF(AK142="","",BrokeragePerOrder*2*MAX(1,N(L142)))</f>
        <v/>
      </c>
      <c r="AO142" s="55">
        <f>IF(AK142="","",STTRate*IF(I142="Buy",AE142,P142)*N142)</f>
        <v/>
      </c>
      <c r="AP142" s="55">
        <f>IF(AK142="","",ExchRate*AM142)</f>
        <v/>
      </c>
      <c r="AQ142" s="55">
        <f>IF(AK142="","",SEBIRate*AM142)</f>
        <v/>
      </c>
      <c r="AR142" s="55">
        <f>IF(AK142="","",StampRate*IF(I142="Buy",P142,AE142)*N142)</f>
        <v/>
      </c>
      <c r="AS142" s="55">
        <f>IF(AK142="","",GSTRate*(AN142+AP142+AQ142))</f>
        <v/>
      </c>
      <c r="AT142" s="55">
        <f>IF(AK142="","",AN142+AO142+AP142+AQ142+AR142+AS142)</f>
        <v/>
      </c>
      <c r="AU142" s="39">
        <f>IF(AK142="","",AK142-AT142)</f>
        <v/>
      </c>
      <c r="AV142" s="56">
        <f>IF(AU142="","",AU142/IF(N(Z142)&gt;0,Z142,RiskPerTrade))</f>
        <v/>
      </c>
      <c r="AW142" s="31">
        <f>IF(AU142="","",AU142/Capital)</f>
        <v/>
      </c>
      <c r="AX142" s="37" t="n"/>
      <c r="AY142" s="37" t="n"/>
      <c r="AZ142" s="37" t="n"/>
      <c r="BA142" s="37" t="n"/>
      <c r="BB142" s="37" t="n"/>
      <c r="BC142" s="37" t="n"/>
      <c r="BD142" s="37" t="n"/>
      <c r="BE142" s="5">
        <f>IF(AU142="","",IF(AU142&gt;0,"Win",IF(AU142&lt;0,"Loss","BE")))</f>
        <v/>
      </c>
      <c r="BF142" s="5">
        <f>IF(O142="","",LOOKUP(O142,List_BucketStart,List_BucketLabel))</f>
        <v/>
      </c>
      <c r="BG142" s="57">
        <f>IF(B142="","",B142-WEEKDAY(B142,3))</f>
        <v/>
      </c>
      <c r="BH142" s="28">
        <f>IF(B142="","",COUNTIF($B$6:B142,B142))</f>
        <v/>
      </c>
      <c r="BI142" s="39">
        <f>IF(B142="","",SUMIFS($AU$6:AU142,$B$6:B142,B142)-N(AU142))</f>
        <v/>
      </c>
      <c r="BJ142" s="5">
        <f>IF(OR(B142="",E142=""),"",IF(AND(E142=0,I142="Sell",MAX(N(O142),N(AD142))&gt;ExpiryCutoff),"BREACH","OK"))</f>
        <v/>
      </c>
      <c r="BK142" s="5">
        <f>IF(B142="","",IF(OR(AC142&lt;&gt;"OK",BJ142="BREACH",BH142&gt;MaxTradesDay,BI142&lt;=-DailyLossLimit,OR(AF142="Panic",AF142="Revenge",AF142="Rule break")),"CHECK","OK"))</f>
        <v/>
      </c>
      <c r="BL142" s="39">
        <f>IF(AU142="","",SUM($AU$6:AU142))</f>
        <v/>
      </c>
      <c r="BM142" s="39">
        <f>IF(BL142="","",Capital+BL142)</f>
        <v/>
      </c>
      <c r="BN142" s="39">
        <f>IF(BM142="","",MAX(Capital,MAX($BM$6:BM142)))</f>
        <v/>
      </c>
      <c r="BO142" s="39">
        <f>IF(BM142="","",BN142-BM142)</f>
        <v/>
      </c>
      <c r="BP142" s="58">
        <f>IF(BO142="","",BO142/BN142)</f>
        <v/>
      </c>
      <c r="BQ142" s="28">
        <f>IF(AU142="","",IF(AU142&lt;0,N(BQ141)+1,0))</f>
        <v/>
      </c>
    </row>
    <row r="143">
      <c r="A143" s="28">
        <f>IF(B143="","",COUNT($B$6:B143))</f>
        <v/>
      </c>
      <c r="B143" s="27" t="n"/>
      <c r="C143" s="5">
        <f>IF(B143="","",TEXT(B143,"ddd"))</f>
        <v/>
      </c>
      <c r="D143" s="27" t="n"/>
      <c r="E143" s="28">
        <f>IF(OR(B143="",D143=""),"",MAX(0,NETWORKDAYS(B143,D143)-1))</f>
        <v/>
      </c>
      <c r="F143" s="37" t="n"/>
      <c r="G143" s="36" t="n"/>
      <c r="H143" s="37" t="n"/>
      <c r="I143" s="37" t="n"/>
      <c r="J143" s="37" t="n"/>
      <c r="K143" s="37" t="n"/>
      <c r="L143" s="36" t="n"/>
      <c r="M143" s="36" t="n"/>
      <c r="N143" s="33">
        <f>IF(M143="","",M143*LotSize)</f>
        <v/>
      </c>
      <c r="O143" s="51" t="n"/>
      <c r="P143" s="32" t="n"/>
      <c r="Q143" s="29" t="n"/>
      <c r="R143" s="30">
        <f>IF(OR(G143="",Q143="",H143=""),"",IF(H143="CE",G143-Q143,Q143-G143))</f>
        <v/>
      </c>
      <c r="S143" s="31">
        <f>IF(R143="","",R143/Q143)</f>
        <v/>
      </c>
      <c r="T143" s="38" t="n"/>
      <c r="U143" s="32" t="n"/>
      <c r="V143" s="52" t="n"/>
      <c r="W143" s="37" t="n"/>
      <c r="X143" s="32" t="n"/>
      <c r="Y143" s="32" t="n"/>
      <c r="Z143" s="39">
        <f>IF(OR(X143="",P143="",N143=""),"",ABS(X143-P143)*N143)</f>
        <v/>
      </c>
      <c r="AA143" s="53">
        <f>IF(OR(Z143="",Y143=""),"",IF(Z143=0,"",ABS(P143-Y143)*N143/Z143))</f>
        <v/>
      </c>
      <c r="AB143" s="54">
        <f>IF(Z143="","",Z143/Capital)</f>
        <v/>
      </c>
      <c r="AC143" s="5">
        <f>IF(B143="","",IF(X143="","NO SL",IF(OR(N(M143)&gt;MaxLots,N(AB143)&gt;RiskPct),"OVERSIZED","OK")))</f>
        <v/>
      </c>
      <c r="AD143" s="51" t="n"/>
      <c r="AE143" s="32" t="n"/>
      <c r="AF143" s="37" t="n"/>
      <c r="AG143" s="32" t="n"/>
      <c r="AH143" s="32" t="n"/>
      <c r="AI143" s="39">
        <f>IF(OR(AG143="",P143="",N143=""),"",ABS(AG143-P143)*N143)</f>
        <v/>
      </c>
      <c r="AJ143" s="39">
        <f>IF(OR(AH143="",P143="",N143=""),"",ABS(P143-AH143)*N143)</f>
        <v/>
      </c>
      <c r="AK143" s="39">
        <f>IF(OR(AE143="",P143="",N143=""),"",IF(I143="Buy",AE143-P143,P143-AE143)*N143)</f>
        <v/>
      </c>
      <c r="AL143" s="39">
        <f>IF(OR(AJ143="",AK143=""),"",MAX(0,AJ143-AK143))</f>
        <v/>
      </c>
      <c r="AM143" s="39">
        <f>IF(AK143="","",(P143+AE143)*N143)</f>
        <v/>
      </c>
      <c r="AN143" s="55">
        <f>IF(AK143="","",BrokeragePerOrder*2*MAX(1,N(L143)))</f>
        <v/>
      </c>
      <c r="AO143" s="55">
        <f>IF(AK143="","",STTRate*IF(I143="Buy",AE143,P143)*N143)</f>
        <v/>
      </c>
      <c r="AP143" s="55">
        <f>IF(AK143="","",ExchRate*AM143)</f>
        <v/>
      </c>
      <c r="AQ143" s="55">
        <f>IF(AK143="","",SEBIRate*AM143)</f>
        <v/>
      </c>
      <c r="AR143" s="55">
        <f>IF(AK143="","",StampRate*IF(I143="Buy",P143,AE143)*N143)</f>
        <v/>
      </c>
      <c r="AS143" s="55">
        <f>IF(AK143="","",GSTRate*(AN143+AP143+AQ143))</f>
        <v/>
      </c>
      <c r="AT143" s="55">
        <f>IF(AK143="","",AN143+AO143+AP143+AQ143+AR143+AS143)</f>
        <v/>
      </c>
      <c r="AU143" s="39">
        <f>IF(AK143="","",AK143-AT143)</f>
        <v/>
      </c>
      <c r="AV143" s="56">
        <f>IF(AU143="","",AU143/IF(N(Z143)&gt;0,Z143,RiskPerTrade))</f>
        <v/>
      </c>
      <c r="AW143" s="31">
        <f>IF(AU143="","",AU143/Capital)</f>
        <v/>
      </c>
      <c r="AX143" s="37" t="n"/>
      <c r="AY143" s="37" t="n"/>
      <c r="AZ143" s="37" t="n"/>
      <c r="BA143" s="37" t="n"/>
      <c r="BB143" s="37" t="n"/>
      <c r="BC143" s="37" t="n"/>
      <c r="BD143" s="37" t="n"/>
      <c r="BE143" s="5">
        <f>IF(AU143="","",IF(AU143&gt;0,"Win",IF(AU143&lt;0,"Loss","BE")))</f>
        <v/>
      </c>
      <c r="BF143" s="5">
        <f>IF(O143="","",LOOKUP(O143,List_BucketStart,List_BucketLabel))</f>
        <v/>
      </c>
      <c r="BG143" s="57">
        <f>IF(B143="","",B143-WEEKDAY(B143,3))</f>
        <v/>
      </c>
      <c r="BH143" s="28">
        <f>IF(B143="","",COUNTIF($B$6:B143,B143))</f>
        <v/>
      </c>
      <c r="BI143" s="39">
        <f>IF(B143="","",SUMIFS($AU$6:AU143,$B$6:B143,B143)-N(AU143))</f>
        <v/>
      </c>
      <c r="BJ143" s="5">
        <f>IF(OR(B143="",E143=""),"",IF(AND(E143=0,I143="Sell",MAX(N(O143),N(AD143))&gt;ExpiryCutoff),"BREACH","OK"))</f>
        <v/>
      </c>
      <c r="BK143" s="5">
        <f>IF(B143="","",IF(OR(AC143&lt;&gt;"OK",BJ143="BREACH",BH143&gt;MaxTradesDay,BI143&lt;=-DailyLossLimit,OR(AF143="Panic",AF143="Revenge",AF143="Rule break")),"CHECK","OK"))</f>
        <v/>
      </c>
      <c r="BL143" s="39">
        <f>IF(AU143="","",SUM($AU$6:AU143))</f>
        <v/>
      </c>
      <c r="BM143" s="39">
        <f>IF(BL143="","",Capital+BL143)</f>
        <v/>
      </c>
      <c r="BN143" s="39">
        <f>IF(BM143="","",MAX(Capital,MAX($BM$6:BM143)))</f>
        <v/>
      </c>
      <c r="BO143" s="39">
        <f>IF(BM143="","",BN143-BM143)</f>
        <v/>
      </c>
      <c r="BP143" s="58">
        <f>IF(BO143="","",BO143/BN143)</f>
        <v/>
      </c>
      <c r="BQ143" s="28">
        <f>IF(AU143="","",IF(AU143&lt;0,N(BQ142)+1,0))</f>
        <v/>
      </c>
    </row>
    <row r="144">
      <c r="A144" s="28">
        <f>IF(B144="","",COUNT($B$6:B144))</f>
        <v/>
      </c>
      <c r="B144" s="27" t="n"/>
      <c r="C144" s="5">
        <f>IF(B144="","",TEXT(B144,"ddd"))</f>
        <v/>
      </c>
      <c r="D144" s="27" t="n"/>
      <c r="E144" s="28">
        <f>IF(OR(B144="",D144=""),"",MAX(0,NETWORKDAYS(B144,D144)-1))</f>
        <v/>
      </c>
      <c r="F144" s="37" t="n"/>
      <c r="G144" s="36" t="n"/>
      <c r="H144" s="37" t="n"/>
      <c r="I144" s="37" t="n"/>
      <c r="J144" s="37" t="n"/>
      <c r="K144" s="37" t="n"/>
      <c r="L144" s="36" t="n"/>
      <c r="M144" s="36" t="n"/>
      <c r="N144" s="33">
        <f>IF(M144="","",M144*LotSize)</f>
        <v/>
      </c>
      <c r="O144" s="51" t="n"/>
      <c r="P144" s="32" t="n"/>
      <c r="Q144" s="29" t="n"/>
      <c r="R144" s="30">
        <f>IF(OR(G144="",Q144="",H144=""),"",IF(H144="CE",G144-Q144,Q144-G144))</f>
        <v/>
      </c>
      <c r="S144" s="31">
        <f>IF(R144="","",R144/Q144)</f>
        <v/>
      </c>
      <c r="T144" s="38" t="n"/>
      <c r="U144" s="32" t="n"/>
      <c r="V144" s="52" t="n"/>
      <c r="W144" s="37" t="n"/>
      <c r="X144" s="32" t="n"/>
      <c r="Y144" s="32" t="n"/>
      <c r="Z144" s="39">
        <f>IF(OR(X144="",P144="",N144=""),"",ABS(X144-P144)*N144)</f>
        <v/>
      </c>
      <c r="AA144" s="53">
        <f>IF(OR(Z144="",Y144=""),"",IF(Z144=0,"",ABS(P144-Y144)*N144/Z144))</f>
        <v/>
      </c>
      <c r="AB144" s="54">
        <f>IF(Z144="","",Z144/Capital)</f>
        <v/>
      </c>
      <c r="AC144" s="5">
        <f>IF(B144="","",IF(X144="","NO SL",IF(OR(N(M144)&gt;MaxLots,N(AB144)&gt;RiskPct),"OVERSIZED","OK")))</f>
        <v/>
      </c>
      <c r="AD144" s="51" t="n"/>
      <c r="AE144" s="32" t="n"/>
      <c r="AF144" s="37" t="n"/>
      <c r="AG144" s="32" t="n"/>
      <c r="AH144" s="32" t="n"/>
      <c r="AI144" s="39">
        <f>IF(OR(AG144="",P144="",N144=""),"",ABS(AG144-P144)*N144)</f>
        <v/>
      </c>
      <c r="AJ144" s="39">
        <f>IF(OR(AH144="",P144="",N144=""),"",ABS(P144-AH144)*N144)</f>
        <v/>
      </c>
      <c r="AK144" s="39">
        <f>IF(OR(AE144="",P144="",N144=""),"",IF(I144="Buy",AE144-P144,P144-AE144)*N144)</f>
        <v/>
      </c>
      <c r="AL144" s="39">
        <f>IF(OR(AJ144="",AK144=""),"",MAX(0,AJ144-AK144))</f>
        <v/>
      </c>
      <c r="AM144" s="39">
        <f>IF(AK144="","",(P144+AE144)*N144)</f>
        <v/>
      </c>
      <c r="AN144" s="55">
        <f>IF(AK144="","",BrokeragePerOrder*2*MAX(1,N(L144)))</f>
        <v/>
      </c>
      <c r="AO144" s="55">
        <f>IF(AK144="","",STTRate*IF(I144="Buy",AE144,P144)*N144)</f>
        <v/>
      </c>
      <c r="AP144" s="55">
        <f>IF(AK144="","",ExchRate*AM144)</f>
        <v/>
      </c>
      <c r="AQ144" s="55">
        <f>IF(AK144="","",SEBIRate*AM144)</f>
        <v/>
      </c>
      <c r="AR144" s="55">
        <f>IF(AK144="","",StampRate*IF(I144="Buy",P144,AE144)*N144)</f>
        <v/>
      </c>
      <c r="AS144" s="55">
        <f>IF(AK144="","",GSTRate*(AN144+AP144+AQ144))</f>
        <v/>
      </c>
      <c r="AT144" s="55">
        <f>IF(AK144="","",AN144+AO144+AP144+AQ144+AR144+AS144)</f>
        <v/>
      </c>
      <c r="AU144" s="39">
        <f>IF(AK144="","",AK144-AT144)</f>
        <v/>
      </c>
      <c r="AV144" s="56">
        <f>IF(AU144="","",AU144/IF(N(Z144)&gt;0,Z144,RiskPerTrade))</f>
        <v/>
      </c>
      <c r="AW144" s="31">
        <f>IF(AU144="","",AU144/Capital)</f>
        <v/>
      </c>
      <c r="AX144" s="37" t="n"/>
      <c r="AY144" s="37" t="n"/>
      <c r="AZ144" s="37" t="n"/>
      <c r="BA144" s="37" t="n"/>
      <c r="BB144" s="37" t="n"/>
      <c r="BC144" s="37" t="n"/>
      <c r="BD144" s="37" t="n"/>
      <c r="BE144" s="5">
        <f>IF(AU144="","",IF(AU144&gt;0,"Win",IF(AU144&lt;0,"Loss","BE")))</f>
        <v/>
      </c>
      <c r="BF144" s="5">
        <f>IF(O144="","",LOOKUP(O144,List_BucketStart,List_BucketLabel))</f>
        <v/>
      </c>
      <c r="BG144" s="57">
        <f>IF(B144="","",B144-WEEKDAY(B144,3))</f>
        <v/>
      </c>
      <c r="BH144" s="28">
        <f>IF(B144="","",COUNTIF($B$6:B144,B144))</f>
        <v/>
      </c>
      <c r="BI144" s="39">
        <f>IF(B144="","",SUMIFS($AU$6:AU144,$B$6:B144,B144)-N(AU144))</f>
        <v/>
      </c>
      <c r="BJ144" s="5">
        <f>IF(OR(B144="",E144=""),"",IF(AND(E144=0,I144="Sell",MAX(N(O144),N(AD144))&gt;ExpiryCutoff),"BREACH","OK"))</f>
        <v/>
      </c>
      <c r="BK144" s="5">
        <f>IF(B144="","",IF(OR(AC144&lt;&gt;"OK",BJ144="BREACH",BH144&gt;MaxTradesDay,BI144&lt;=-DailyLossLimit,OR(AF144="Panic",AF144="Revenge",AF144="Rule break")),"CHECK","OK"))</f>
        <v/>
      </c>
      <c r="BL144" s="39">
        <f>IF(AU144="","",SUM($AU$6:AU144))</f>
        <v/>
      </c>
      <c r="BM144" s="39">
        <f>IF(BL144="","",Capital+BL144)</f>
        <v/>
      </c>
      <c r="BN144" s="39">
        <f>IF(BM144="","",MAX(Capital,MAX($BM$6:BM144)))</f>
        <v/>
      </c>
      <c r="BO144" s="39">
        <f>IF(BM144="","",BN144-BM144)</f>
        <v/>
      </c>
      <c r="BP144" s="58">
        <f>IF(BO144="","",BO144/BN144)</f>
        <v/>
      </c>
      <c r="BQ144" s="28">
        <f>IF(AU144="","",IF(AU144&lt;0,N(BQ143)+1,0))</f>
        <v/>
      </c>
    </row>
    <row r="145">
      <c r="A145" s="28">
        <f>IF(B145="","",COUNT($B$6:B145))</f>
        <v/>
      </c>
      <c r="B145" s="27" t="n"/>
      <c r="C145" s="5">
        <f>IF(B145="","",TEXT(B145,"ddd"))</f>
        <v/>
      </c>
      <c r="D145" s="27" t="n"/>
      <c r="E145" s="28">
        <f>IF(OR(B145="",D145=""),"",MAX(0,NETWORKDAYS(B145,D145)-1))</f>
        <v/>
      </c>
      <c r="F145" s="37" t="n"/>
      <c r="G145" s="36" t="n"/>
      <c r="H145" s="37" t="n"/>
      <c r="I145" s="37" t="n"/>
      <c r="J145" s="37" t="n"/>
      <c r="K145" s="37" t="n"/>
      <c r="L145" s="36" t="n"/>
      <c r="M145" s="36" t="n"/>
      <c r="N145" s="33">
        <f>IF(M145="","",M145*LotSize)</f>
        <v/>
      </c>
      <c r="O145" s="51" t="n"/>
      <c r="P145" s="32" t="n"/>
      <c r="Q145" s="29" t="n"/>
      <c r="R145" s="30">
        <f>IF(OR(G145="",Q145="",H145=""),"",IF(H145="CE",G145-Q145,Q145-G145))</f>
        <v/>
      </c>
      <c r="S145" s="31">
        <f>IF(R145="","",R145/Q145)</f>
        <v/>
      </c>
      <c r="T145" s="38" t="n"/>
      <c r="U145" s="32" t="n"/>
      <c r="V145" s="52" t="n"/>
      <c r="W145" s="37" t="n"/>
      <c r="X145" s="32" t="n"/>
      <c r="Y145" s="32" t="n"/>
      <c r="Z145" s="39">
        <f>IF(OR(X145="",P145="",N145=""),"",ABS(X145-P145)*N145)</f>
        <v/>
      </c>
      <c r="AA145" s="53">
        <f>IF(OR(Z145="",Y145=""),"",IF(Z145=0,"",ABS(P145-Y145)*N145/Z145))</f>
        <v/>
      </c>
      <c r="AB145" s="54">
        <f>IF(Z145="","",Z145/Capital)</f>
        <v/>
      </c>
      <c r="AC145" s="5">
        <f>IF(B145="","",IF(X145="","NO SL",IF(OR(N(M145)&gt;MaxLots,N(AB145)&gt;RiskPct),"OVERSIZED","OK")))</f>
        <v/>
      </c>
      <c r="AD145" s="51" t="n"/>
      <c r="AE145" s="32" t="n"/>
      <c r="AF145" s="37" t="n"/>
      <c r="AG145" s="32" t="n"/>
      <c r="AH145" s="32" t="n"/>
      <c r="AI145" s="39">
        <f>IF(OR(AG145="",P145="",N145=""),"",ABS(AG145-P145)*N145)</f>
        <v/>
      </c>
      <c r="AJ145" s="39">
        <f>IF(OR(AH145="",P145="",N145=""),"",ABS(P145-AH145)*N145)</f>
        <v/>
      </c>
      <c r="AK145" s="39">
        <f>IF(OR(AE145="",P145="",N145=""),"",IF(I145="Buy",AE145-P145,P145-AE145)*N145)</f>
        <v/>
      </c>
      <c r="AL145" s="39">
        <f>IF(OR(AJ145="",AK145=""),"",MAX(0,AJ145-AK145))</f>
        <v/>
      </c>
      <c r="AM145" s="39">
        <f>IF(AK145="","",(P145+AE145)*N145)</f>
        <v/>
      </c>
      <c r="AN145" s="55">
        <f>IF(AK145="","",BrokeragePerOrder*2*MAX(1,N(L145)))</f>
        <v/>
      </c>
      <c r="AO145" s="55">
        <f>IF(AK145="","",STTRate*IF(I145="Buy",AE145,P145)*N145)</f>
        <v/>
      </c>
      <c r="AP145" s="55">
        <f>IF(AK145="","",ExchRate*AM145)</f>
        <v/>
      </c>
      <c r="AQ145" s="55">
        <f>IF(AK145="","",SEBIRate*AM145)</f>
        <v/>
      </c>
      <c r="AR145" s="55">
        <f>IF(AK145="","",StampRate*IF(I145="Buy",P145,AE145)*N145)</f>
        <v/>
      </c>
      <c r="AS145" s="55">
        <f>IF(AK145="","",GSTRate*(AN145+AP145+AQ145))</f>
        <v/>
      </c>
      <c r="AT145" s="55">
        <f>IF(AK145="","",AN145+AO145+AP145+AQ145+AR145+AS145)</f>
        <v/>
      </c>
      <c r="AU145" s="39">
        <f>IF(AK145="","",AK145-AT145)</f>
        <v/>
      </c>
      <c r="AV145" s="56">
        <f>IF(AU145="","",AU145/IF(N(Z145)&gt;0,Z145,RiskPerTrade))</f>
        <v/>
      </c>
      <c r="AW145" s="31">
        <f>IF(AU145="","",AU145/Capital)</f>
        <v/>
      </c>
      <c r="AX145" s="37" t="n"/>
      <c r="AY145" s="37" t="n"/>
      <c r="AZ145" s="37" t="n"/>
      <c r="BA145" s="37" t="n"/>
      <c r="BB145" s="37" t="n"/>
      <c r="BC145" s="37" t="n"/>
      <c r="BD145" s="37" t="n"/>
      <c r="BE145" s="5">
        <f>IF(AU145="","",IF(AU145&gt;0,"Win",IF(AU145&lt;0,"Loss","BE")))</f>
        <v/>
      </c>
      <c r="BF145" s="5">
        <f>IF(O145="","",LOOKUP(O145,List_BucketStart,List_BucketLabel))</f>
        <v/>
      </c>
      <c r="BG145" s="57">
        <f>IF(B145="","",B145-WEEKDAY(B145,3))</f>
        <v/>
      </c>
      <c r="BH145" s="28">
        <f>IF(B145="","",COUNTIF($B$6:B145,B145))</f>
        <v/>
      </c>
      <c r="BI145" s="39">
        <f>IF(B145="","",SUMIFS($AU$6:AU145,$B$6:B145,B145)-N(AU145))</f>
        <v/>
      </c>
      <c r="BJ145" s="5">
        <f>IF(OR(B145="",E145=""),"",IF(AND(E145=0,I145="Sell",MAX(N(O145),N(AD145))&gt;ExpiryCutoff),"BREACH","OK"))</f>
        <v/>
      </c>
      <c r="BK145" s="5">
        <f>IF(B145="","",IF(OR(AC145&lt;&gt;"OK",BJ145="BREACH",BH145&gt;MaxTradesDay,BI145&lt;=-DailyLossLimit,OR(AF145="Panic",AF145="Revenge",AF145="Rule break")),"CHECK","OK"))</f>
        <v/>
      </c>
      <c r="BL145" s="39">
        <f>IF(AU145="","",SUM($AU$6:AU145))</f>
        <v/>
      </c>
      <c r="BM145" s="39">
        <f>IF(BL145="","",Capital+BL145)</f>
        <v/>
      </c>
      <c r="BN145" s="39">
        <f>IF(BM145="","",MAX(Capital,MAX($BM$6:BM145)))</f>
        <v/>
      </c>
      <c r="BO145" s="39">
        <f>IF(BM145="","",BN145-BM145)</f>
        <v/>
      </c>
      <c r="BP145" s="58">
        <f>IF(BO145="","",BO145/BN145)</f>
        <v/>
      </c>
      <c r="BQ145" s="28">
        <f>IF(AU145="","",IF(AU145&lt;0,N(BQ144)+1,0))</f>
        <v/>
      </c>
    </row>
    <row r="146">
      <c r="A146" s="28">
        <f>IF(B146="","",COUNT($B$6:B146))</f>
        <v/>
      </c>
      <c r="B146" s="27" t="n"/>
      <c r="C146" s="5">
        <f>IF(B146="","",TEXT(B146,"ddd"))</f>
        <v/>
      </c>
      <c r="D146" s="27" t="n"/>
      <c r="E146" s="28">
        <f>IF(OR(B146="",D146=""),"",MAX(0,NETWORKDAYS(B146,D146)-1))</f>
        <v/>
      </c>
      <c r="F146" s="37" t="n"/>
      <c r="G146" s="36" t="n"/>
      <c r="H146" s="37" t="n"/>
      <c r="I146" s="37" t="n"/>
      <c r="J146" s="37" t="n"/>
      <c r="K146" s="37" t="n"/>
      <c r="L146" s="36" t="n"/>
      <c r="M146" s="36" t="n"/>
      <c r="N146" s="33">
        <f>IF(M146="","",M146*LotSize)</f>
        <v/>
      </c>
      <c r="O146" s="51" t="n"/>
      <c r="P146" s="32" t="n"/>
      <c r="Q146" s="29" t="n"/>
      <c r="R146" s="30">
        <f>IF(OR(G146="",Q146="",H146=""),"",IF(H146="CE",G146-Q146,Q146-G146))</f>
        <v/>
      </c>
      <c r="S146" s="31">
        <f>IF(R146="","",R146/Q146)</f>
        <v/>
      </c>
      <c r="T146" s="38" t="n"/>
      <c r="U146" s="32" t="n"/>
      <c r="V146" s="52" t="n"/>
      <c r="W146" s="37" t="n"/>
      <c r="X146" s="32" t="n"/>
      <c r="Y146" s="32" t="n"/>
      <c r="Z146" s="39">
        <f>IF(OR(X146="",P146="",N146=""),"",ABS(X146-P146)*N146)</f>
        <v/>
      </c>
      <c r="AA146" s="53">
        <f>IF(OR(Z146="",Y146=""),"",IF(Z146=0,"",ABS(P146-Y146)*N146/Z146))</f>
        <v/>
      </c>
      <c r="AB146" s="54">
        <f>IF(Z146="","",Z146/Capital)</f>
        <v/>
      </c>
      <c r="AC146" s="5">
        <f>IF(B146="","",IF(X146="","NO SL",IF(OR(N(M146)&gt;MaxLots,N(AB146)&gt;RiskPct),"OVERSIZED","OK")))</f>
        <v/>
      </c>
      <c r="AD146" s="51" t="n"/>
      <c r="AE146" s="32" t="n"/>
      <c r="AF146" s="37" t="n"/>
      <c r="AG146" s="32" t="n"/>
      <c r="AH146" s="32" t="n"/>
      <c r="AI146" s="39">
        <f>IF(OR(AG146="",P146="",N146=""),"",ABS(AG146-P146)*N146)</f>
        <v/>
      </c>
      <c r="AJ146" s="39">
        <f>IF(OR(AH146="",P146="",N146=""),"",ABS(P146-AH146)*N146)</f>
        <v/>
      </c>
      <c r="AK146" s="39">
        <f>IF(OR(AE146="",P146="",N146=""),"",IF(I146="Buy",AE146-P146,P146-AE146)*N146)</f>
        <v/>
      </c>
      <c r="AL146" s="39">
        <f>IF(OR(AJ146="",AK146=""),"",MAX(0,AJ146-AK146))</f>
        <v/>
      </c>
      <c r="AM146" s="39">
        <f>IF(AK146="","",(P146+AE146)*N146)</f>
        <v/>
      </c>
      <c r="AN146" s="55">
        <f>IF(AK146="","",BrokeragePerOrder*2*MAX(1,N(L146)))</f>
        <v/>
      </c>
      <c r="AO146" s="55">
        <f>IF(AK146="","",STTRate*IF(I146="Buy",AE146,P146)*N146)</f>
        <v/>
      </c>
      <c r="AP146" s="55">
        <f>IF(AK146="","",ExchRate*AM146)</f>
        <v/>
      </c>
      <c r="AQ146" s="55">
        <f>IF(AK146="","",SEBIRate*AM146)</f>
        <v/>
      </c>
      <c r="AR146" s="55">
        <f>IF(AK146="","",StampRate*IF(I146="Buy",P146,AE146)*N146)</f>
        <v/>
      </c>
      <c r="AS146" s="55">
        <f>IF(AK146="","",GSTRate*(AN146+AP146+AQ146))</f>
        <v/>
      </c>
      <c r="AT146" s="55">
        <f>IF(AK146="","",AN146+AO146+AP146+AQ146+AR146+AS146)</f>
        <v/>
      </c>
      <c r="AU146" s="39">
        <f>IF(AK146="","",AK146-AT146)</f>
        <v/>
      </c>
      <c r="AV146" s="56">
        <f>IF(AU146="","",AU146/IF(N(Z146)&gt;0,Z146,RiskPerTrade))</f>
        <v/>
      </c>
      <c r="AW146" s="31">
        <f>IF(AU146="","",AU146/Capital)</f>
        <v/>
      </c>
      <c r="AX146" s="37" t="n"/>
      <c r="AY146" s="37" t="n"/>
      <c r="AZ146" s="37" t="n"/>
      <c r="BA146" s="37" t="n"/>
      <c r="BB146" s="37" t="n"/>
      <c r="BC146" s="37" t="n"/>
      <c r="BD146" s="37" t="n"/>
      <c r="BE146" s="5">
        <f>IF(AU146="","",IF(AU146&gt;0,"Win",IF(AU146&lt;0,"Loss","BE")))</f>
        <v/>
      </c>
      <c r="BF146" s="5">
        <f>IF(O146="","",LOOKUP(O146,List_BucketStart,List_BucketLabel))</f>
        <v/>
      </c>
      <c r="BG146" s="57">
        <f>IF(B146="","",B146-WEEKDAY(B146,3))</f>
        <v/>
      </c>
      <c r="BH146" s="28">
        <f>IF(B146="","",COUNTIF($B$6:B146,B146))</f>
        <v/>
      </c>
      <c r="BI146" s="39">
        <f>IF(B146="","",SUMIFS($AU$6:AU146,$B$6:B146,B146)-N(AU146))</f>
        <v/>
      </c>
      <c r="BJ146" s="5">
        <f>IF(OR(B146="",E146=""),"",IF(AND(E146=0,I146="Sell",MAX(N(O146),N(AD146))&gt;ExpiryCutoff),"BREACH","OK"))</f>
        <v/>
      </c>
      <c r="BK146" s="5">
        <f>IF(B146="","",IF(OR(AC146&lt;&gt;"OK",BJ146="BREACH",BH146&gt;MaxTradesDay,BI146&lt;=-DailyLossLimit,OR(AF146="Panic",AF146="Revenge",AF146="Rule break")),"CHECK","OK"))</f>
        <v/>
      </c>
      <c r="BL146" s="39">
        <f>IF(AU146="","",SUM($AU$6:AU146))</f>
        <v/>
      </c>
      <c r="BM146" s="39">
        <f>IF(BL146="","",Capital+BL146)</f>
        <v/>
      </c>
      <c r="BN146" s="39">
        <f>IF(BM146="","",MAX(Capital,MAX($BM$6:BM146)))</f>
        <v/>
      </c>
      <c r="BO146" s="39">
        <f>IF(BM146="","",BN146-BM146)</f>
        <v/>
      </c>
      <c r="BP146" s="58">
        <f>IF(BO146="","",BO146/BN146)</f>
        <v/>
      </c>
      <c r="BQ146" s="28">
        <f>IF(AU146="","",IF(AU146&lt;0,N(BQ145)+1,0))</f>
        <v/>
      </c>
    </row>
    <row r="147">
      <c r="A147" s="28">
        <f>IF(B147="","",COUNT($B$6:B147))</f>
        <v/>
      </c>
      <c r="B147" s="27" t="n"/>
      <c r="C147" s="5">
        <f>IF(B147="","",TEXT(B147,"ddd"))</f>
        <v/>
      </c>
      <c r="D147" s="27" t="n"/>
      <c r="E147" s="28">
        <f>IF(OR(B147="",D147=""),"",MAX(0,NETWORKDAYS(B147,D147)-1))</f>
        <v/>
      </c>
      <c r="F147" s="37" t="n"/>
      <c r="G147" s="36" t="n"/>
      <c r="H147" s="37" t="n"/>
      <c r="I147" s="37" t="n"/>
      <c r="J147" s="37" t="n"/>
      <c r="K147" s="37" t="n"/>
      <c r="L147" s="36" t="n"/>
      <c r="M147" s="36" t="n"/>
      <c r="N147" s="33">
        <f>IF(M147="","",M147*LotSize)</f>
        <v/>
      </c>
      <c r="O147" s="51" t="n"/>
      <c r="P147" s="32" t="n"/>
      <c r="Q147" s="29" t="n"/>
      <c r="R147" s="30">
        <f>IF(OR(G147="",Q147="",H147=""),"",IF(H147="CE",G147-Q147,Q147-G147))</f>
        <v/>
      </c>
      <c r="S147" s="31">
        <f>IF(R147="","",R147/Q147)</f>
        <v/>
      </c>
      <c r="T147" s="38" t="n"/>
      <c r="U147" s="32" t="n"/>
      <c r="V147" s="52" t="n"/>
      <c r="W147" s="37" t="n"/>
      <c r="X147" s="32" t="n"/>
      <c r="Y147" s="32" t="n"/>
      <c r="Z147" s="39">
        <f>IF(OR(X147="",P147="",N147=""),"",ABS(X147-P147)*N147)</f>
        <v/>
      </c>
      <c r="AA147" s="53">
        <f>IF(OR(Z147="",Y147=""),"",IF(Z147=0,"",ABS(P147-Y147)*N147/Z147))</f>
        <v/>
      </c>
      <c r="AB147" s="54">
        <f>IF(Z147="","",Z147/Capital)</f>
        <v/>
      </c>
      <c r="AC147" s="5">
        <f>IF(B147="","",IF(X147="","NO SL",IF(OR(N(M147)&gt;MaxLots,N(AB147)&gt;RiskPct),"OVERSIZED","OK")))</f>
        <v/>
      </c>
      <c r="AD147" s="51" t="n"/>
      <c r="AE147" s="32" t="n"/>
      <c r="AF147" s="37" t="n"/>
      <c r="AG147" s="32" t="n"/>
      <c r="AH147" s="32" t="n"/>
      <c r="AI147" s="39">
        <f>IF(OR(AG147="",P147="",N147=""),"",ABS(AG147-P147)*N147)</f>
        <v/>
      </c>
      <c r="AJ147" s="39">
        <f>IF(OR(AH147="",P147="",N147=""),"",ABS(P147-AH147)*N147)</f>
        <v/>
      </c>
      <c r="AK147" s="39">
        <f>IF(OR(AE147="",P147="",N147=""),"",IF(I147="Buy",AE147-P147,P147-AE147)*N147)</f>
        <v/>
      </c>
      <c r="AL147" s="39">
        <f>IF(OR(AJ147="",AK147=""),"",MAX(0,AJ147-AK147))</f>
        <v/>
      </c>
      <c r="AM147" s="39">
        <f>IF(AK147="","",(P147+AE147)*N147)</f>
        <v/>
      </c>
      <c r="AN147" s="55">
        <f>IF(AK147="","",BrokeragePerOrder*2*MAX(1,N(L147)))</f>
        <v/>
      </c>
      <c r="AO147" s="55">
        <f>IF(AK147="","",STTRate*IF(I147="Buy",AE147,P147)*N147)</f>
        <v/>
      </c>
      <c r="AP147" s="55">
        <f>IF(AK147="","",ExchRate*AM147)</f>
        <v/>
      </c>
      <c r="AQ147" s="55">
        <f>IF(AK147="","",SEBIRate*AM147)</f>
        <v/>
      </c>
      <c r="AR147" s="55">
        <f>IF(AK147="","",StampRate*IF(I147="Buy",P147,AE147)*N147)</f>
        <v/>
      </c>
      <c r="AS147" s="55">
        <f>IF(AK147="","",GSTRate*(AN147+AP147+AQ147))</f>
        <v/>
      </c>
      <c r="AT147" s="55">
        <f>IF(AK147="","",AN147+AO147+AP147+AQ147+AR147+AS147)</f>
        <v/>
      </c>
      <c r="AU147" s="39">
        <f>IF(AK147="","",AK147-AT147)</f>
        <v/>
      </c>
      <c r="AV147" s="56">
        <f>IF(AU147="","",AU147/IF(N(Z147)&gt;0,Z147,RiskPerTrade))</f>
        <v/>
      </c>
      <c r="AW147" s="31">
        <f>IF(AU147="","",AU147/Capital)</f>
        <v/>
      </c>
      <c r="AX147" s="37" t="n"/>
      <c r="AY147" s="37" t="n"/>
      <c r="AZ147" s="37" t="n"/>
      <c r="BA147" s="37" t="n"/>
      <c r="BB147" s="37" t="n"/>
      <c r="BC147" s="37" t="n"/>
      <c r="BD147" s="37" t="n"/>
      <c r="BE147" s="5">
        <f>IF(AU147="","",IF(AU147&gt;0,"Win",IF(AU147&lt;0,"Loss","BE")))</f>
        <v/>
      </c>
      <c r="BF147" s="5">
        <f>IF(O147="","",LOOKUP(O147,List_BucketStart,List_BucketLabel))</f>
        <v/>
      </c>
      <c r="BG147" s="57">
        <f>IF(B147="","",B147-WEEKDAY(B147,3))</f>
        <v/>
      </c>
      <c r="BH147" s="28">
        <f>IF(B147="","",COUNTIF($B$6:B147,B147))</f>
        <v/>
      </c>
      <c r="BI147" s="39">
        <f>IF(B147="","",SUMIFS($AU$6:AU147,$B$6:B147,B147)-N(AU147))</f>
        <v/>
      </c>
      <c r="BJ147" s="5">
        <f>IF(OR(B147="",E147=""),"",IF(AND(E147=0,I147="Sell",MAX(N(O147),N(AD147))&gt;ExpiryCutoff),"BREACH","OK"))</f>
        <v/>
      </c>
      <c r="BK147" s="5">
        <f>IF(B147="","",IF(OR(AC147&lt;&gt;"OK",BJ147="BREACH",BH147&gt;MaxTradesDay,BI147&lt;=-DailyLossLimit,OR(AF147="Panic",AF147="Revenge",AF147="Rule break")),"CHECK","OK"))</f>
        <v/>
      </c>
      <c r="BL147" s="39">
        <f>IF(AU147="","",SUM($AU$6:AU147))</f>
        <v/>
      </c>
      <c r="BM147" s="39">
        <f>IF(BL147="","",Capital+BL147)</f>
        <v/>
      </c>
      <c r="BN147" s="39">
        <f>IF(BM147="","",MAX(Capital,MAX($BM$6:BM147)))</f>
        <v/>
      </c>
      <c r="BO147" s="39">
        <f>IF(BM147="","",BN147-BM147)</f>
        <v/>
      </c>
      <c r="BP147" s="58">
        <f>IF(BO147="","",BO147/BN147)</f>
        <v/>
      </c>
      <c r="BQ147" s="28">
        <f>IF(AU147="","",IF(AU147&lt;0,N(BQ146)+1,0))</f>
        <v/>
      </c>
    </row>
    <row r="148">
      <c r="A148" s="28">
        <f>IF(B148="","",COUNT($B$6:B148))</f>
        <v/>
      </c>
      <c r="B148" s="27" t="n"/>
      <c r="C148" s="5">
        <f>IF(B148="","",TEXT(B148,"ddd"))</f>
        <v/>
      </c>
      <c r="D148" s="27" t="n"/>
      <c r="E148" s="28">
        <f>IF(OR(B148="",D148=""),"",MAX(0,NETWORKDAYS(B148,D148)-1))</f>
        <v/>
      </c>
      <c r="F148" s="37" t="n"/>
      <c r="G148" s="36" t="n"/>
      <c r="H148" s="37" t="n"/>
      <c r="I148" s="37" t="n"/>
      <c r="J148" s="37" t="n"/>
      <c r="K148" s="37" t="n"/>
      <c r="L148" s="36" t="n"/>
      <c r="M148" s="36" t="n"/>
      <c r="N148" s="33">
        <f>IF(M148="","",M148*LotSize)</f>
        <v/>
      </c>
      <c r="O148" s="51" t="n"/>
      <c r="P148" s="32" t="n"/>
      <c r="Q148" s="29" t="n"/>
      <c r="R148" s="30">
        <f>IF(OR(G148="",Q148="",H148=""),"",IF(H148="CE",G148-Q148,Q148-G148))</f>
        <v/>
      </c>
      <c r="S148" s="31">
        <f>IF(R148="","",R148/Q148)</f>
        <v/>
      </c>
      <c r="T148" s="38" t="n"/>
      <c r="U148" s="32" t="n"/>
      <c r="V148" s="52" t="n"/>
      <c r="W148" s="37" t="n"/>
      <c r="X148" s="32" t="n"/>
      <c r="Y148" s="32" t="n"/>
      <c r="Z148" s="39">
        <f>IF(OR(X148="",P148="",N148=""),"",ABS(X148-P148)*N148)</f>
        <v/>
      </c>
      <c r="AA148" s="53">
        <f>IF(OR(Z148="",Y148=""),"",IF(Z148=0,"",ABS(P148-Y148)*N148/Z148))</f>
        <v/>
      </c>
      <c r="AB148" s="54">
        <f>IF(Z148="","",Z148/Capital)</f>
        <v/>
      </c>
      <c r="AC148" s="5">
        <f>IF(B148="","",IF(X148="","NO SL",IF(OR(N(M148)&gt;MaxLots,N(AB148)&gt;RiskPct),"OVERSIZED","OK")))</f>
        <v/>
      </c>
      <c r="AD148" s="51" t="n"/>
      <c r="AE148" s="32" t="n"/>
      <c r="AF148" s="37" t="n"/>
      <c r="AG148" s="32" t="n"/>
      <c r="AH148" s="32" t="n"/>
      <c r="AI148" s="39">
        <f>IF(OR(AG148="",P148="",N148=""),"",ABS(AG148-P148)*N148)</f>
        <v/>
      </c>
      <c r="AJ148" s="39">
        <f>IF(OR(AH148="",P148="",N148=""),"",ABS(P148-AH148)*N148)</f>
        <v/>
      </c>
      <c r="AK148" s="39">
        <f>IF(OR(AE148="",P148="",N148=""),"",IF(I148="Buy",AE148-P148,P148-AE148)*N148)</f>
        <v/>
      </c>
      <c r="AL148" s="39">
        <f>IF(OR(AJ148="",AK148=""),"",MAX(0,AJ148-AK148))</f>
        <v/>
      </c>
      <c r="AM148" s="39">
        <f>IF(AK148="","",(P148+AE148)*N148)</f>
        <v/>
      </c>
      <c r="AN148" s="55">
        <f>IF(AK148="","",BrokeragePerOrder*2*MAX(1,N(L148)))</f>
        <v/>
      </c>
      <c r="AO148" s="55">
        <f>IF(AK148="","",STTRate*IF(I148="Buy",AE148,P148)*N148)</f>
        <v/>
      </c>
      <c r="AP148" s="55">
        <f>IF(AK148="","",ExchRate*AM148)</f>
        <v/>
      </c>
      <c r="AQ148" s="55">
        <f>IF(AK148="","",SEBIRate*AM148)</f>
        <v/>
      </c>
      <c r="AR148" s="55">
        <f>IF(AK148="","",StampRate*IF(I148="Buy",P148,AE148)*N148)</f>
        <v/>
      </c>
      <c r="AS148" s="55">
        <f>IF(AK148="","",GSTRate*(AN148+AP148+AQ148))</f>
        <v/>
      </c>
      <c r="AT148" s="55">
        <f>IF(AK148="","",AN148+AO148+AP148+AQ148+AR148+AS148)</f>
        <v/>
      </c>
      <c r="AU148" s="39">
        <f>IF(AK148="","",AK148-AT148)</f>
        <v/>
      </c>
      <c r="AV148" s="56">
        <f>IF(AU148="","",AU148/IF(N(Z148)&gt;0,Z148,RiskPerTrade))</f>
        <v/>
      </c>
      <c r="AW148" s="31">
        <f>IF(AU148="","",AU148/Capital)</f>
        <v/>
      </c>
      <c r="AX148" s="37" t="n"/>
      <c r="AY148" s="37" t="n"/>
      <c r="AZ148" s="37" t="n"/>
      <c r="BA148" s="37" t="n"/>
      <c r="BB148" s="37" t="n"/>
      <c r="BC148" s="37" t="n"/>
      <c r="BD148" s="37" t="n"/>
      <c r="BE148" s="5">
        <f>IF(AU148="","",IF(AU148&gt;0,"Win",IF(AU148&lt;0,"Loss","BE")))</f>
        <v/>
      </c>
      <c r="BF148" s="5">
        <f>IF(O148="","",LOOKUP(O148,List_BucketStart,List_BucketLabel))</f>
        <v/>
      </c>
      <c r="BG148" s="57">
        <f>IF(B148="","",B148-WEEKDAY(B148,3))</f>
        <v/>
      </c>
      <c r="BH148" s="28">
        <f>IF(B148="","",COUNTIF($B$6:B148,B148))</f>
        <v/>
      </c>
      <c r="BI148" s="39">
        <f>IF(B148="","",SUMIFS($AU$6:AU148,$B$6:B148,B148)-N(AU148))</f>
        <v/>
      </c>
      <c r="BJ148" s="5">
        <f>IF(OR(B148="",E148=""),"",IF(AND(E148=0,I148="Sell",MAX(N(O148),N(AD148))&gt;ExpiryCutoff),"BREACH","OK"))</f>
        <v/>
      </c>
      <c r="BK148" s="5">
        <f>IF(B148="","",IF(OR(AC148&lt;&gt;"OK",BJ148="BREACH",BH148&gt;MaxTradesDay,BI148&lt;=-DailyLossLimit,OR(AF148="Panic",AF148="Revenge",AF148="Rule break")),"CHECK","OK"))</f>
        <v/>
      </c>
      <c r="BL148" s="39">
        <f>IF(AU148="","",SUM($AU$6:AU148))</f>
        <v/>
      </c>
      <c r="BM148" s="39">
        <f>IF(BL148="","",Capital+BL148)</f>
        <v/>
      </c>
      <c r="BN148" s="39">
        <f>IF(BM148="","",MAX(Capital,MAX($BM$6:BM148)))</f>
        <v/>
      </c>
      <c r="BO148" s="39">
        <f>IF(BM148="","",BN148-BM148)</f>
        <v/>
      </c>
      <c r="BP148" s="58">
        <f>IF(BO148="","",BO148/BN148)</f>
        <v/>
      </c>
      <c r="BQ148" s="28">
        <f>IF(AU148="","",IF(AU148&lt;0,N(BQ147)+1,0))</f>
        <v/>
      </c>
    </row>
    <row r="149">
      <c r="A149" s="28">
        <f>IF(B149="","",COUNT($B$6:B149))</f>
        <v/>
      </c>
      <c r="B149" s="27" t="n"/>
      <c r="C149" s="5">
        <f>IF(B149="","",TEXT(B149,"ddd"))</f>
        <v/>
      </c>
      <c r="D149" s="27" t="n"/>
      <c r="E149" s="28">
        <f>IF(OR(B149="",D149=""),"",MAX(0,NETWORKDAYS(B149,D149)-1))</f>
        <v/>
      </c>
      <c r="F149" s="37" t="n"/>
      <c r="G149" s="36" t="n"/>
      <c r="H149" s="37" t="n"/>
      <c r="I149" s="37" t="n"/>
      <c r="J149" s="37" t="n"/>
      <c r="K149" s="37" t="n"/>
      <c r="L149" s="36" t="n"/>
      <c r="M149" s="36" t="n"/>
      <c r="N149" s="33">
        <f>IF(M149="","",M149*LotSize)</f>
        <v/>
      </c>
      <c r="O149" s="51" t="n"/>
      <c r="P149" s="32" t="n"/>
      <c r="Q149" s="29" t="n"/>
      <c r="R149" s="30">
        <f>IF(OR(G149="",Q149="",H149=""),"",IF(H149="CE",G149-Q149,Q149-G149))</f>
        <v/>
      </c>
      <c r="S149" s="31">
        <f>IF(R149="","",R149/Q149)</f>
        <v/>
      </c>
      <c r="T149" s="38" t="n"/>
      <c r="U149" s="32" t="n"/>
      <c r="V149" s="52" t="n"/>
      <c r="W149" s="37" t="n"/>
      <c r="X149" s="32" t="n"/>
      <c r="Y149" s="32" t="n"/>
      <c r="Z149" s="39">
        <f>IF(OR(X149="",P149="",N149=""),"",ABS(X149-P149)*N149)</f>
        <v/>
      </c>
      <c r="AA149" s="53">
        <f>IF(OR(Z149="",Y149=""),"",IF(Z149=0,"",ABS(P149-Y149)*N149/Z149))</f>
        <v/>
      </c>
      <c r="AB149" s="54">
        <f>IF(Z149="","",Z149/Capital)</f>
        <v/>
      </c>
      <c r="AC149" s="5">
        <f>IF(B149="","",IF(X149="","NO SL",IF(OR(N(M149)&gt;MaxLots,N(AB149)&gt;RiskPct),"OVERSIZED","OK")))</f>
        <v/>
      </c>
      <c r="AD149" s="51" t="n"/>
      <c r="AE149" s="32" t="n"/>
      <c r="AF149" s="37" t="n"/>
      <c r="AG149" s="32" t="n"/>
      <c r="AH149" s="32" t="n"/>
      <c r="AI149" s="39">
        <f>IF(OR(AG149="",P149="",N149=""),"",ABS(AG149-P149)*N149)</f>
        <v/>
      </c>
      <c r="AJ149" s="39">
        <f>IF(OR(AH149="",P149="",N149=""),"",ABS(P149-AH149)*N149)</f>
        <v/>
      </c>
      <c r="AK149" s="39">
        <f>IF(OR(AE149="",P149="",N149=""),"",IF(I149="Buy",AE149-P149,P149-AE149)*N149)</f>
        <v/>
      </c>
      <c r="AL149" s="39">
        <f>IF(OR(AJ149="",AK149=""),"",MAX(0,AJ149-AK149))</f>
        <v/>
      </c>
      <c r="AM149" s="39">
        <f>IF(AK149="","",(P149+AE149)*N149)</f>
        <v/>
      </c>
      <c r="AN149" s="55">
        <f>IF(AK149="","",BrokeragePerOrder*2*MAX(1,N(L149)))</f>
        <v/>
      </c>
      <c r="AO149" s="55">
        <f>IF(AK149="","",STTRate*IF(I149="Buy",AE149,P149)*N149)</f>
        <v/>
      </c>
      <c r="AP149" s="55">
        <f>IF(AK149="","",ExchRate*AM149)</f>
        <v/>
      </c>
      <c r="AQ149" s="55">
        <f>IF(AK149="","",SEBIRate*AM149)</f>
        <v/>
      </c>
      <c r="AR149" s="55">
        <f>IF(AK149="","",StampRate*IF(I149="Buy",P149,AE149)*N149)</f>
        <v/>
      </c>
      <c r="AS149" s="55">
        <f>IF(AK149="","",GSTRate*(AN149+AP149+AQ149))</f>
        <v/>
      </c>
      <c r="AT149" s="55">
        <f>IF(AK149="","",AN149+AO149+AP149+AQ149+AR149+AS149)</f>
        <v/>
      </c>
      <c r="AU149" s="39">
        <f>IF(AK149="","",AK149-AT149)</f>
        <v/>
      </c>
      <c r="AV149" s="56">
        <f>IF(AU149="","",AU149/IF(N(Z149)&gt;0,Z149,RiskPerTrade))</f>
        <v/>
      </c>
      <c r="AW149" s="31">
        <f>IF(AU149="","",AU149/Capital)</f>
        <v/>
      </c>
      <c r="AX149" s="37" t="n"/>
      <c r="AY149" s="37" t="n"/>
      <c r="AZ149" s="37" t="n"/>
      <c r="BA149" s="37" t="n"/>
      <c r="BB149" s="37" t="n"/>
      <c r="BC149" s="37" t="n"/>
      <c r="BD149" s="37" t="n"/>
      <c r="BE149" s="5">
        <f>IF(AU149="","",IF(AU149&gt;0,"Win",IF(AU149&lt;0,"Loss","BE")))</f>
        <v/>
      </c>
      <c r="BF149" s="5">
        <f>IF(O149="","",LOOKUP(O149,List_BucketStart,List_BucketLabel))</f>
        <v/>
      </c>
      <c r="BG149" s="57">
        <f>IF(B149="","",B149-WEEKDAY(B149,3))</f>
        <v/>
      </c>
      <c r="BH149" s="28">
        <f>IF(B149="","",COUNTIF($B$6:B149,B149))</f>
        <v/>
      </c>
      <c r="BI149" s="39">
        <f>IF(B149="","",SUMIFS($AU$6:AU149,$B$6:B149,B149)-N(AU149))</f>
        <v/>
      </c>
      <c r="BJ149" s="5">
        <f>IF(OR(B149="",E149=""),"",IF(AND(E149=0,I149="Sell",MAX(N(O149),N(AD149))&gt;ExpiryCutoff),"BREACH","OK"))</f>
        <v/>
      </c>
      <c r="BK149" s="5">
        <f>IF(B149="","",IF(OR(AC149&lt;&gt;"OK",BJ149="BREACH",BH149&gt;MaxTradesDay,BI149&lt;=-DailyLossLimit,OR(AF149="Panic",AF149="Revenge",AF149="Rule break")),"CHECK","OK"))</f>
        <v/>
      </c>
      <c r="BL149" s="39">
        <f>IF(AU149="","",SUM($AU$6:AU149))</f>
        <v/>
      </c>
      <c r="BM149" s="39">
        <f>IF(BL149="","",Capital+BL149)</f>
        <v/>
      </c>
      <c r="BN149" s="39">
        <f>IF(BM149="","",MAX(Capital,MAX($BM$6:BM149)))</f>
        <v/>
      </c>
      <c r="BO149" s="39">
        <f>IF(BM149="","",BN149-BM149)</f>
        <v/>
      </c>
      <c r="BP149" s="58">
        <f>IF(BO149="","",BO149/BN149)</f>
        <v/>
      </c>
      <c r="BQ149" s="28">
        <f>IF(AU149="","",IF(AU149&lt;0,N(BQ148)+1,0))</f>
        <v/>
      </c>
    </row>
    <row r="150">
      <c r="A150" s="28">
        <f>IF(B150="","",COUNT($B$6:B150))</f>
        <v/>
      </c>
      <c r="B150" s="27" t="n"/>
      <c r="C150" s="5">
        <f>IF(B150="","",TEXT(B150,"ddd"))</f>
        <v/>
      </c>
      <c r="D150" s="27" t="n"/>
      <c r="E150" s="28">
        <f>IF(OR(B150="",D150=""),"",MAX(0,NETWORKDAYS(B150,D150)-1))</f>
        <v/>
      </c>
      <c r="F150" s="37" t="n"/>
      <c r="G150" s="36" t="n"/>
      <c r="H150" s="37" t="n"/>
      <c r="I150" s="37" t="n"/>
      <c r="J150" s="37" t="n"/>
      <c r="K150" s="37" t="n"/>
      <c r="L150" s="36" t="n"/>
      <c r="M150" s="36" t="n"/>
      <c r="N150" s="33">
        <f>IF(M150="","",M150*LotSize)</f>
        <v/>
      </c>
      <c r="O150" s="51" t="n"/>
      <c r="P150" s="32" t="n"/>
      <c r="Q150" s="29" t="n"/>
      <c r="R150" s="30">
        <f>IF(OR(G150="",Q150="",H150=""),"",IF(H150="CE",G150-Q150,Q150-G150))</f>
        <v/>
      </c>
      <c r="S150" s="31">
        <f>IF(R150="","",R150/Q150)</f>
        <v/>
      </c>
      <c r="T150" s="38" t="n"/>
      <c r="U150" s="32" t="n"/>
      <c r="V150" s="52" t="n"/>
      <c r="W150" s="37" t="n"/>
      <c r="X150" s="32" t="n"/>
      <c r="Y150" s="32" t="n"/>
      <c r="Z150" s="39">
        <f>IF(OR(X150="",P150="",N150=""),"",ABS(X150-P150)*N150)</f>
        <v/>
      </c>
      <c r="AA150" s="53">
        <f>IF(OR(Z150="",Y150=""),"",IF(Z150=0,"",ABS(P150-Y150)*N150/Z150))</f>
        <v/>
      </c>
      <c r="AB150" s="54">
        <f>IF(Z150="","",Z150/Capital)</f>
        <v/>
      </c>
      <c r="AC150" s="5">
        <f>IF(B150="","",IF(X150="","NO SL",IF(OR(N(M150)&gt;MaxLots,N(AB150)&gt;RiskPct),"OVERSIZED","OK")))</f>
        <v/>
      </c>
      <c r="AD150" s="51" t="n"/>
      <c r="AE150" s="32" t="n"/>
      <c r="AF150" s="37" t="n"/>
      <c r="AG150" s="32" t="n"/>
      <c r="AH150" s="32" t="n"/>
      <c r="AI150" s="39">
        <f>IF(OR(AG150="",P150="",N150=""),"",ABS(AG150-P150)*N150)</f>
        <v/>
      </c>
      <c r="AJ150" s="39">
        <f>IF(OR(AH150="",P150="",N150=""),"",ABS(P150-AH150)*N150)</f>
        <v/>
      </c>
      <c r="AK150" s="39">
        <f>IF(OR(AE150="",P150="",N150=""),"",IF(I150="Buy",AE150-P150,P150-AE150)*N150)</f>
        <v/>
      </c>
      <c r="AL150" s="39">
        <f>IF(OR(AJ150="",AK150=""),"",MAX(0,AJ150-AK150))</f>
        <v/>
      </c>
      <c r="AM150" s="39">
        <f>IF(AK150="","",(P150+AE150)*N150)</f>
        <v/>
      </c>
      <c r="AN150" s="55">
        <f>IF(AK150="","",BrokeragePerOrder*2*MAX(1,N(L150)))</f>
        <v/>
      </c>
      <c r="AO150" s="55">
        <f>IF(AK150="","",STTRate*IF(I150="Buy",AE150,P150)*N150)</f>
        <v/>
      </c>
      <c r="AP150" s="55">
        <f>IF(AK150="","",ExchRate*AM150)</f>
        <v/>
      </c>
      <c r="AQ150" s="55">
        <f>IF(AK150="","",SEBIRate*AM150)</f>
        <v/>
      </c>
      <c r="AR150" s="55">
        <f>IF(AK150="","",StampRate*IF(I150="Buy",P150,AE150)*N150)</f>
        <v/>
      </c>
      <c r="AS150" s="55">
        <f>IF(AK150="","",GSTRate*(AN150+AP150+AQ150))</f>
        <v/>
      </c>
      <c r="AT150" s="55">
        <f>IF(AK150="","",AN150+AO150+AP150+AQ150+AR150+AS150)</f>
        <v/>
      </c>
      <c r="AU150" s="39">
        <f>IF(AK150="","",AK150-AT150)</f>
        <v/>
      </c>
      <c r="AV150" s="56">
        <f>IF(AU150="","",AU150/IF(N(Z150)&gt;0,Z150,RiskPerTrade))</f>
        <v/>
      </c>
      <c r="AW150" s="31">
        <f>IF(AU150="","",AU150/Capital)</f>
        <v/>
      </c>
      <c r="AX150" s="37" t="n"/>
      <c r="AY150" s="37" t="n"/>
      <c r="AZ150" s="37" t="n"/>
      <c r="BA150" s="37" t="n"/>
      <c r="BB150" s="37" t="n"/>
      <c r="BC150" s="37" t="n"/>
      <c r="BD150" s="37" t="n"/>
      <c r="BE150" s="5">
        <f>IF(AU150="","",IF(AU150&gt;0,"Win",IF(AU150&lt;0,"Loss","BE")))</f>
        <v/>
      </c>
      <c r="BF150" s="5">
        <f>IF(O150="","",LOOKUP(O150,List_BucketStart,List_BucketLabel))</f>
        <v/>
      </c>
      <c r="BG150" s="57">
        <f>IF(B150="","",B150-WEEKDAY(B150,3))</f>
        <v/>
      </c>
      <c r="BH150" s="28">
        <f>IF(B150="","",COUNTIF($B$6:B150,B150))</f>
        <v/>
      </c>
      <c r="BI150" s="39">
        <f>IF(B150="","",SUMIFS($AU$6:AU150,$B$6:B150,B150)-N(AU150))</f>
        <v/>
      </c>
      <c r="BJ150" s="5">
        <f>IF(OR(B150="",E150=""),"",IF(AND(E150=0,I150="Sell",MAX(N(O150),N(AD150))&gt;ExpiryCutoff),"BREACH","OK"))</f>
        <v/>
      </c>
      <c r="BK150" s="5">
        <f>IF(B150="","",IF(OR(AC150&lt;&gt;"OK",BJ150="BREACH",BH150&gt;MaxTradesDay,BI150&lt;=-DailyLossLimit,OR(AF150="Panic",AF150="Revenge",AF150="Rule break")),"CHECK","OK"))</f>
        <v/>
      </c>
      <c r="BL150" s="39">
        <f>IF(AU150="","",SUM($AU$6:AU150))</f>
        <v/>
      </c>
      <c r="BM150" s="39">
        <f>IF(BL150="","",Capital+BL150)</f>
        <v/>
      </c>
      <c r="BN150" s="39">
        <f>IF(BM150="","",MAX(Capital,MAX($BM$6:BM150)))</f>
        <v/>
      </c>
      <c r="BO150" s="39">
        <f>IF(BM150="","",BN150-BM150)</f>
        <v/>
      </c>
      <c r="BP150" s="58">
        <f>IF(BO150="","",BO150/BN150)</f>
        <v/>
      </c>
      <c r="BQ150" s="28">
        <f>IF(AU150="","",IF(AU150&lt;0,N(BQ149)+1,0))</f>
        <v/>
      </c>
    </row>
    <row r="151">
      <c r="A151" s="28">
        <f>IF(B151="","",COUNT($B$6:B151))</f>
        <v/>
      </c>
      <c r="B151" s="27" t="n"/>
      <c r="C151" s="5">
        <f>IF(B151="","",TEXT(B151,"ddd"))</f>
        <v/>
      </c>
      <c r="D151" s="27" t="n"/>
      <c r="E151" s="28">
        <f>IF(OR(B151="",D151=""),"",MAX(0,NETWORKDAYS(B151,D151)-1))</f>
        <v/>
      </c>
      <c r="F151" s="37" t="n"/>
      <c r="G151" s="36" t="n"/>
      <c r="H151" s="37" t="n"/>
      <c r="I151" s="37" t="n"/>
      <c r="J151" s="37" t="n"/>
      <c r="K151" s="37" t="n"/>
      <c r="L151" s="36" t="n"/>
      <c r="M151" s="36" t="n"/>
      <c r="N151" s="33">
        <f>IF(M151="","",M151*LotSize)</f>
        <v/>
      </c>
      <c r="O151" s="51" t="n"/>
      <c r="P151" s="32" t="n"/>
      <c r="Q151" s="29" t="n"/>
      <c r="R151" s="30">
        <f>IF(OR(G151="",Q151="",H151=""),"",IF(H151="CE",G151-Q151,Q151-G151))</f>
        <v/>
      </c>
      <c r="S151" s="31">
        <f>IF(R151="","",R151/Q151)</f>
        <v/>
      </c>
      <c r="T151" s="38" t="n"/>
      <c r="U151" s="32" t="n"/>
      <c r="V151" s="52" t="n"/>
      <c r="W151" s="37" t="n"/>
      <c r="X151" s="32" t="n"/>
      <c r="Y151" s="32" t="n"/>
      <c r="Z151" s="39">
        <f>IF(OR(X151="",P151="",N151=""),"",ABS(X151-P151)*N151)</f>
        <v/>
      </c>
      <c r="AA151" s="53">
        <f>IF(OR(Z151="",Y151=""),"",IF(Z151=0,"",ABS(P151-Y151)*N151/Z151))</f>
        <v/>
      </c>
      <c r="AB151" s="54">
        <f>IF(Z151="","",Z151/Capital)</f>
        <v/>
      </c>
      <c r="AC151" s="5">
        <f>IF(B151="","",IF(X151="","NO SL",IF(OR(N(M151)&gt;MaxLots,N(AB151)&gt;RiskPct),"OVERSIZED","OK")))</f>
        <v/>
      </c>
      <c r="AD151" s="51" t="n"/>
      <c r="AE151" s="32" t="n"/>
      <c r="AF151" s="37" t="n"/>
      <c r="AG151" s="32" t="n"/>
      <c r="AH151" s="32" t="n"/>
      <c r="AI151" s="39">
        <f>IF(OR(AG151="",P151="",N151=""),"",ABS(AG151-P151)*N151)</f>
        <v/>
      </c>
      <c r="AJ151" s="39">
        <f>IF(OR(AH151="",P151="",N151=""),"",ABS(P151-AH151)*N151)</f>
        <v/>
      </c>
      <c r="AK151" s="39">
        <f>IF(OR(AE151="",P151="",N151=""),"",IF(I151="Buy",AE151-P151,P151-AE151)*N151)</f>
        <v/>
      </c>
      <c r="AL151" s="39">
        <f>IF(OR(AJ151="",AK151=""),"",MAX(0,AJ151-AK151))</f>
        <v/>
      </c>
      <c r="AM151" s="39">
        <f>IF(AK151="","",(P151+AE151)*N151)</f>
        <v/>
      </c>
      <c r="AN151" s="55">
        <f>IF(AK151="","",BrokeragePerOrder*2*MAX(1,N(L151)))</f>
        <v/>
      </c>
      <c r="AO151" s="55">
        <f>IF(AK151="","",STTRate*IF(I151="Buy",AE151,P151)*N151)</f>
        <v/>
      </c>
      <c r="AP151" s="55">
        <f>IF(AK151="","",ExchRate*AM151)</f>
        <v/>
      </c>
      <c r="AQ151" s="55">
        <f>IF(AK151="","",SEBIRate*AM151)</f>
        <v/>
      </c>
      <c r="AR151" s="55">
        <f>IF(AK151="","",StampRate*IF(I151="Buy",P151,AE151)*N151)</f>
        <v/>
      </c>
      <c r="AS151" s="55">
        <f>IF(AK151="","",GSTRate*(AN151+AP151+AQ151))</f>
        <v/>
      </c>
      <c r="AT151" s="55">
        <f>IF(AK151="","",AN151+AO151+AP151+AQ151+AR151+AS151)</f>
        <v/>
      </c>
      <c r="AU151" s="39">
        <f>IF(AK151="","",AK151-AT151)</f>
        <v/>
      </c>
      <c r="AV151" s="56">
        <f>IF(AU151="","",AU151/IF(N(Z151)&gt;0,Z151,RiskPerTrade))</f>
        <v/>
      </c>
      <c r="AW151" s="31">
        <f>IF(AU151="","",AU151/Capital)</f>
        <v/>
      </c>
      <c r="AX151" s="37" t="n"/>
      <c r="AY151" s="37" t="n"/>
      <c r="AZ151" s="37" t="n"/>
      <c r="BA151" s="37" t="n"/>
      <c r="BB151" s="37" t="n"/>
      <c r="BC151" s="37" t="n"/>
      <c r="BD151" s="37" t="n"/>
      <c r="BE151" s="5">
        <f>IF(AU151="","",IF(AU151&gt;0,"Win",IF(AU151&lt;0,"Loss","BE")))</f>
        <v/>
      </c>
      <c r="BF151" s="5">
        <f>IF(O151="","",LOOKUP(O151,List_BucketStart,List_BucketLabel))</f>
        <v/>
      </c>
      <c r="BG151" s="57">
        <f>IF(B151="","",B151-WEEKDAY(B151,3))</f>
        <v/>
      </c>
      <c r="BH151" s="28">
        <f>IF(B151="","",COUNTIF($B$6:B151,B151))</f>
        <v/>
      </c>
      <c r="BI151" s="39">
        <f>IF(B151="","",SUMIFS($AU$6:AU151,$B$6:B151,B151)-N(AU151))</f>
        <v/>
      </c>
      <c r="BJ151" s="5">
        <f>IF(OR(B151="",E151=""),"",IF(AND(E151=0,I151="Sell",MAX(N(O151),N(AD151))&gt;ExpiryCutoff),"BREACH","OK"))</f>
        <v/>
      </c>
      <c r="BK151" s="5">
        <f>IF(B151="","",IF(OR(AC151&lt;&gt;"OK",BJ151="BREACH",BH151&gt;MaxTradesDay,BI151&lt;=-DailyLossLimit,OR(AF151="Panic",AF151="Revenge",AF151="Rule break")),"CHECK","OK"))</f>
        <v/>
      </c>
      <c r="BL151" s="39">
        <f>IF(AU151="","",SUM($AU$6:AU151))</f>
        <v/>
      </c>
      <c r="BM151" s="39">
        <f>IF(BL151="","",Capital+BL151)</f>
        <v/>
      </c>
      <c r="BN151" s="39">
        <f>IF(BM151="","",MAX(Capital,MAX($BM$6:BM151)))</f>
        <v/>
      </c>
      <c r="BO151" s="39">
        <f>IF(BM151="","",BN151-BM151)</f>
        <v/>
      </c>
      <c r="BP151" s="58">
        <f>IF(BO151="","",BO151/BN151)</f>
        <v/>
      </c>
      <c r="BQ151" s="28">
        <f>IF(AU151="","",IF(AU151&lt;0,N(BQ150)+1,0))</f>
        <v/>
      </c>
    </row>
    <row r="152">
      <c r="A152" s="28">
        <f>IF(B152="","",COUNT($B$6:B152))</f>
        <v/>
      </c>
      <c r="B152" s="27" t="n"/>
      <c r="C152" s="5">
        <f>IF(B152="","",TEXT(B152,"ddd"))</f>
        <v/>
      </c>
      <c r="D152" s="27" t="n"/>
      <c r="E152" s="28">
        <f>IF(OR(B152="",D152=""),"",MAX(0,NETWORKDAYS(B152,D152)-1))</f>
        <v/>
      </c>
      <c r="F152" s="37" t="n"/>
      <c r="G152" s="36" t="n"/>
      <c r="H152" s="37" t="n"/>
      <c r="I152" s="37" t="n"/>
      <c r="J152" s="37" t="n"/>
      <c r="K152" s="37" t="n"/>
      <c r="L152" s="36" t="n"/>
      <c r="M152" s="36" t="n"/>
      <c r="N152" s="33">
        <f>IF(M152="","",M152*LotSize)</f>
        <v/>
      </c>
      <c r="O152" s="51" t="n"/>
      <c r="P152" s="32" t="n"/>
      <c r="Q152" s="29" t="n"/>
      <c r="R152" s="30">
        <f>IF(OR(G152="",Q152="",H152=""),"",IF(H152="CE",G152-Q152,Q152-G152))</f>
        <v/>
      </c>
      <c r="S152" s="31">
        <f>IF(R152="","",R152/Q152)</f>
        <v/>
      </c>
      <c r="T152" s="38" t="n"/>
      <c r="U152" s="32" t="n"/>
      <c r="V152" s="52" t="n"/>
      <c r="W152" s="37" t="n"/>
      <c r="X152" s="32" t="n"/>
      <c r="Y152" s="32" t="n"/>
      <c r="Z152" s="39">
        <f>IF(OR(X152="",P152="",N152=""),"",ABS(X152-P152)*N152)</f>
        <v/>
      </c>
      <c r="AA152" s="53">
        <f>IF(OR(Z152="",Y152=""),"",IF(Z152=0,"",ABS(P152-Y152)*N152/Z152))</f>
        <v/>
      </c>
      <c r="AB152" s="54">
        <f>IF(Z152="","",Z152/Capital)</f>
        <v/>
      </c>
      <c r="AC152" s="5">
        <f>IF(B152="","",IF(X152="","NO SL",IF(OR(N(M152)&gt;MaxLots,N(AB152)&gt;RiskPct),"OVERSIZED","OK")))</f>
        <v/>
      </c>
      <c r="AD152" s="51" t="n"/>
      <c r="AE152" s="32" t="n"/>
      <c r="AF152" s="37" t="n"/>
      <c r="AG152" s="32" t="n"/>
      <c r="AH152" s="32" t="n"/>
      <c r="AI152" s="39">
        <f>IF(OR(AG152="",P152="",N152=""),"",ABS(AG152-P152)*N152)</f>
        <v/>
      </c>
      <c r="AJ152" s="39">
        <f>IF(OR(AH152="",P152="",N152=""),"",ABS(P152-AH152)*N152)</f>
        <v/>
      </c>
      <c r="AK152" s="39">
        <f>IF(OR(AE152="",P152="",N152=""),"",IF(I152="Buy",AE152-P152,P152-AE152)*N152)</f>
        <v/>
      </c>
      <c r="AL152" s="39">
        <f>IF(OR(AJ152="",AK152=""),"",MAX(0,AJ152-AK152))</f>
        <v/>
      </c>
      <c r="AM152" s="39">
        <f>IF(AK152="","",(P152+AE152)*N152)</f>
        <v/>
      </c>
      <c r="AN152" s="55">
        <f>IF(AK152="","",BrokeragePerOrder*2*MAX(1,N(L152)))</f>
        <v/>
      </c>
      <c r="AO152" s="55">
        <f>IF(AK152="","",STTRate*IF(I152="Buy",AE152,P152)*N152)</f>
        <v/>
      </c>
      <c r="AP152" s="55">
        <f>IF(AK152="","",ExchRate*AM152)</f>
        <v/>
      </c>
      <c r="AQ152" s="55">
        <f>IF(AK152="","",SEBIRate*AM152)</f>
        <v/>
      </c>
      <c r="AR152" s="55">
        <f>IF(AK152="","",StampRate*IF(I152="Buy",P152,AE152)*N152)</f>
        <v/>
      </c>
      <c r="AS152" s="55">
        <f>IF(AK152="","",GSTRate*(AN152+AP152+AQ152))</f>
        <v/>
      </c>
      <c r="AT152" s="55">
        <f>IF(AK152="","",AN152+AO152+AP152+AQ152+AR152+AS152)</f>
        <v/>
      </c>
      <c r="AU152" s="39">
        <f>IF(AK152="","",AK152-AT152)</f>
        <v/>
      </c>
      <c r="AV152" s="56">
        <f>IF(AU152="","",AU152/IF(N(Z152)&gt;0,Z152,RiskPerTrade))</f>
        <v/>
      </c>
      <c r="AW152" s="31">
        <f>IF(AU152="","",AU152/Capital)</f>
        <v/>
      </c>
      <c r="AX152" s="37" t="n"/>
      <c r="AY152" s="37" t="n"/>
      <c r="AZ152" s="37" t="n"/>
      <c r="BA152" s="37" t="n"/>
      <c r="BB152" s="37" t="n"/>
      <c r="BC152" s="37" t="n"/>
      <c r="BD152" s="37" t="n"/>
      <c r="BE152" s="5">
        <f>IF(AU152="","",IF(AU152&gt;0,"Win",IF(AU152&lt;0,"Loss","BE")))</f>
        <v/>
      </c>
      <c r="BF152" s="5">
        <f>IF(O152="","",LOOKUP(O152,List_BucketStart,List_BucketLabel))</f>
        <v/>
      </c>
      <c r="BG152" s="57">
        <f>IF(B152="","",B152-WEEKDAY(B152,3))</f>
        <v/>
      </c>
      <c r="BH152" s="28">
        <f>IF(B152="","",COUNTIF($B$6:B152,B152))</f>
        <v/>
      </c>
      <c r="BI152" s="39">
        <f>IF(B152="","",SUMIFS($AU$6:AU152,$B$6:B152,B152)-N(AU152))</f>
        <v/>
      </c>
      <c r="BJ152" s="5">
        <f>IF(OR(B152="",E152=""),"",IF(AND(E152=0,I152="Sell",MAX(N(O152),N(AD152))&gt;ExpiryCutoff),"BREACH","OK"))</f>
        <v/>
      </c>
      <c r="BK152" s="5">
        <f>IF(B152="","",IF(OR(AC152&lt;&gt;"OK",BJ152="BREACH",BH152&gt;MaxTradesDay,BI152&lt;=-DailyLossLimit,OR(AF152="Panic",AF152="Revenge",AF152="Rule break")),"CHECK","OK"))</f>
        <v/>
      </c>
      <c r="BL152" s="39">
        <f>IF(AU152="","",SUM($AU$6:AU152))</f>
        <v/>
      </c>
      <c r="BM152" s="39">
        <f>IF(BL152="","",Capital+BL152)</f>
        <v/>
      </c>
      <c r="BN152" s="39">
        <f>IF(BM152="","",MAX(Capital,MAX($BM$6:BM152)))</f>
        <v/>
      </c>
      <c r="BO152" s="39">
        <f>IF(BM152="","",BN152-BM152)</f>
        <v/>
      </c>
      <c r="BP152" s="58">
        <f>IF(BO152="","",BO152/BN152)</f>
        <v/>
      </c>
      <c r="BQ152" s="28">
        <f>IF(AU152="","",IF(AU152&lt;0,N(BQ151)+1,0))</f>
        <v/>
      </c>
    </row>
    <row r="153">
      <c r="A153" s="28">
        <f>IF(B153="","",COUNT($B$6:B153))</f>
        <v/>
      </c>
      <c r="B153" s="27" t="n"/>
      <c r="C153" s="5">
        <f>IF(B153="","",TEXT(B153,"ddd"))</f>
        <v/>
      </c>
      <c r="D153" s="27" t="n"/>
      <c r="E153" s="28">
        <f>IF(OR(B153="",D153=""),"",MAX(0,NETWORKDAYS(B153,D153)-1))</f>
        <v/>
      </c>
      <c r="F153" s="37" t="n"/>
      <c r="G153" s="36" t="n"/>
      <c r="H153" s="37" t="n"/>
      <c r="I153" s="37" t="n"/>
      <c r="J153" s="37" t="n"/>
      <c r="K153" s="37" t="n"/>
      <c r="L153" s="36" t="n"/>
      <c r="M153" s="36" t="n"/>
      <c r="N153" s="33">
        <f>IF(M153="","",M153*LotSize)</f>
        <v/>
      </c>
      <c r="O153" s="51" t="n"/>
      <c r="P153" s="32" t="n"/>
      <c r="Q153" s="29" t="n"/>
      <c r="R153" s="30">
        <f>IF(OR(G153="",Q153="",H153=""),"",IF(H153="CE",G153-Q153,Q153-G153))</f>
        <v/>
      </c>
      <c r="S153" s="31">
        <f>IF(R153="","",R153/Q153)</f>
        <v/>
      </c>
      <c r="T153" s="38" t="n"/>
      <c r="U153" s="32" t="n"/>
      <c r="V153" s="52" t="n"/>
      <c r="W153" s="37" t="n"/>
      <c r="X153" s="32" t="n"/>
      <c r="Y153" s="32" t="n"/>
      <c r="Z153" s="39">
        <f>IF(OR(X153="",P153="",N153=""),"",ABS(X153-P153)*N153)</f>
        <v/>
      </c>
      <c r="AA153" s="53">
        <f>IF(OR(Z153="",Y153=""),"",IF(Z153=0,"",ABS(P153-Y153)*N153/Z153))</f>
        <v/>
      </c>
      <c r="AB153" s="54">
        <f>IF(Z153="","",Z153/Capital)</f>
        <v/>
      </c>
      <c r="AC153" s="5">
        <f>IF(B153="","",IF(X153="","NO SL",IF(OR(N(M153)&gt;MaxLots,N(AB153)&gt;RiskPct),"OVERSIZED","OK")))</f>
        <v/>
      </c>
      <c r="AD153" s="51" t="n"/>
      <c r="AE153" s="32" t="n"/>
      <c r="AF153" s="37" t="n"/>
      <c r="AG153" s="32" t="n"/>
      <c r="AH153" s="32" t="n"/>
      <c r="AI153" s="39">
        <f>IF(OR(AG153="",P153="",N153=""),"",ABS(AG153-P153)*N153)</f>
        <v/>
      </c>
      <c r="AJ153" s="39">
        <f>IF(OR(AH153="",P153="",N153=""),"",ABS(P153-AH153)*N153)</f>
        <v/>
      </c>
      <c r="AK153" s="39">
        <f>IF(OR(AE153="",P153="",N153=""),"",IF(I153="Buy",AE153-P153,P153-AE153)*N153)</f>
        <v/>
      </c>
      <c r="AL153" s="39">
        <f>IF(OR(AJ153="",AK153=""),"",MAX(0,AJ153-AK153))</f>
        <v/>
      </c>
      <c r="AM153" s="39">
        <f>IF(AK153="","",(P153+AE153)*N153)</f>
        <v/>
      </c>
      <c r="AN153" s="55">
        <f>IF(AK153="","",BrokeragePerOrder*2*MAX(1,N(L153)))</f>
        <v/>
      </c>
      <c r="AO153" s="55">
        <f>IF(AK153="","",STTRate*IF(I153="Buy",AE153,P153)*N153)</f>
        <v/>
      </c>
      <c r="AP153" s="55">
        <f>IF(AK153="","",ExchRate*AM153)</f>
        <v/>
      </c>
      <c r="AQ153" s="55">
        <f>IF(AK153="","",SEBIRate*AM153)</f>
        <v/>
      </c>
      <c r="AR153" s="55">
        <f>IF(AK153="","",StampRate*IF(I153="Buy",P153,AE153)*N153)</f>
        <v/>
      </c>
      <c r="AS153" s="55">
        <f>IF(AK153="","",GSTRate*(AN153+AP153+AQ153))</f>
        <v/>
      </c>
      <c r="AT153" s="55">
        <f>IF(AK153="","",AN153+AO153+AP153+AQ153+AR153+AS153)</f>
        <v/>
      </c>
      <c r="AU153" s="39">
        <f>IF(AK153="","",AK153-AT153)</f>
        <v/>
      </c>
      <c r="AV153" s="56">
        <f>IF(AU153="","",AU153/IF(N(Z153)&gt;0,Z153,RiskPerTrade))</f>
        <v/>
      </c>
      <c r="AW153" s="31">
        <f>IF(AU153="","",AU153/Capital)</f>
        <v/>
      </c>
      <c r="AX153" s="37" t="n"/>
      <c r="AY153" s="37" t="n"/>
      <c r="AZ153" s="37" t="n"/>
      <c r="BA153" s="37" t="n"/>
      <c r="BB153" s="37" t="n"/>
      <c r="BC153" s="37" t="n"/>
      <c r="BD153" s="37" t="n"/>
      <c r="BE153" s="5">
        <f>IF(AU153="","",IF(AU153&gt;0,"Win",IF(AU153&lt;0,"Loss","BE")))</f>
        <v/>
      </c>
      <c r="BF153" s="5">
        <f>IF(O153="","",LOOKUP(O153,List_BucketStart,List_BucketLabel))</f>
        <v/>
      </c>
      <c r="BG153" s="57">
        <f>IF(B153="","",B153-WEEKDAY(B153,3))</f>
        <v/>
      </c>
      <c r="BH153" s="28">
        <f>IF(B153="","",COUNTIF($B$6:B153,B153))</f>
        <v/>
      </c>
      <c r="BI153" s="39">
        <f>IF(B153="","",SUMIFS($AU$6:AU153,$B$6:B153,B153)-N(AU153))</f>
        <v/>
      </c>
      <c r="BJ153" s="5">
        <f>IF(OR(B153="",E153=""),"",IF(AND(E153=0,I153="Sell",MAX(N(O153),N(AD153))&gt;ExpiryCutoff),"BREACH","OK"))</f>
        <v/>
      </c>
      <c r="BK153" s="5">
        <f>IF(B153="","",IF(OR(AC153&lt;&gt;"OK",BJ153="BREACH",BH153&gt;MaxTradesDay,BI153&lt;=-DailyLossLimit,OR(AF153="Panic",AF153="Revenge",AF153="Rule break")),"CHECK","OK"))</f>
        <v/>
      </c>
      <c r="BL153" s="39">
        <f>IF(AU153="","",SUM($AU$6:AU153))</f>
        <v/>
      </c>
      <c r="BM153" s="39">
        <f>IF(BL153="","",Capital+BL153)</f>
        <v/>
      </c>
      <c r="BN153" s="39">
        <f>IF(BM153="","",MAX(Capital,MAX($BM$6:BM153)))</f>
        <v/>
      </c>
      <c r="BO153" s="39">
        <f>IF(BM153="","",BN153-BM153)</f>
        <v/>
      </c>
      <c r="BP153" s="58">
        <f>IF(BO153="","",BO153/BN153)</f>
        <v/>
      </c>
      <c r="BQ153" s="28">
        <f>IF(AU153="","",IF(AU153&lt;0,N(BQ152)+1,0))</f>
        <v/>
      </c>
    </row>
    <row r="154">
      <c r="A154" s="28">
        <f>IF(B154="","",COUNT($B$6:B154))</f>
        <v/>
      </c>
      <c r="B154" s="27" t="n"/>
      <c r="C154" s="5">
        <f>IF(B154="","",TEXT(B154,"ddd"))</f>
        <v/>
      </c>
      <c r="D154" s="27" t="n"/>
      <c r="E154" s="28">
        <f>IF(OR(B154="",D154=""),"",MAX(0,NETWORKDAYS(B154,D154)-1))</f>
        <v/>
      </c>
      <c r="F154" s="37" t="n"/>
      <c r="G154" s="36" t="n"/>
      <c r="H154" s="37" t="n"/>
      <c r="I154" s="37" t="n"/>
      <c r="J154" s="37" t="n"/>
      <c r="K154" s="37" t="n"/>
      <c r="L154" s="36" t="n"/>
      <c r="M154" s="36" t="n"/>
      <c r="N154" s="33">
        <f>IF(M154="","",M154*LotSize)</f>
        <v/>
      </c>
      <c r="O154" s="51" t="n"/>
      <c r="P154" s="32" t="n"/>
      <c r="Q154" s="29" t="n"/>
      <c r="R154" s="30">
        <f>IF(OR(G154="",Q154="",H154=""),"",IF(H154="CE",G154-Q154,Q154-G154))</f>
        <v/>
      </c>
      <c r="S154" s="31">
        <f>IF(R154="","",R154/Q154)</f>
        <v/>
      </c>
      <c r="T154" s="38" t="n"/>
      <c r="U154" s="32" t="n"/>
      <c r="V154" s="52" t="n"/>
      <c r="W154" s="37" t="n"/>
      <c r="X154" s="32" t="n"/>
      <c r="Y154" s="32" t="n"/>
      <c r="Z154" s="39">
        <f>IF(OR(X154="",P154="",N154=""),"",ABS(X154-P154)*N154)</f>
        <v/>
      </c>
      <c r="AA154" s="53">
        <f>IF(OR(Z154="",Y154=""),"",IF(Z154=0,"",ABS(P154-Y154)*N154/Z154))</f>
        <v/>
      </c>
      <c r="AB154" s="54">
        <f>IF(Z154="","",Z154/Capital)</f>
        <v/>
      </c>
      <c r="AC154" s="5">
        <f>IF(B154="","",IF(X154="","NO SL",IF(OR(N(M154)&gt;MaxLots,N(AB154)&gt;RiskPct),"OVERSIZED","OK")))</f>
        <v/>
      </c>
      <c r="AD154" s="51" t="n"/>
      <c r="AE154" s="32" t="n"/>
      <c r="AF154" s="37" t="n"/>
      <c r="AG154" s="32" t="n"/>
      <c r="AH154" s="32" t="n"/>
      <c r="AI154" s="39">
        <f>IF(OR(AG154="",P154="",N154=""),"",ABS(AG154-P154)*N154)</f>
        <v/>
      </c>
      <c r="AJ154" s="39">
        <f>IF(OR(AH154="",P154="",N154=""),"",ABS(P154-AH154)*N154)</f>
        <v/>
      </c>
      <c r="AK154" s="39">
        <f>IF(OR(AE154="",P154="",N154=""),"",IF(I154="Buy",AE154-P154,P154-AE154)*N154)</f>
        <v/>
      </c>
      <c r="AL154" s="39">
        <f>IF(OR(AJ154="",AK154=""),"",MAX(0,AJ154-AK154))</f>
        <v/>
      </c>
      <c r="AM154" s="39">
        <f>IF(AK154="","",(P154+AE154)*N154)</f>
        <v/>
      </c>
      <c r="AN154" s="55">
        <f>IF(AK154="","",BrokeragePerOrder*2*MAX(1,N(L154)))</f>
        <v/>
      </c>
      <c r="AO154" s="55">
        <f>IF(AK154="","",STTRate*IF(I154="Buy",AE154,P154)*N154)</f>
        <v/>
      </c>
      <c r="AP154" s="55">
        <f>IF(AK154="","",ExchRate*AM154)</f>
        <v/>
      </c>
      <c r="AQ154" s="55">
        <f>IF(AK154="","",SEBIRate*AM154)</f>
        <v/>
      </c>
      <c r="AR154" s="55">
        <f>IF(AK154="","",StampRate*IF(I154="Buy",P154,AE154)*N154)</f>
        <v/>
      </c>
      <c r="AS154" s="55">
        <f>IF(AK154="","",GSTRate*(AN154+AP154+AQ154))</f>
        <v/>
      </c>
      <c r="AT154" s="55">
        <f>IF(AK154="","",AN154+AO154+AP154+AQ154+AR154+AS154)</f>
        <v/>
      </c>
      <c r="AU154" s="39">
        <f>IF(AK154="","",AK154-AT154)</f>
        <v/>
      </c>
      <c r="AV154" s="56">
        <f>IF(AU154="","",AU154/IF(N(Z154)&gt;0,Z154,RiskPerTrade))</f>
        <v/>
      </c>
      <c r="AW154" s="31">
        <f>IF(AU154="","",AU154/Capital)</f>
        <v/>
      </c>
      <c r="AX154" s="37" t="n"/>
      <c r="AY154" s="37" t="n"/>
      <c r="AZ154" s="37" t="n"/>
      <c r="BA154" s="37" t="n"/>
      <c r="BB154" s="37" t="n"/>
      <c r="BC154" s="37" t="n"/>
      <c r="BD154" s="37" t="n"/>
      <c r="BE154" s="5">
        <f>IF(AU154="","",IF(AU154&gt;0,"Win",IF(AU154&lt;0,"Loss","BE")))</f>
        <v/>
      </c>
      <c r="BF154" s="5">
        <f>IF(O154="","",LOOKUP(O154,List_BucketStart,List_BucketLabel))</f>
        <v/>
      </c>
      <c r="BG154" s="57">
        <f>IF(B154="","",B154-WEEKDAY(B154,3))</f>
        <v/>
      </c>
      <c r="BH154" s="28">
        <f>IF(B154="","",COUNTIF($B$6:B154,B154))</f>
        <v/>
      </c>
      <c r="BI154" s="39">
        <f>IF(B154="","",SUMIFS($AU$6:AU154,$B$6:B154,B154)-N(AU154))</f>
        <v/>
      </c>
      <c r="BJ154" s="5">
        <f>IF(OR(B154="",E154=""),"",IF(AND(E154=0,I154="Sell",MAX(N(O154),N(AD154))&gt;ExpiryCutoff),"BREACH","OK"))</f>
        <v/>
      </c>
      <c r="BK154" s="5">
        <f>IF(B154="","",IF(OR(AC154&lt;&gt;"OK",BJ154="BREACH",BH154&gt;MaxTradesDay,BI154&lt;=-DailyLossLimit,OR(AF154="Panic",AF154="Revenge",AF154="Rule break")),"CHECK","OK"))</f>
        <v/>
      </c>
      <c r="BL154" s="39">
        <f>IF(AU154="","",SUM($AU$6:AU154))</f>
        <v/>
      </c>
      <c r="BM154" s="39">
        <f>IF(BL154="","",Capital+BL154)</f>
        <v/>
      </c>
      <c r="BN154" s="39">
        <f>IF(BM154="","",MAX(Capital,MAX($BM$6:BM154)))</f>
        <v/>
      </c>
      <c r="BO154" s="39">
        <f>IF(BM154="","",BN154-BM154)</f>
        <v/>
      </c>
      <c r="BP154" s="58">
        <f>IF(BO154="","",BO154/BN154)</f>
        <v/>
      </c>
      <c r="BQ154" s="28">
        <f>IF(AU154="","",IF(AU154&lt;0,N(BQ153)+1,0))</f>
        <v/>
      </c>
    </row>
    <row r="155">
      <c r="A155" s="28">
        <f>IF(B155="","",COUNT($B$6:B155))</f>
        <v/>
      </c>
      <c r="B155" s="27" t="n"/>
      <c r="C155" s="5">
        <f>IF(B155="","",TEXT(B155,"ddd"))</f>
        <v/>
      </c>
      <c r="D155" s="27" t="n"/>
      <c r="E155" s="28">
        <f>IF(OR(B155="",D155=""),"",MAX(0,NETWORKDAYS(B155,D155)-1))</f>
        <v/>
      </c>
      <c r="F155" s="37" t="n"/>
      <c r="G155" s="36" t="n"/>
      <c r="H155" s="37" t="n"/>
      <c r="I155" s="37" t="n"/>
      <c r="J155" s="37" t="n"/>
      <c r="K155" s="37" t="n"/>
      <c r="L155" s="36" t="n"/>
      <c r="M155" s="36" t="n"/>
      <c r="N155" s="33">
        <f>IF(M155="","",M155*LotSize)</f>
        <v/>
      </c>
      <c r="O155" s="51" t="n"/>
      <c r="P155" s="32" t="n"/>
      <c r="Q155" s="29" t="n"/>
      <c r="R155" s="30">
        <f>IF(OR(G155="",Q155="",H155=""),"",IF(H155="CE",G155-Q155,Q155-G155))</f>
        <v/>
      </c>
      <c r="S155" s="31">
        <f>IF(R155="","",R155/Q155)</f>
        <v/>
      </c>
      <c r="T155" s="38" t="n"/>
      <c r="U155" s="32" t="n"/>
      <c r="V155" s="52" t="n"/>
      <c r="W155" s="37" t="n"/>
      <c r="X155" s="32" t="n"/>
      <c r="Y155" s="32" t="n"/>
      <c r="Z155" s="39">
        <f>IF(OR(X155="",P155="",N155=""),"",ABS(X155-P155)*N155)</f>
        <v/>
      </c>
      <c r="AA155" s="53">
        <f>IF(OR(Z155="",Y155=""),"",IF(Z155=0,"",ABS(P155-Y155)*N155/Z155))</f>
        <v/>
      </c>
      <c r="AB155" s="54">
        <f>IF(Z155="","",Z155/Capital)</f>
        <v/>
      </c>
      <c r="AC155" s="5">
        <f>IF(B155="","",IF(X155="","NO SL",IF(OR(N(M155)&gt;MaxLots,N(AB155)&gt;RiskPct),"OVERSIZED","OK")))</f>
        <v/>
      </c>
      <c r="AD155" s="51" t="n"/>
      <c r="AE155" s="32" t="n"/>
      <c r="AF155" s="37" t="n"/>
      <c r="AG155" s="32" t="n"/>
      <c r="AH155" s="32" t="n"/>
      <c r="AI155" s="39">
        <f>IF(OR(AG155="",P155="",N155=""),"",ABS(AG155-P155)*N155)</f>
        <v/>
      </c>
      <c r="AJ155" s="39">
        <f>IF(OR(AH155="",P155="",N155=""),"",ABS(P155-AH155)*N155)</f>
        <v/>
      </c>
      <c r="AK155" s="39">
        <f>IF(OR(AE155="",P155="",N155=""),"",IF(I155="Buy",AE155-P155,P155-AE155)*N155)</f>
        <v/>
      </c>
      <c r="AL155" s="39">
        <f>IF(OR(AJ155="",AK155=""),"",MAX(0,AJ155-AK155))</f>
        <v/>
      </c>
      <c r="AM155" s="39">
        <f>IF(AK155="","",(P155+AE155)*N155)</f>
        <v/>
      </c>
      <c r="AN155" s="55">
        <f>IF(AK155="","",BrokeragePerOrder*2*MAX(1,N(L155)))</f>
        <v/>
      </c>
      <c r="AO155" s="55">
        <f>IF(AK155="","",STTRate*IF(I155="Buy",AE155,P155)*N155)</f>
        <v/>
      </c>
      <c r="AP155" s="55">
        <f>IF(AK155="","",ExchRate*AM155)</f>
        <v/>
      </c>
      <c r="AQ155" s="55">
        <f>IF(AK155="","",SEBIRate*AM155)</f>
        <v/>
      </c>
      <c r="AR155" s="55">
        <f>IF(AK155="","",StampRate*IF(I155="Buy",P155,AE155)*N155)</f>
        <v/>
      </c>
      <c r="AS155" s="55">
        <f>IF(AK155="","",GSTRate*(AN155+AP155+AQ155))</f>
        <v/>
      </c>
      <c r="AT155" s="55">
        <f>IF(AK155="","",AN155+AO155+AP155+AQ155+AR155+AS155)</f>
        <v/>
      </c>
      <c r="AU155" s="39">
        <f>IF(AK155="","",AK155-AT155)</f>
        <v/>
      </c>
      <c r="AV155" s="56">
        <f>IF(AU155="","",AU155/IF(N(Z155)&gt;0,Z155,RiskPerTrade))</f>
        <v/>
      </c>
      <c r="AW155" s="31">
        <f>IF(AU155="","",AU155/Capital)</f>
        <v/>
      </c>
      <c r="AX155" s="37" t="n"/>
      <c r="AY155" s="37" t="n"/>
      <c r="AZ155" s="37" t="n"/>
      <c r="BA155" s="37" t="n"/>
      <c r="BB155" s="37" t="n"/>
      <c r="BC155" s="37" t="n"/>
      <c r="BD155" s="37" t="n"/>
      <c r="BE155" s="5">
        <f>IF(AU155="","",IF(AU155&gt;0,"Win",IF(AU155&lt;0,"Loss","BE")))</f>
        <v/>
      </c>
      <c r="BF155" s="5">
        <f>IF(O155="","",LOOKUP(O155,List_BucketStart,List_BucketLabel))</f>
        <v/>
      </c>
      <c r="BG155" s="57">
        <f>IF(B155="","",B155-WEEKDAY(B155,3))</f>
        <v/>
      </c>
      <c r="BH155" s="28">
        <f>IF(B155="","",COUNTIF($B$6:B155,B155))</f>
        <v/>
      </c>
      <c r="BI155" s="39">
        <f>IF(B155="","",SUMIFS($AU$6:AU155,$B$6:B155,B155)-N(AU155))</f>
        <v/>
      </c>
      <c r="BJ155" s="5">
        <f>IF(OR(B155="",E155=""),"",IF(AND(E155=0,I155="Sell",MAX(N(O155),N(AD155))&gt;ExpiryCutoff),"BREACH","OK"))</f>
        <v/>
      </c>
      <c r="BK155" s="5">
        <f>IF(B155="","",IF(OR(AC155&lt;&gt;"OK",BJ155="BREACH",BH155&gt;MaxTradesDay,BI155&lt;=-DailyLossLimit,OR(AF155="Panic",AF155="Revenge",AF155="Rule break")),"CHECK","OK"))</f>
        <v/>
      </c>
      <c r="BL155" s="39">
        <f>IF(AU155="","",SUM($AU$6:AU155))</f>
        <v/>
      </c>
      <c r="BM155" s="39">
        <f>IF(BL155="","",Capital+BL155)</f>
        <v/>
      </c>
      <c r="BN155" s="39">
        <f>IF(BM155="","",MAX(Capital,MAX($BM$6:BM155)))</f>
        <v/>
      </c>
      <c r="BO155" s="39">
        <f>IF(BM155="","",BN155-BM155)</f>
        <v/>
      </c>
      <c r="BP155" s="58">
        <f>IF(BO155="","",BO155/BN155)</f>
        <v/>
      </c>
      <c r="BQ155" s="28">
        <f>IF(AU155="","",IF(AU155&lt;0,N(BQ154)+1,0))</f>
        <v/>
      </c>
    </row>
    <row r="156">
      <c r="A156" s="28">
        <f>IF(B156="","",COUNT($B$6:B156))</f>
        <v/>
      </c>
      <c r="B156" s="27" t="n"/>
      <c r="C156" s="5">
        <f>IF(B156="","",TEXT(B156,"ddd"))</f>
        <v/>
      </c>
      <c r="D156" s="27" t="n"/>
      <c r="E156" s="28">
        <f>IF(OR(B156="",D156=""),"",MAX(0,NETWORKDAYS(B156,D156)-1))</f>
        <v/>
      </c>
      <c r="F156" s="37" t="n"/>
      <c r="G156" s="36" t="n"/>
      <c r="H156" s="37" t="n"/>
      <c r="I156" s="37" t="n"/>
      <c r="J156" s="37" t="n"/>
      <c r="K156" s="37" t="n"/>
      <c r="L156" s="36" t="n"/>
      <c r="M156" s="36" t="n"/>
      <c r="N156" s="33">
        <f>IF(M156="","",M156*LotSize)</f>
        <v/>
      </c>
      <c r="O156" s="51" t="n"/>
      <c r="P156" s="32" t="n"/>
      <c r="Q156" s="29" t="n"/>
      <c r="R156" s="30">
        <f>IF(OR(G156="",Q156="",H156=""),"",IF(H156="CE",G156-Q156,Q156-G156))</f>
        <v/>
      </c>
      <c r="S156" s="31">
        <f>IF(R156="","",R156/Q156)</f>
        <v/>
      </c>
      <c r="T156" s="38" t="n"/>
      <c r="U156" s="32" t="n"/>
      <c r="V156" s="52" t="n"/>
      <c r="W156" s="37" t="n"/>
      <c r="X156" s="32" t="n"/>
      <c r="Y156" s="32" t="n"/>
      <c r="Z156" s="39">
        <f>IF(OR(X156="",P156="",N156=""),"",ABS(X156-P156)*N156)</f>
        <v/>
      </c>
      <c r="AA156" s="53">
        <f>IF(OR(Z156="",Y156=""),"",IF(Z156=0,"",ABS(P156-Y156)*N156/Z156))</f>
        <v/>
      </c>
      <c r="AB156" s="54">
        <f>IF(Z156="","",Z156/Capital)</f>
        <v/>
      </c>
      <c r="AC156" s="5">
        <f>IF(B156="","",IF(X156="","NO SL",IF(OR(N(M156)&gt;MaxLots,N(AB156)&gt;RiskPct),"OVERSIZED","OK")))</f>
        <v/>
      </c>
      <c r="AD156" s="51" t="n"/>
      <c r="AE156" s="32" t="n"/>
      <c r="AF156" s="37" t="n"/>
      <c r="AG156" s="32" t="n"/>
      <c r="AH156" s="32" t="n"/>
      <c r="AI156" s="39">
        <f>IF(OR(AG156="",P156="",N156=""),"",ABS(AG156-P156)*N156)</f>
        <v/>
      </c>
      <c r="AJ156" s="39">
        <f>IF(OR(AH156="",P156="",N156=""),"",ABS(P156-AH156)*N156)</f>
        <v/>
      </c>
      <c r="AK156" s="39">
        <f>IF(OR(AE156="",P156="",N156=""),"",IF(I156="Buy",AE156-P156,P156-AE156)*N156)</f>
        <v/>
      </c>
      <c r="AL156" s="39">
        <f>IF(OR(AJ156="",AK156=""),"",MAX(0,AJ156-AK156))</f>
        <v/>
      </c>
      <c r="AM156" s="39">
        <f>IF(AK156="","",(P156+AE156)*N156)</f>
        <v/>
      </c>
      <c r="AN156" s="55">
        <f>IF(AK156="","",BrokeragePerOrder*2*MAX(1,N(L156)))</f>
        <v/>
      </c>
      <c r="AO156" s="55">
        <f>IF(AK156="","",STTRate*IF(I156="Buy",AE156,P156)*N156)</f>
        <v/>
      </c>
      <c r="AP156" s="55">
        <f>IF(AK156="","",ExchRate*AM156)</f>
        <v/>
      </c>
      <c r="AQ156" s="55">
        <f>IF(AK156="","",SEBIRate*AM156)</f>
        <v/>
      </c>
      <c r="AR156" s="55">
        <f>IF(AK156="","",StampRate*IF(I156="Buy",P156,AE156)*N156)</f>
        <v/>
      </c>
      <c r="AS156" s="55">
        <f>IF(AK156="","",GSTRate*(AN156+AP156+AQ156))</f>
        <v/>
      </c>
      <c r="AT156" s="55">
        <f>IF(AK156="","",AN156+AO156+AP156+AQ156+AR156+AS156)</f>
        <v/>
      </c>
      <c r="AU156" s="39">
        <f>IF(AK156="","",AK156-AT156)</f>
        <v/>
      </c>
      <c r="AV156" s="56">
        <f>IF(AU156="","",AU156/IF(N(Z156)&gt;0,Z156,RiskPerTrade))</f>
        <v/>
      </c>
      <c r="AW156" s="31">
        <f>IF(AU156="","",AU156/Capital)</f>
        <v/>
      </c>
      <c r="AX156" s="37" t="n"/>
      <c r="AY156" s="37" t="n"/>
      <c r="AZ156" s="37" t="n"/>
      <c r="BA156" s="37" t="n"/>
      <c r="BB156" s="37" t="n"/>
      <c r="BC156" s="37" t="n"/>
      <c r="BD156" s="37" t="n"/>
      <c r="BE156" s="5">
        <f>IF(AU156="","",IF(AU156&gt;0,"Win",IF(AU156&lt;0,"Loss","BE")))</f>
        <v/>
      </c>
      <c r="BF156" s="5">
        <f>IF(O156="","",LOOKUP(O156,List_BucketStart,List_BucketLabel))</f>
        <v/>
      </c>
      <c r="BG156" s="57">
        <f>IF(B156="","",B156-WEEKDAY(B156,3))</f>
        <v/>
      </c>
      <c r="BH156" s="28">
        <f>IF(B156="","",COUNTIF($B$6:B156,B156))</f>
        <v/>
      </c>
      <c r="BI156" s="39">
        <f>IF(B156="","",SUMIFS($AU$6:AU156,$B$6:B156,B156)-N(AU156))</f>
        <v/>
      </c>
      <c r="BJ156" s="5">
        <f>IF(OR(B156="",E156=""),"",IF(AND(E156=0,I156="Sell",MAX(N(O156),N(AD156))&gt;ExpiryCutoff),"BREACH","OK"))</f>
        <v/>
      </c>
      <c r="BK156" s="5">
        <f>IF(B156="","",IF(OR(AC156&lt;&gt;"OK",BJ156="BREACH",BH156&gt;MaxTradesDay,BI156&lt;=-DailyLossLimit,OR(AF156="Panic",AF156="Revenge",AF156="Rule break")),"CHECK","OK"))</f>
        <v/>
      </c>
      <c r="BL156" s="39">
        <f>IF(AU156="","",SUM($AU$6:AU156))</f>
        <v/>
      </c>
      <c r="BM156" s="39">
        <f>IF(BL156="","",Capital+BL156)</f>
        <v/>
      </c>
      <c r="BN156" s="39">
        <f>IF(BM156="","",MAX(Capital,MAX($BM$6:BM156)))</f>
        <v/>
      </c>
      <c r="BO156" s="39">
        <f>IF(BM156="","",BN156-BM156)</f>
        <v/>
      </c>
      <c r="BP156" s="58">
        <f>IF(BO156="","",BO156/BN156)</f>
        <v/>
      </c>
      <c r="BQ156" s="28">
        <f>IF(AU156="","",IF(AU156&lt;0,N(BQ155)+1,0))</f>
        <v/>
      </c>
    </row>
    <row r="157">
      <c r="A157" s="28">
        <f>IF(B157="","",COUNT($B$6:B157))</f>
        <v/>
      </c>
      <c r="B157" s="27" t="n"/>
      <c r="C157" s="5">
        <f>IF(B157="","",TEXT(B157,"ddd"))</f>
        <v/>
      </c>
      <c r="D157" s="27" t="n"/>
      <c r="E157" s="28">
        <f>IF(OR(B157="",D157=""),"",MAX(0,NETWORKDAYS(B157,D157)-1))</f>
        <v/>
      </c>
      <c r="F157" s="37" t="n"/>
      <c r="G157" s="36" t="n"/>
      <c r="H157" s="37" t="n"/>
      <c r="I157" s="37" t="n"/>
      <c r="J157" s="37" t="n"/>
      <c r="K157" s="37" t="n"/>
      <c r="L157" s="36" t="n"/>
      <c r="M157" s="36" t="n"/>
      <c r="N157" s="33">
        <f>IF(M157="","",M157*LotSize)</f>
        <v/>
      </c>
      <c r="O157" s="51" t="n"/>
      <c r="P157" s="32" t="n"/>
      <c r="Q157" s="29" t="n"/>
      <c r="R157" s="30">
        <f>IF(OR(G157="",Q157="",H157=""),"",IF(H157="CE",G157-Q157,Q157-G157))</f>
        <v/>
      </c>
      <c r="S157" s="31">
        <f>IF(R157="","",R157/Q157)</f>
        <v/>
      </c>
      <c r="T157" s="38" t="n"/>
      <c r="U157" s="32" t="n"/>
      <c r="V157" s="52" t="n"/>
      <c r="W157" s="37" t="n"/>
      <c r="X157" s="32" t="n"/>
      <c r="Y157" s="32" t="n"/>
      <c r="Z157" s="39">
        <f>IF(OR(X157="",P157="",N157=""),"",ABS(X157-P157)*N157)</f>
        <v/>
      </c>
      <c r="AA157" s="53">
        <f>IF(OR(Z157="",Y157=""),"",IF(Z157=0,"",ABS(P157-Y157)*N157/Z157))</f>
        <v/>
      </c>
      <c r="AB157" s="54">
        <f>IF(Z157="","",Z157/Capital)</f>
        <v/>
      </c>
      <c r="AC157" s="5">
        <f>IF(B157="","",IF(X157="","NO SL",IF(OR(N(M157)&gt;MaxLots,N(AB157)&gt;RiskPct),"OVERSIZED","OK")))</f>
        <v/>
      </c>
      <c r="AD157" s="51" t="n"/>
      <c r="AE157" s="32" t="n"/>
      <c r="AF157" s="37" t="n"/>
      <c r="AG157" s="32" t="n"/>
      <c r="AH157" s="32" t="n"/>
      <c r="AI157" s="39">
        <f>IF(OR(AG157="",P157="",N157=""),"",ABS(AG157-P157)*N157)</f>
        <v/>
      </c>
      <c r="AJ157" s="39">
        <f>IF(OR(AH157="",P157="",N157=""),"",ABS(P157-AH157)*N157)</f>
        <v/>
      </c>
      <c r="AK157" s="39">
        <f>IF(OR(AE157="",P157="",N157=""),"",IF(I157="Buy",AE157-P157,P157-AE157)*N157)</f>
        <v/>
      </c>
      <c r="AL157" s="39">
        <f>IF(OR(AJ157="",AK157=""),"",MAX(0,AJ157-AK157))</f>
        <v/>
      </c>
      <c r="AM157" s="39">
        <f>IF(AK157="","",(P157+AE157)*N157)</f>
        <v/>
      </c>
      <c r="AN157" s="55">
        <f>IF(AK157="","",BrokeragePerOrder*2*MAX(1,N(L157)))</f>
        <v/>
      </c>
      <c r="AO157" s="55">
        <f>IF(AK157="","",STTRate*IF(I157="Buy",AE157,P157)*N157)</f>
        <v/>
      </c>
      <c r="AP157" s="55">
        <f>IF(AK157="","",ExchRate*AM157)</f>
        <v/>
      </c>
      <c r="AQ157" s="55">
        <f>IF(AK157="","",SEBIRate*AM157)</f>
        <v/>
      </c>
      <c r="AR157" s="55">
        <f>IF(AK157="","",StampRate*IF(I157="Buy",P157,AE157)*N157)</f>
        <v/>
      </c>
      <c r="AS157" s="55">
        <f>IF(AK157="","",GSTRate*(AN157+AP157+AQ157))</f>
        <v/>
      </c>
      <c r="AT157" s="55">
        <f>IF(AK157="","",AN157+AO157+AP157+AQ157+AR157+AS157)</f>
        <v/>
      </c>
      <c r="AU157" s="39">
        <f>IF(AK157="","",AK157-AT157)</f>
        <v/>
      </c>
      <c r="AV157" s="56">
        <f>IF(AU157="","",AU157/IF(N(Z157)&gt;0,Z157,RiskPerTrade))</f>
        <v/>
      </c>
      <c r="AW157" s="31">
        <f>IF(AU157="","",AU157/Capital)</f>
        <v/>
      </c>
      <c r="AX157" s="37" t="n"/>
      <c r="AY157" s="37" t="n"/>
      <c r="AZ157" s="37" t="n"/>
      <c r="BA157" s="37" t="n"/>
      <c r="BB157" s="37" t="n"/>
      <c r="BC157" s="37" t="n"/>
      <c r="BD157" s="37" t="n"/>
      <c r="BE157" s="5">
        <f>IF(AU157="","",IF(AU157&gt;0,"Win",IF(AU157&lt;0,"Loss","BE")))</f>
        <v/>
      </c>
      <c r="BF157" s="5">
        <f>IF(O157="","",LOOKUP(O157,List_BucketStart,List_BucketLabel))</f>
        <v/>
      </c>
      <c r="BG157" s="57">
        <f>IF(B157="","",B157-WEEKDAY(B157,3))</f>
        <v/>
      </c>
      <c r="BH157" s="28">
        <f>IF(B157="","",COUNTIF($B$6:B157,B157))</f>
        <v/>
      </c>
      <c r="BI157" s="39">
        <f>IF(B157="","",SUMIFS($AU$6:AU157,$B$6:B157,B157)-N(AU157))</f>
        <v/>
      </c>
      <c r="BJ157" s="5">
        <f>IF(OR(B157="",E157=""),"",IF(AND(E157=0,I157="Sell",MAX(N(O157),N(AD157))&gt;ExpiryCutoff),"BREACH","OK"))</f>
        <v/>
      </c>
      <c r="BK157" s="5">
        <f>IF(B157="","",IF(OR(AC157&lt;&gt;"OK",BJ157="BREACH",BH157&gt;MaxTradesDay,BI157&lt;=-DailyLossLimit,OR(AF157="Panic",AF157="Revenge",AF157="Rule break")),"CHECK","OK"))</f>
        <v/>
      </c>
      <c r="BL157" s="39">
        <f>IF(AU157="","",SUM($AU$6:AU157))</f>
        <v/>
      </c>
      <c r="BM157" s="39">
        <f>IF(BL157="","",Capital+BL157)</f>
        <v/>
      </c>
      <c r="BN157" s="39">
        <f>IF(BM157="","",MAX(Capital,MAX($BM$6:BM157)))</f>
        <v/>
      </c>
      <c r="BO157" s="39">
        <f>IF(BM157="","",BN157-BM157)</f>
        <v/>
      </c>
      <c r="BP157" s="58">
        <f>IF(BO157="","",BO157/BN157)</f>
        <v/>
      </c>
      <c r="BQ157" s="28">
        <f>IF(AU157="","",IF(AU157&lt;0,N(BQ156)+1,0))</f>
        <v/>
      </c>
    </row>
    <row r="158">
      <c r="A158" s="28">
        <f>IF(B158="","",COUNT($B$6:B158))</f>
        <v/>
      </c>
      <c r="B158" s="27" t="n"/>
      <c r="C158" s="5">
        <f>IF(B158="","",TEXT(B158,"ddd"))</f>
        <v/>
      </c>
      <c r="D158" s="27" t="n"/>
      <c r="E158" s="28">
        <f>IF(OR(B158="",D158=""),"",MAX(0,NETWORKDAYS(B158,D158)-1))</f>
        <v/>
      </c>
      <c r="F158" s="37" t="n"/>
      <c r="G158" s="36" t="n"/>
      <c r="H158" s="37" t="n"/>
      <c r="I158" s="37" t="n"/>
      <c r="J158" s="37" t="n"/>
      <c r="K158" s="37" t="n"/>
      <c r="L158" s="36" t="n"/>
      <c r="M158" s="36" t="n"/>
      <c r="N158" s="33">
        <f>IF(M158="","",M158*LotSize)</f>
        <v/>
      </c>
      <c r="O158" s="51" t="n"/>
      <c r="P158" s="32" t="n"/>
      <c r="Q158" s="29" t="n"/>
      <c r="R158" s="30">
        <f>IF(OR(G158="",Q158="",H158=""),"",IF(H158="CE",G158-Q158,Q158-G158))</f>
        <v/>
      </c>
      <c r="S158" s="31">
        <f>IF(R158="","",R158/Q158)</f>
        <v/>
      </c>
      <c r="T158" s="38" t="n"/>
      <c r="U158" s="32" t="n"/>
      <c r="V158" s="52" t="n"/>
      <c r="W158" s="37" t="n"/>
      <c r="X158" s="32" t="n"/>
      <c r="Y158" s="32" t="n"/>
      <c r="Z158" s="39">
        <f>IF(OR(X158="",P158="",N158=""),"",ABS(X158-P158)*N158)</f>
        <v/>
      </c>
      <c r="AA158" s="53">
        <f>IF(OR(Z158="",Y158=""),"",IF(Z158=0,"",ABS(P158-Y158)*N158/Z158))</f>
        <v/>
      </c>
      <c r="AB158" s="54">
        <f>IF(Z158="","",Z158/Capital)</f>
        <v/>
      </c>
      <c r="AC158" s="5">
        <f>IF(B158="","",IF(X158="","NO SL",IF(OR(N(M158)&gt;MaxLots,N(AB158)&gt;RiskPct),"OVERSIZED","OK")))</f>
        <v/>
      </c>
      <c r="AD158" s="51" t="n"/>
      <c r="AE158" s="32" t="n"/>
      <c r="AF158" s="37" t="n"/>
      <c r="AG158" s="32" t="n"/>
      <c r="AH158" s="32" t="n"/>
      <c r="AI158" s="39">
        <f>IF(OR(AG158="",P158="",N158=""),"",ABS(AG158-P158)*N158)</f>
        <v/>
      </c>
      <c r="AJ158" s="39">
        <f>IF(OR(AH158="",P158="",N158=""),"",ABS(P158-AH158)*N158)</f>
        <v/>
      </c>
      <c r="AK158" s="39">
        <f>IF(OR(AE158="",P158="",N158=""),"",IF(I158="Buy",AE158-P158,P158-AE158)*N158)</f>
        <v/>
      </c>
      <c r="AL158" s="39">
        <f>IF(OR(AJ158="",AK158=""),"",MAX(0,AJ158-AK158))</f>
        <v/>
      </c>
      <c r="AM158" s="39">
        <f>IF(AK158="","",(P158+AE158)*N158)</f>
        <v/>
      </c>
      <c r="AN158" s="55">
        <f>IF(AK158="","",BrokeragePerOrder*2*MAX(1,N(L158)))</f>
        <v/>
      </c>
      <c r="AO158" s="55">
        <f>IF(AK158="","",STTRate*IF(I158="Buy",AE158,P158)*N158)</f>
        <v/>
      </c>
      <c r="AP158" s="55">
        <f>IF(AK158="","",ExchRate*AM158)</f>
        <v/>
      </c>
      <c r="AQ158" s="55">
        <f>IF(AK158="","",SEBIRate*AM158)</f>
        <v/>
      </c>
      <c r="AR158" s="55">
        <f>IF(AK158="","",StampRate*IF(I158="Buy",P158,AE158)*N158)</f>
        <v/>
      </c>
      <c r="AS158" s="55">
        <f>IF(AK158="","",GSTRate*(AN158+AP158+AQ158))</f>
        <v/>
      </c>
      <c r="AT158" s="55">
        <f>IF(AK158="","",AN158+AO158+AP158+AQ158+AR158+AS158)</f>
        <v/>
      </c>
      <c r="AU158" s="39">
        <f>IF(AK158="","",AK158-AT158)</f>
        <v/>
      </c>
      <c r="AV158" s="56">
        <f>IF(AU158="","",AU158/IF(N(Z158)&gt;0,Z158,RiskPerTrade))</f>
        <v/>
      </c>
      <c r="AW158" s="31">
        <f>IF(AU158="","",AU158/Capital)</f>
        <v/>
      </c>
      <c r="AX158" s="37" t="n"/>
      <c r="AY158" s="37" t="n"/>
      <c r="AZ158" s="37" t="n"/>
      <c r="BA158" s="37" t="n"/>
      <c r="BB158" s="37" t="n"/>
      <c r="BC158" s="37" t="n"/>
      <c r="BD158" s="37" t="n"/>
      <c r="BE158" s="5">
        <f>IF(AU158="","",IF(AU158&gt;0,"Win",IF(AU158&lt;0,"Loss","BE")))</f>
        <v/>
      </c>
      <c r="BF158" s="5">
        <f>IF(O158="","",LOOKUP(O158,List_BucketStart,List_BucketLabel))</f>
        <v/>
      </c>
      <c r="BG158" s="57">
        <f>IF(B158="","",B158-WEEKDAY(B158,3))</f>
        <v/>
      </c>
      <c r="BH158" s="28">
        <f>IF(B158="","",COUNTIF($B$6:B158,B158))</f>
        <v/>
      </c>
      <c r="BI158" s="39">
        <f>IF(B158="","",SUMIFS($AU$6:AU158,$B$6:B158,B158)-N(AU158))</f>
        <v/>
      </c>
      <c r="BJ158" s="5">
        <f>IF(OR(B158="",E158=""),"",IF(AND(E158=0,I158="Sell",MAX(N(O158),N(AD158))&gt;ExpiryCutoff),"BREACH","OK"))</f>
        <v/>
      </c>
      <c r="BK158" s="5">
        <f>IF(B158="","",IF(OR(AC158&lt;&gt;"OK",BJ158="BREACH",BH158&gt;MaxTradesDay,BI158&lt;=-DailyLossLimit,OR(AF158="Panic",AF158="Revenge",AF158="Rule break")),"CHECK","OK"))</f>
        <v/>
      </c>
      <c r="BL158" s="39">
        <f>IF(AU158="","",SUM($AU$6:AU158))</f>
        <v/>
      </c>
      <c r="BM158" s="39">
        <f>IF(BL158="","",Capital+BL158)</f>
        <v/>
      </c>
      <c r="BN158" s="39">
        <f>IF(BM158="","",MAX(Capital,MAX($BM$6:BM158)))</f>
        <v/>
      </c>
      <c r="BO158" s="39">
        <f>IF(BM158="","",BN158-BM158)</f>
        <v/>
      </c>
      <c r="BP158" s="58">
        <f>IF(BO158="","",BO158/BN158)</f>
        <v/>
      </c>
      <c r="BQ158" s="28">
        <f>IF(AU158="","",IF(AU158&lt;0,N(BQ157)+1,0))</f>
        <v/>
      </c>
    </row>
    <row r="159">
      <c r="A159" s="28">
        <f>IF(B159="","",COUNT($B$6:B159))</f>
        <v/>
      </c>
      <c r="B159" s="27" t="n"/>
      <c r="C159" s="5">
        <f>IF(B159="","",TEXT(B159,"ddd"))</f>
        <v/>
      </c>
      <c r="D159" s="27" t="n"/>
      <c r="E159" s="28">
        <f>IF(OR(B159="",D159=""),"",MAX(0,NETWORKDAYS(B159,D159)-1))</f>
        <v/>
      </c>
      <c r="F159" s="37" t="n"/>
      <c r="G159" s="36" t="n"/>
      <c r="H159" s="37" t="n"/>
      <c r="I159" s="37" t="n"/>
      <c r="J159" s="37" t="n"/>
      <c r="K159" s="37" t="n"/>
      <c r="L159" s="36" t="n"/>
      <c r="M159" s="36" t="n"/>
      <c r="N159" s="33">
        <f>IF(M159="","",M159*LotSize)</f>
        <v/>
      </c>
      <c r="O159" s="51" t="n"/>
      <c r="P159" s="32" t="n"/>
      <c r="Q159" s="29" t="n"/>
      <c r="R159" s="30">
        <f>IF(OR(G159="",Q159="",H159=""),"",IF(H159="CE",G159-Q159,Q159-G159))</f>
        <v/>
      </c>
      <c r="S159" s="31">
        <f>IF(R159="","",R159/Q159)</f>
        <v/>
      </c>
      <c r="T159" s="38" t="n"/>
      <c r="U159" s="32" t="n"/>
      <c r="V159" s="52" t="n"/>
      <c r="W159" s="37" t="n"/>
      <c r="X159" s="32" t="n"/>
      <c r="Y159" s="32" t="n"/>
      <c r="Z159" s="39">
        <f>IF(OR(X159="",P159="",N159=""),"",ABS(X159-P159)*N159)</f>
        <v/>
      </c>
      <c r="AA159" s="53">
        <f>IF(OR(Z159="",Y159=""),"",IF(Z159=0,"",ABS(P159-Y159)*N159/Z159))</f>
        <v/>
      </c>
      <c r="AB159" s="54">
        <f>IF(Z159="","",Z159/Capital)</f>
        <v/>
      </c>
      <c r="AC159" s="5">
        <f>IF(B159="","",IF(X159="","NO SL",IF(OR(N(M159)&gt;MaxLots,N(AB159)&gt;RiskPct),"OVERSIZED","OK")))</f>
        <v/>
      </c>
      <c r="AD159" s="51" t="n"/>
      <c r="AE159" s="32" t="n"/>
      <c r="AF159" s="37" t="n"/>
      <c r="AG159" s="32" t="n"/>
      <c r="AH159" s="32" t="n"/>
      <c r="AI159" s="39">
        <f>IF(OR(AG159="",P159="",N159=""),"",ABS(AG159-P159)*N159)</f>
        <v/>
      </c>
      <c r="AJ159" s="39">
        <f>IF(OR(AH159="",P159="",N159=""),"",ABS(P159-AH159)*N159)</f>
        <v/>
      </c>
      <c r="AK159" s="39">
        <f>IF(OR(AE159="",P159="",N159=""),"",IF(I159="Buy",AE159-P159,P159-AE159)*N159)</f>
        <v/>
      </c>
      <c r="AL159" s="39">
        <f>IF(OR(AJ159="",AK159=""),"",MAX(0,AJ159-AK159))</f>
        <v/>
      </c>
      <c r="AM159" s="39">
        <f>IF(AK159="","",(P159+AE159)*N159)</f>
        <v/>
      </c>
      <c r="AN159" s="55">
        <f>IF(AK159="","",BrokeragePerOrder*2*MAX(1,N(L159)))</f>
        <v/>
      </c>
      <c r="AO159" s="55">
        <f>IF(AK159="","",STTRate*IF(I159="Buy",AE159,P159)*N159)</f>
        <v/>
      </c>
      <c r="AP159" s="55">
        <f>IF(AK159="","",ExchRate*AM159)</f>
        <v/>
      </c>
      <c r="AQ159" s="55">
        <f>IF(AK159="","",SEBIRate*AM159)</f>
        <v/>
      </c>
      <c r="AR159" s="55">
        <f>IF(AK159="","",StampRate*IF(I159="Buy",P159,AE159)*N159)</f>
        <v/>
      </c>
      <c r="AS159" s="55">
        <f>IF(AK159="","",GSTRate*(AN159+AP159+AQ159))</f>
        <v/>
      </c>
      <c r="AT159" s="55">
        <f>IF(AK159="","",AN159+AO159+AP159+AQ159+AR159+AS159)</f>
        <v/>
      </c>
      <c r="AU159" s="39">
        <f>IF(AK159="","",AK159-AT159)</f>
        <v/>
      </c>
      <c r="AV159" s="56">
        <f>IF(AU159="","",AU159/IF(N(Z159)&gt;0,Z159,RiskPerTrade))</f>
        <v/>
      </c>
      <c r="AW159" s="31">
        <f>IF(AU159="","",AU159/Capital)</f>
        <v/>
      </c>
      <c r="AX159" s="37" t="n"/>
      <c r="AY159" s="37" t="n"/>
      <c r="AZ159" s="37" t="n"/>
      <c r="BA159" s="37" t="n"/>
      <c r="BB159" s="37" t="n"/>
      <c r="BC159" s="37" t="n"/>
      <c r="BD159" s="37" t="n"/>
      <c r="BE159" s="5">
        <f>IF(AU159="","",IF(AU159&gt;0,"Win",IF(AU159&lt;0,"Loss","BE")))</f>
        <v/>
      </c>
      <c r="BF159" s="5">
        <f>IF(O159="","",LOOKUP(O159,List_BucketStart,List_BucketLabel))</f>
        <v/>
      </c>
      <c r="BG159" s="57">
        <f>IF(B159="","",B159-WEEKDAY(B159,3))</f>
        <v/>
      </c>
      <c r="BH159" s="28">
        <f>IF(B159="","",COUNTIF($B$6:B159,B159))</f>
        <v/>
      </c>
      <c r="BI159" s="39">
        <f>IF(B159="","",SUMIFS($AU$6:AU159,$B$6:B159,B159)-N(AU159))</f>
        <v/>
      </c>
      <c r="BJ159" s="5">
        <f>IF(OR(B159="",E159=""),"",IF(AND(E159=0,I159="Sell",MAX(N(O159),N(AD159))&gt;ExpiryCutoff),"BREACH","OK"))</f>
        <v/>
      </c>
      <c r="BK159" s="5">
        <f>IF(B159="","",IF(OR(AC159&lt;&gt;"OK",BJ159="BREACH",BH159&gt;MaxTradesDay,BI159&lt;=-DailyLossLimit,OR(AF159="Panic",AF159="Revenge",AF159="Rule break")),"CHECK","OK"))</f>
        <v/>
      </c>
      <c r="BL159" s="39">
        <f>IF(AU159="","",SUM($AU$6:AU159))</f>
        <v/>
      </c>
      <c r="BM159" s="39">
        <f>IF(BL159="","",Capital+BL159)</f>
        <v/>
      </c>
      <c r="BN159" s="39">
        <f>IF(BM159="","",MAX(Capital,MAX($BM$6:BM159)))</f>
        <v/>
      </c>
      <c r="BO159" s="39">
        <f>IF(BM159="","",BN159-BM159)</f>
        <v/>
      </c>
      <c r="BP159" s="58">
        <f>IF(BO159="","",BO159/BN159)</f>
        <v/>
      </c>
      <c r="BQ159" s="28">
        <f>IF(AU159="","",IF(AU159&lt;0,N(BQ158)+1,0))</f>
        <v/>
      </c>
    </row>
    <row r="160">
      <c r="A160" s="28">
        <f>IF(B160="","",COUNT($B$6:B160))</f>
        <v/>
      </c>
      <c r="B160" s="27" t="n"/>
      <c r="C160" s="5">
        <f>IF(B160="","",TEXT(B160,"ddd"))</f>
        <v/>
      </c>
      <c r="D160" s="27" t="n"/>
      <c r="E160" s="28">
        <f>IF(OR(B160="",D160=""),"",MAX(0,NETWORKDAYS(B160,D160)-1))</f>
        <v/>
      </c>
      <c r="F160" s="37" t="n"/>
      <c r="G160" s="36" t="n"/>
      <c r="H160" s="37" t="n"/>
      <c r="I160" s="37" t="n"/>
      <c r="J160" s="37" t="n"/>
      <c r="K160" s="37" t="n"/>
      <c r="L160" s="36" t="n"/>
      <c r="M160" s="36" t="n"/>
      <c r="N160" s="33">
        <f>IF(M160="","",M160*LotSize)</f>
        <v/>
      </c>
      <c r="O160" s="51" t="n"/>
      <c r="P160" s="32" t="n"/>
      <c r="Q160" s="29" t="n"/>
      <c r="R160" s="30">
        <f>IF(OR(G160="",Q160="",H160=""),"",IF(H160="CE",G160-Q160,Q160-G160))</f>
        <v/>
      </c>
      <c r="S160" s="31">
        <f>IF(R160="","",R160/Q160)</f>
        <v/>
      </c>
      <c r="T160" s="38" t="n"/>
      <c r="U160" s="32" t="n"/>
      <c r="V160" s="52" t="n"/>
      <c r="W160" s="37" t="n"/>
      <c r="X160" s="32" t="n"/>
      <c r="Y160" s="32" t="n"/>
      <c r="Z160" s="39">
        <f>IF(OR(X160="",P160="",N160=""),"",ABS(X160-P160)*N160)</f>
        <v/>
      </c>
      <c r="AA160" s="53">
        <f>IF(OR(Z160="",Y160=""),"",IF(Z160=0,"",ABS(P160-Y160)*N160/Z160))</f>
        <v/>
      </c>
      <c r="AB160" s="54">
        <f>IF(Z160="","",Z160/Capital)</f>
        <v/>
      </c>
      <c r="AC160" s="5">
        <f>IF(B160="","",IF(X160="","NO SL",IF(OR(N(M160)&gt;MaxLots,N(AB160)&gt;RiskPct),"OVERSIZED","OK")))</f>
        <v/>
      </c>
      <c r="AD160" s="51" t="n"/>
      <c r="AE160" s="32" t="n"/>
      <c r="AF160" s="37" t="n"/>
      <c r="AG160" s="32" t="n"/>
      <c r="AH160" s="32" t="n"/>
      <c r="AI160" s="39">
        <f>IF(OR(AG160="",P160="",N160=""),"",ABS(AG160-P160)*N160)</f>
        <v/>
      </c>
      <c r="AJ160" s="39">
        <f>IF(OR(AH160="",P160="",N160=""),"",ABS(P160-AH160)*N160)</f>
        <v/>
      </c>
      <c r="AK160" s="39">
        <f>IF(OR(AE160="",P160="",N160=""),"",IF(I160="Buy",AE160-P160,P160-AE160)*N160)</f>
        <v/>
      </c>
      <c r="AL160" s="39">
        <f>IF(OR(AJ160="",AK160=""),"",MAX(0,AJ160-AK160))</f>
        <v/>
      </c>
      <c r="AM160" s="39">
        <f>IF(AK160="","",(P160+AE160)*N160)</f>
        <v/>
      </c>
      <c r="AN160" s="55">
        <f>IF(AK160="","",BrokeragePerOrder*2*MAX(1,N(L160)))</f>
        <v/>
      </c>
      <c r="AO160" s="55">
        <f>IF(AK160="","",STTRate*IF(I160="Buy",AE160,P160)*N160)</f>
        <v/>
      </c>
      <c r="AP160" s="55">
        <f>IF(AK160="","",ExchRate*AM160)</f>
        <v/>
      </c>
      <c r="AQ160" s="55">
        <f>IF(AK160="","",SEBIRate*AM160)</f>
        <v/>
      </c>
      <c r="AR160" s="55">
        <f>IF(AK160="","",StampRate*IF(I160="Buy",P160,AE160)*N160)</f>
        <v/>
      </c>
      <c r="AS160" s="55">
        <f>IF(AK160="","",GSTRate*(AN160+AP160+AQ160))</f>
        <v/>
      </c>
      <c r="AT160" s="55">
        <f>IF(AK160="","",AN160+AO160+AP160+AQ160+AR160+AS160)</f>
        <v/>
      </c>
      <c r="AU160" s="39">
        <f>IF(AK160="","",AK160-AT160)</f>
        <v/>
      </c>
      <c r="AV160" s="56">
        <f>IF(AU160="","",AU160/IF(N(Z160)&gt;0,Z160,RiskPerTrade))</f>
        <v/>
      </c>
      <c r="AW160" s="31">
        <f>IF(AU160="","",AU160/Capital)</f>
        <v/>
      </c>
      <c r="AX160" s="37" t="n"/>
      <c r="AY160" s="37" t="n"/>
      <c r="AZ160" s="37" t="n"/>
      <c r="BA160" s="37" t="n"/>
      <c r="BB160" s="37" t="n"/>
      <c r="BC160" s="37" t="n"/>
      <c r="BD160" s="37" t="n"/>
      <c r="BE160" s="5">
        <f>IF(AU160="","",IF(AU160&gt;0,"Win",IF(AU160&lt;0,"Loss","BE")))</f>
        <v/>
      </c>
      <c r="BF160" s="5">
        <f>IF(O160="","",LOOKUP(O160,List_BucketStart,List_BucketLabel))</f>
        <v/>
      </c>
      <c r="BG160" s="57">
        <f>IF(B160="","",B160-WEEKDAY(B160,3))</f>
        <v/>
      </c>
      <c r="BH160" s="28">
        <f>IF(B160="","",COUNTIF($B$6:B160,B160))</f>
        <v/>
      </c>
      <c r="BI160" s="39">
        <f>IF(B160="","",SUMIFS($AU$6:AU160,$B$6:B160,B160)-N(AU160))</f>
        <v/>
      </c>
      <c r="BJ160" s="5">
        <f>IF(OR(B160="",E160=""),"",IF(AND(E160=0,I160="Sell",MAX(N(O160),N(AD160))&gt;ExpiryCutoff),"BREACH","OK"))</f>
        <v/>
      </c>
      <c r="BK160" s="5">
        <f>IF(B160="","",IF(OR(AC160&lt;&gt;"OK",BJ160="BREACH",BH160&gt;MaxTradesDay,BI160&lt;=-DailyLossLimit,OR(AF160="Panic",AF160="Revenge",AF160="Rule break")),"CHECK","OK"))</f>
        <v/>
      </c>
      <c r="BL160" s="39">
        <f>IF(AU160="","",SUM($AU$6:AU160))</f>
        <v/>
      </c>
      <c r="BM160" s="39">
        <f>IF(BL160="","",Capital+BL160)</f>
        <v/>
      </c>
      <c r="BN160" s="39">
        <f>IF(BM160="","",MAX(Capital,MAX($BM$6:BM160)))</f>
        <v/>
      </c>
      <c r="BO160" s="39">
        <f>IF(BM160="","",BN160-BM160)</f>
        <v/>
      </c>
      <c r="BP160" s="58">
        <f>IF(BO160="","",BO160/BN160)</f>
        <v/>
      </c>
      <c r="BQ160" s="28">
        <f>IF(AU160="","",IF(AU160&lt;0,N(BQ159)+1,0))</f>
        <v/>
      </c>
    </row>
    <row r="161">
      <c r="A161" s="28">
        <f>IF(B161="","",COUNT($B$6:B161))</f>
        <v/>
      </c>
      <c r="B161" s="27" t="n"/>
      <c r="C161" s="5">
        <f>IF(B161="","",TEXT(B161,"ddd"))</f>
        <v/>
      </c>
      <c r="D161" s="27" t="n"/>
      <c r="E161" s="28">
        <f>IF(OR(B161="",D161=""),"",MAX(0,NETWORKDAYS(B161,D161)-1))</f>
        <v/>
      </c>
      <c r="F161" s="37" t="n"/>
      <c r="G161" s="36" t="n"/>
      <c r="H161" s="37" t="n"/>
      <c r="I161" s="37" t="n"/>
      <c r="J161" s="37" t="n"/>
      <c r="K161" s="37" t="n"/>
      <c r="L161" s="36" t="n"/>
      <c r="M161" s="36" t="n"/>
      <c r="N161" s="33">
        <f>IF(M161="","",M161*LotSize)</f>
        <v/>
      </c>
      <c r="O161" s="51" t="n"/>
      <c r="P161" s="32" t="n"/>
      <c r="Q161" s="29" t="n"/>
      <c r="R161" s="30">
        <f>IF(OR(G161="",Q161="",H161=""),"",IF(H161="CE",G161-Q161,Q161-G161))</f>
        <v/>
      </c>
      <c r="S161" s="31">
        <f>IF(R161="","",R161/Q161)</f>
        <v/>
      </c>
      <c r="T161" s="38" t="n"/>
      <c r="U161" s="32" t="n"/>
      <c r="V161" s="52" t="n"/>
      <c r="W161" s="37" t="n"/>
      <c r="X161" s="32" t="n"/>
      <c r="Y161" s="32" t="n"/>
      <c r="Z161" s="39">
        <f>IF(OR(X161="",P161="",N161=""),"",ABS(X161-P161)*N161)</f>
        <v/>
      </c>
      <c r="AA161" s="53">
        <f>IF(OR(Z161="",Y161=""),"",IF(Z161=0,"",ABS(P161-Y161)*N161/Z161))</f>
        <v/>
      </c>
      <c r="AB161" s="54">
        <f>IF(Z161="","",Z161/Capital)</f>
        <v/>
      </c>
      <c r="AC161" s="5">
        <f>IF(B161="","",IF(X161="","NO SL",IF(OR(N(M161)&gt;MaxLots,N(AB161)&gt;RiskPct),"OVERSIZED","OK")))</f>
        <v/>
      </c>
      <c r="AD161" s="51" t="n"/>
      <c r="AE161" s="32" t="n"/>
      <c r="AF161" s="37" t="n"/>
      <c r="AG161" s="32" t="n"/>
      <c r="AH161" s="32" t="n"/>
      <c r="AI161" s="39">
        <f>IF(OR(AG161="",P161="",N161=""),"",ABS(AG161-P161)*N161)</f>
        <v/>
      </c>
      <c r="AJ161" s="39">
        <f>IF(OR(AH161="",P161="",N161=""),"",ABS(P161-AH161)*N161)</f>
        <v/>
      </c>
      <c r="AK161" s="39">
        <f>IF(OR(AE161="",P161="",N161=""),"",IF(I161="Buy",AE161-P161,P161-AE161)*N161)</f>
        <v/>
      </c>
      <c r="AL161" s="39">
        <f>IF(OR(AJ161="",AK161=""),"",MAX(0,AJ161-AK161))</f>
        <v/>
      </c>
      <c r="AM161" s="39">
        <f>IF(AK161="","",(P161+AE161)*N161)</f>
        <v/>
      </c>
      <c r="AN161" s="55">
        <f>IF(AK161="","",BrokeragePerOrder*2*MAX(1,N(L161)))</f>
        <v/>
      </c>
      <c r="AO161" s="55">
        <f>IF(AK161="","",STTRate*IF(I161="Buy",AE161,P161)*N161)</f>
        <v/>
      </c>
      <c r="AP161" s="55">
        <f>IF(AK161="","",ExchRate*AM161)</f>
        <v/>
      </c>
      <c r="AQ161" s="55">
        <f>IF(AK161="","",SEBIRate*AM161)</f>
        <v/>
      </c>
      <c r="AR161" s="55">
        <f>IF(AK161="","",StampRate*IF(I161="Buy",P161,AE161)*N161)</f>
        <v/>
      </c>
      <c r="AS161" s="55">
        <f>IF(AK161="","",GSTRate*(AN161+AP161+AQ161))</f>
        <v/>
      </c>
      <c r="AT161" s="55">
        <f>IF(AK161="","",AN161+AO161+AP161+AQ161+AR161+AS161)</f>
        <v/>
      </c>
      <c r="AU161" s="39">
        <f>IF(AK161="","",AK161-AT161)</f>
        <v/>
      </c>
      <c r="AV161" s="56">
        <f>IF(AU161="","",AU161/IF(N(Z161)&gt;0,Z161,RiskPerTrade))</f>
        <v/>
      </c>
      <c r="AW161" s="31">
        <f>IF(AU161="","",AU161/Capital)</f>
        <v/>
      </c>
      <c r="AX161" s="37" t="n"/>
      <c r="AY161" s="37" t="n"/>
      <c r="AZ161" s="37" t="n"/>
      <c r="BA161" s="37" t="n"/>
      <c r="BB161" s="37" t="n"/>
      <c r="BC161" s="37" t="n"/>
      <c r="BD161" s="37" t="n"/>
      <c r="BE161" s="5">
        <f>IF(AU161="","",IF(AU161&gt;0,"Win",IF(AU161&lt;0,"Loss","BE")))</f>
        <v/>
      </c>
      <c r="BF161" s="5">
        <f>IF(O161="","",LOOKUP(O161,List_BucketStart,List_BucketLabel))</f>
        <v/>
      </c>
      <c r="BG161" s="57">
        <f>IF(B161="","",B161-WEEKDAY(B161,3))</f>
        <v/>
      </c>
      <c r="BH161" s="28">
        <f>IF(B161="","",COUNTIF($B$6:B161,B161))</f>
        <v/>
      </c>
      <c r="BI161" s="39">
        <f>IF(B161="","",SUMIFS($AU$6:AU161,$B$6:B161,B161)-N(AU161))</f>
        <v/>
      </c>
      <c r="BJ161" s="5">
        <f>IF(OR(B161="",E161=""),"",IF(AND(E161=0,I161="Sell",MAX(N(O161),N(AD161))&gt;ExpiryCutoff),"BREACH","OK"))</f>
        <v/>
      </c>
      <c r="BK161" s="5">
        <f>IF(B161="","",IF(OR(AC161&lt;&gt;"OK",BJ161="BREACH",BH161&gt;MaxTradesDay,BI161&lt;=-DailyLossLimit,OR(AF161="Panic",AF161="Revenge",AF161="Rule break")),"CHECK","OK"))</f>
        <v/>
      </c>
      <c r="BL161" s="39">
        <f>IF(AU161="","",SUM($AU$6:AU161))</f>
        <v/>
      </c>
      <c r="BM161" s="39">
        <f>IF(BL161="","",Capital+BL161)</f>
        <v/>
      </c>
      <c r="BN161" s="39">
        <f>IF(BM161="","",MAX(Capital,MAX($BM$6:BM161)))</f>
        <v/>
      </c>
      <c r="BO161" s="39">
        <f>IF(BM161="","",BN161-BM161)</f>
        <v/>
      </c>
      <c r="BP161" s="58">
        <f>IF(BO161="","",BO161/BN161)</f>
        <v/>
      </c>
      <c r="BQ161" s="28">
        <f>IF(AU161="","",IF(AU161&lt;0,N(BQ160)+1,0))</f>
        <v/>
      </c>
    </row>
    <row r="162">
      <c r="A162" s="28">
        <f>IF(B162="","",COUNT($B$6:B162))</f>
        <v/>
      </c>
      <c r="B162" s="27" t="n"/>
      <c r="C162" s="5">
        <f>IF(B162="","",TEXT(B162,"ddd"))</f>
        <v/>
      </c>
      <c r="D162" s="27" t="n"/>
      <c r="E162" s="28">
        <f>IF(OR(B162="",D162=""),"",MAX(0,NETWORKDAYS(B162,D162)-1))</f>
        <v/>
      </c>
      <c r="F162" s="37" t="n"/>
      <c r="G162" s="36" t="n"/>
      <c r="H162" s="37" t="n"/>
      <c r="I162" s="37" t="n"/>
      <c r="J162" s="37" t="n"/>
      <c r="K162" s="37" t="n"/>
      <c r="L162" s="36" t="n"/>
      <c r="M162" s="36" t="n"/>
      <c r="N162" s="33">
        <f>IF(M162="","",M162*LotSize)</f>
        <v/>
      </c>
      <c r="O162" s="51" t="n"/>
      <c r="P162" s="32" t="n"/>
      <c r="Q162" s="29" t="n"/>
      <c r="R162" s="30">
        <f>IF(OR(G162="",Q162="",H162=""),"",IF(H162="CE",G162-Q162,Q162-G162))</f>
        <v/>
      </c>
      <c r="S162" s="31">
        <f>IF(R162="","",R162/Q162)</f>
        <v/>
      </c>
      <c r="T162" s="38" t="n"/>
      <c r="U162" s="32" t="n"/>
      <c r="V162" s="52" t="n"/>
      <c r="W162" s="37" t="n"/>
      <c r="X162" s="32" t="n"/>
      <c r="Y162" s="32" t="n"/>
      <c r="Z162" s="39">
        <f>IF(OR(X162="",P162="",N162=""),"",ABS(X162-P162)*N162)</f>
        <v/>
      </c>
      <c r="AA162" s="53">
        <f>IF(OR(Z162="",Y162=""),"",IF(Z162=0,"",ABS(P162-Y162)*N162/Z162))</f>
        <v/>
      </c>
      <c r="AB162" s="54">
        <f>IF(Z162="","",Z162/Capital)</f>
        <v/>
      </c>
      <c r="AC162" s="5">
        <f>IF(B162="","",IF(X162="","NO SL",IF(OR(N(M162)&gt;MaxLots,N(AB162)&gt;RiskPct),"OVERSIZED","OK")))</f>
        <v/>
      </c>
      <c r="AD162" s="51" t="n"/>
      <c r="AE162" s="32" t="n"/>
      <c r="AF162" s="37" t="n"/>
      <c r="AG162" s="32" t="n"/>
      <c r="AH162" s="32" t="n"/>
      <c r="AI162" s="39">
        <f>IF(OR(AG162="",P162="",N162=""),"",ABS(AG162-P162)*N162)</f>
        <v/>
      </c>
      <c r="AJ162" s="39">
        <f>IF(OR(AH162="",P162="",N162=""),"",ABS(P162-AH162)*N162)</f>
        <v/>
      </c>
      <c r="AK162" s="39">
        <f>IF(OR(AE162="",P162="",N162=""),"",IF(I162="Buy",AE162-P162,P162-AE162)*N162)</f>
        <v/>
      </c>
      <c r="AL162" s="39">
        <f>IF(OR(AJ162="",AK162=""),"",MAX(0,AJ162-AK162))</f>
        <v/>
      </c>
      <c r="AM162" s="39">
        <f>IF(AK162="","",(P162+AE162)*N162)</f>
        <v/>
      </c>
      <c r="AN162" s="55">
        <f>IF(AK162="","",BrokeragePerOrder*2*MAX(1,N(L162)))</f>
        <v/>
      </c>
      <c r="AO162" s="55">
        <f>IF(AK162="","",STTRate*IF(I162="Buy",AE162,P162)*N162)</f>
        <v/>
      </c>
      <c r="AP162" s="55">
        <f>IF(AK162="","",ExchRate*AM162)</f>
        <v/>
      </c>
      <c r="AQ162" s="55">
        <f>IF(AK162="","",SEBIRate*AM162)</f>
        <v/>
      </c>
      <c r="AR162" s="55">
        <f>IF(AK162="","",StampRate*IF(I162="Buy",P162,AE162)*N162)</f>
        <v/>
      </c>
      <c r="AS162" s="55">
        <f>IF(AK162="","",GSTRate*(AN162+AP162+AQ162))</f>
        <v/>
      </c>
      <c r="AT162" s="55">
        <f>IF(AK162="","",AN162+AO162+AP162+AQ162+AR162+AS162)</f>
        <v/>
      </c>
      <c r="AU162" s="39">
        <f>IF(AK162="","",AK162-AT162)</f>
        <v/>
      </c>
      <c r="AV162" s="56">
        <f>IF(AU162="","",AU162/IF(N(Z162)&gt;0,Z162,RiskPerTrade))</f>
        <v/>
      </c>
      <c r="AW162" s="31">
        <f>IF(AU162="","",AU162/Capital)</f>
        <v/>
      </c>
      <c r="AX162" s="37" t="n"/>
      <c r="AY162" s="37" t="n"/>
      <c r="AZ162" s="37" t="n"/>
      <c r="BA162" s="37" t="n"/>
      <c r="BB162" s="37" t="n"/>
      <c r="BC162" s="37" t="n"/>
      <c r="BD162" s="37" t="n"/>
      <c r="BE162" s="5">
        <f>IF(AU162="","",IF(AU162&gt;0,"Win",IF(AU162&lt;0,"Loss","BE")))</f>
        <v/>
      </c>
      <c r="BF162" s="5">
        <f>IF(O162="","",LOOKUP(O162,List_BucketStart,List_BucketLabel))</f>
        <v/>
      </c>
      <c r="BG162" s="57">
        <f>IF(B162="","",B162-WEEKDAY(B162,3))</f>
        <v/>
      </c>
      <c r="BH162" s="28">
        <f>IF(B162="","",COUNTIF($B$6:B162,B162))</f>
        <v/>
      </c>
      <c r="BI162" s="39">
        <f>IF(B162="","",SUMIFS($AU$6:AU162,$B$6:B162,B162)-N(AU162))</f>
        <v/>
      </c>
      <c r="BJ162" s="5">
        <f>IF(OR(B162="",E162=""),"",IF(AND(E162=0,I162="Sell",MAX(N(O162),N(AD162))&gt;ExpiryCutoff),"BREACH","OK"))</f>
        <v/>
      </c>
      <c r="BK162" s="5">
        <f>IF(B162="","",IF(OR(AC162&lt;&gt;"OK",BJ162="BREACH",BH162&gt;MaxTradesDay,BI162&lt;=-DailyLossLimit,OR(AF162="Panic",AF162="Revenge",AF162="Rule break")),"CHECK","OK"))</f>
        <v/>
      </c>
      <c r="BL162" s="39">
        <f>IF(AU162="","",SUM($AU$6:AU162))</f>
        <v/>
      </c>
      <c r="BM162" s="39">
        <f>IF(BL162="","",Capital+BL162)</f>
        <v/>
      </c>
      <c r="BN162" s="39">
        <f>IF(BM162="","",MAX(Capital,MAX($BM$6:BM162)))</f>
        <v/>
      </c>
      <c r="BO162" s="39">
        <f>IF(BM162="","",BN162-BM162)</f>
        <v/>
      </c>
      <c r="BP162" s="58">
        <f>IF(BO162="","",BO162/BN162)</f>
        <v/>
      </c>
      <c r="BQ162" s="28">
        <f>IF(AU162="","",IF(AU162&lt;0,N(BQ161)+1,0))</f>
        <v/>
      </c>
    </row>
    <row r="163">
      <c r="A163" s="28">
        <f>IF(B163="","",COUNT($B$6:B163))</f>
        <v/>
      </c>
      <c r="B163" s="27" t="n"/>
      <c r="C163" s="5">
        <f>IF(B163="","",TEXT(B163,"ddd"))</f>
        <v/>
      </c>
      <c r="D163" s="27" t="n"/>
      <c r="E163" s="28">
        <f>IF(OR(B163="",D163=""),"",MAX(0,NETWORKDAYS(B163,D163)-1))</f>
        <v/>
      </c>
      <c r="F163" s="37" t="n"/>
      <c r="G163" s="36" t="n"/>
      <c r="H163" s="37" t="n"/>
      <c r="I163" s="37" t="n"/>
      <c r="J163" s="37" t="n"/>
      <c r="K163" s="37" t="n"/>
      <c r="L163" s="36" t="n"/>
      <c r="M163" s="36" t="n"/>
      <c r="N163" s="33">
        <f>IF(M163="","",M163*LotSize)</f>
        <v/>
      </c>
      <c r="O163" s="51" t="n"/>
      <c r="P163" s="32" t="n"/>
      <c r="Q163" s="29" t="n"/>
      <c r="R163" s="30">
        <f>IF(OR(G163="",Q163="",H163=""),"",IF(H163="CE",G163-Q163,Q163-G163))</f>
        <v/>
      </c>
      <c r="S163" s="31">
        <f>IF(R163="","",R163/Q163)</f>
        <v/>
      </c>
      <c r="T163" s="38" t="n"/>
      <c r="U163" s="32" t="n"/>
      <c r="V163" s="52" t="n"/>
      <c r="W163" s="37" t="n"/>
      <c r="X163" s="32" t="n"/>
      <c r="Y163" s="32" t="n"/>
      <c r="Z163" s="39">
        <f>IF(OR(X163="",P163="",N163=""),"",ABS(X163-P163)*N163)</f>
        <v/>
      </c>
      <c r="AA163" s="53">
        <f>IF(OR(Z163="",Y163=""),"",IF(Z163=0,"",ABS(P163-Y163)*N163/Z163))</f>
        <v/>
      </c>
      <c r="AB163" s="54">
        <f>IF(Z163="","",Z163/Capital)</f>
        <v/>
      </c>
      <c r="AC163" s="5">
        <f>IF(B163="","",IF(X163="","NO SL",IF(OR(N(M163)&gt;MaxLots,N(AB163)&gt;RiskPct),"OVERSIZED","OK")))</f>
        <v/>
      </c>
      <c r="AD163" s="51" t="n"/>
      <c r="AE163" s="32" t="n"/>
      <c r="AF163" s="37" t="n"/>
      <c r="AG163" s="32" t="n"/>
      <c r="AH163" s="32" t="n"/>
      <c r="AI163" s="39">
        <f>IF(OR(AG163="",P163="",N163=""),"",ABS(AG163-P163)*N163)</f>
        <v/>
      </c>
      <c r="AJ163" s="39">
        <f>IF(OR(AH163="",P163="",N163=""),"",ABS(P163-AH163)*N163)</f>
        <v/>
      </c>
      <c r="AK163" s="39">
        <f>IF(OR(AE163="",P163="",N163=""),"",IF(I163="Buy",AE163-P163,P163-AE163)*N163)</f>
        <v/>
      </c>
      <c r="AL163" s="39">
        <f>IF(OR(AJ163="",AK163=""),"",MAX(0,AJ163-AK163))</f>
        <v/>
      </c>
      <c r="AM163" s="39">
        <f>IF(AK163="","",(P163+AE163)*N163)</f>
        <v/>
      </c>
      <c r="AN163" s="55">
        <f>IF(AK163="","",BrokeragePerOrder*2*MAX(1,N(L163)))</f>
        <v/>
      </c>
      <c r="AO163" s="55">
        <f>IF(AK163="","",STTRate*IF(I163="Buy",AE163,P163)*N163)</f>
        <v/>
      </c>
      <c r="AP163" s="55">
        <f>IF(AK163="","",ExchRate*AM163)</f>
        <v/>
      </c>
      <c r="AQ163" s="55">
        <f>IF(AK163="","",SEBIRate*AM163)</f>
        <v/>
      </c>
      <c r="AR163" s="55">
        <f>IF(AK163="","",StampRate*IF(I163="Buy",P163,AE163)*N163)</f>
        <v/>
      </c>
      <c r="AS163" s="55">
        <f>IF(AK163="","",GSTRate*(AN163+AP163+AQ163))</f>
        <v/>
      </c>
      <c r="AT163" s="55">
        <f>IF(AK163="","",AN163+AO163+AP163+AQ163+AR163+AS163)</f>
        <v/>
      </c>
      <c r="AU163" s="39">
        <f>IF(AK163="","",AK163-AT163)</f>
        <v/>
      </c>
      <c r="AV163" s="56">
        <f>IF(AU163="","",AU163/IF(N(Z163)&gt;0,Z163,RiskPerTrade))</f>
        <v/>
      </c>
      <c r="AW163" s="31">
        <f>IF(AU163="","",AU163/Capital)</f>
        <v/>
      </c>
      <c r="AX163" s="37" t="n"/>
      <c r="AY163" s="37" t="n"/>
      <c r="AZ163" s="37" t="n"/>
      <c r="BA163" s="37" t="n"/>
      <c r="BB163" s="37" t="n"/>
      <c r="BC163" s="37" t="n"/>
      <c r="BD163" s="37" t="n"/>
      <c r="BE163" s="5">
        <f>IF(AU163="","",IF(AU163&gt;0,"Win",IF(AU163&lt;0,"Loss","BE")))</f>
        <v/>
      </c>
      <c r="BF163" s="5">
        <f>IF(O163="","",LOOKUP(O163,List_BucketStart,List_BucketLabel))</f>
        <v/>
      </c>
      <c r="BG163" s="57">
        <f>IF(B163="","",B163-WEEKDAY(B163,3))</f>
        <v/>
      </c>
      <c r="BH163" s="28">
        <f>IF(B163="","",COUNTIF($B$6:B163,B163))</f>
        <v/>
      </c>
      <c r="BI163" s="39">
        <f>IF(B163="","",SUMIFS($AU$6:AU163,$B$6:B163,B163)-N(AU163))</f>
        <v/>
      </c>
      <c r="BJ163" s="5">
        <f>IF(OR(B163="",E163=""),"",IF(AND(E163=0,I163="Sell",MAX(N(O163),N(AD163))&gt;ExpiryCutoff),"BREACH","OK"))</f>
        <v/>
      </c>
      <c r="BK163" s="5">
        <f>IF(B163="","",IF(OR(AC163&lt;&gt;"OK",BJ163="BREACH",BH163&gt;MaxTradesDay,BI163&lt;=-DailyLossLimit,OR(AF163="Panic",AF163="Revenge",AF163="Rule break")),"CHECK","OK"))</f>
        <v/>
      </c>
      <c r="BL163" s="39">
        <f>IF(AU163="","",SUM($AU$6:AU163))</f>
        <v/>
      </c>
      <c r="BM163" s="39">
        <f>IF(BL163="","",Capital+BL163)</f>
        <v/>
      </c>
      <c r="BN163" s="39">
        <f>IF(BM163="","",MAX(Capital,MAX($BM$6:BM163)))</f>
        <v/>
      </c>
      <c r="BO163" s="39">
        <f>IF(BM163="","",BN163-BM163)</f>
        <v/>
      </c>
      <c r="BP163" s="58">
        <f>IF(BO163="","",BO163/BN163)</f>
        <v/>
      </c>
      <c r="BQ163" s="28">
        <f>IF(AU163="","",IF(AU163&lt;0,N(BQ162)+1,0))</f>
        <v/>
      </c>
    </row>
    <row r="164">
      <c r="A164" s="28">
        <f>IF(B164="","",COUNT($B$6:B164))</f>
        <v/>
      </c>
      <c r="B164" s="27" t="n"/>
      <c r="C164" s="5">
        <f>IF(B164="","",TEXT(B164,"ddd"))</f>
        <v/>
      </c>
      <c r="D164" s="27" t="n"/>
      <c r="E164" s="28">
        <f>IF(OR(B164="",D164=""),"",MAX(0,NETWORKDAYS(B164,D164)-1))</f>
        <v/>
      </c>
      <c r="F164" s="37" t="n"/>
      <c r="G164" s="36" t="n"/>
      <c r="H164" s="37" t="n"/>
      <c r="I164" s="37" t="n"/>
      <c r="J164" s="37" t="n"/>
      <c r="K164" s="37" t="n"/>
      <c r="L164" s="36" t="n"/>
      <c r="M164" s="36" t="n"/>
      <c r="N164" s="33">
        <f>IF(M164="","",M164*LotSize)</f>
        <v/>
      </c>
      <c r="O164" s="51" t="n"/>
      <c r="P164" s="32" t="n"/>
      <c r="Q164" s="29" t="n"/>
      <c r="R164" s="30">
        <f>IF(OR(G164="",Q164="",H164=""),"",IF(H164="CE",G164-Q164,Q164-G164))</f>
        <v/>
      </c>
      <c r="S164" s="31">
        <f>IF(R164="","",R164/Q164)</f>
        <v/>
      </c>
      <c r="T164" s="38" t="n"/>
      <c r="U164" s="32" t="n"/>
      <c r="V164" s="52" t="n"/>
      <c r="W164" s="37" t="n"/>
      <c r="X164" s="32" t="n"/>
      <c r="Y164" s="32" t="n"/>
      <c r="Z164" s="39">
        <f>IF(OR(X164="",P164="",N164=""),"",ABS(X164-P164)*N164)</f>
        <v/>
      </c>
      <c r="AA164" s="53">
        <f>IF(OR(Z164="",Y164=""),"",IF(Z164=0,"",ABS(P164-Y164)*N164/Z164))</f>
        <v/>
      </c>
      <c r="AB164" s="54">
        <f>IF(Z164="","",Z164/Capital)</f>
        <v/>
      </c>
      <c r="AC164" s="5">
        <f>IF(B164="","",IF(X164="","NO SL",IF(OR(N(M164)&gt;MaxLots,N(AB164)&gt;RiskPct),"OVERSIZED","OK")))</f>
        <v/>
      </c>
      <c r="AD164" s="51" t="n"/>
      <c r="AE164" s="32" t="n"/>
      <c r="AF164" s="37" t="n"/>
      <c r="AG164" s="32" t="n"/>
      <c r="AH164" s="32" t="n"/>
      <c r="AI164" s="39">
        <f>IF(OR(AG164="",P164="",N164=""),"",ABS(AG164-P164)*N164)</f>
        <v/>
      </c>
      <c r="AJ164" s="39">
        <f>IF(OR(AH164="",P164="",N164=""),"",ABS(P164-AH164)*N164)</f>
        <v/>
      </c>
      <c r="AK164" s="39">
        <f>IF(OR(AE164="",P164="",N164=""),"",IF(I164="Buy",AE164-P164,P164-AE164)*N164)</f>
        <v/>
      </c>
      <c r="AL164" s="39">
        <f>IF(OR(AJ164="",AK164=""),"",MAX(0,AJ164-AK164))</f>
        <v/>
      </c>
      <c r="AM164" s="39">
        <f>IF(AK164="","",(P164+AE164)*N164)</f>
        <v/>
      </c>
      <c r="AN164" s="55">
        <f>IF(AK164="","",BrokeragePerOrder*2*MAX(1,N(L164)))</f>
        <v/>
      </c>
      <c r="AO164" s="55">
        <f>IF(AK164="","",STTRate*IF(I164="Buy",AE164,P164)*N164)</f>
        <v/>
      </c>
      <c r="AP164" s="55">
        <f>IF(AK164="","",ExchRate*AM164)</f>
        <v/>
      </c>
      <c r="AQ164" s="55">
        <f>IF(AK164="","",SEBIRate*AM164)</f>
        <v/>
      </c>
      <c r="AR164" s="55">
        <f>IF(AK164="","",StampRate*IF(I164="Buy",P164,AE164)*N164)</f>
        <v/>
      </c>
      <c r="AS164" s="55">
        <f>IF(AK164="","",GSTRate*(AN164+AP164+AQ164))</f>
        <v/>
      </c>
      <c r="AT164" s="55">
        <f>IF(AK164="","",AN164+AO164+AP164+AQ164+AR164+AS164)</f>
        <v/>
      </c>
      <c r="AU164" s="39">
        <f>IF(AK164="","",AK164-AT164)</f>
        <v/>
      </c>
      <c r="AV164" s="56">
        <f>IF(AU164="","",AU164/IF(N(Z164)&gt;0,Z164,RiskPerTrade))</f>
        <v/>
      </c>
      <c r="AW164" s="31">
        <f>IF(AU164="","",AU164/Capital)</f>
        <v/>
      </c>
      <c r="AX164" s="37" t="n"/>
      <c r="AY164" s="37" t="n"/>
      <c r="AZ164" s="37" t="n"/>
      <c r="BA164" s="37" t="n"/>
      <c r="BB164" s="37" t="n"/>
      <c r="BC164" s="37" t="n"/>
      <c r="BD164" s="37" t="n"/>
      <c r="BE164" s="5">
        <f>IF(AU164="","",IF(AU164&gt;0,"Win",IF(AU164&lt;0,"Loss","BE")))</f>
        <v/>
      </c>
      <c r="BF164" s="5">
        <f>IF(O164="","",LOOKUP(O164,List_BucketStart,List_BucketLabel))</f>
        <v/>
      </c>
      <c r="BG164" s="57">
        <f>IF(B164="","",B164-WEEKDAY(B164,3))</f>
        <v/>
      </c>
      <c r="BH164" s="28">
        <f>IF(B164="","",COUNTIF($B$6:B164,B164))</f>
        <v/>
      </c>
      <c r="BI164" s="39">
        <f>IF(B164="","",SUMIFS($AU$6:AU164,$B$6:B164,B164)-N(AU164))</f>
        <v/>
      </c>
      <c r="BJ164" s="5">
        <f>IF(OR(B164="",E164=""),"",IF(AND(E164=0,I164="Sell",MAX(N(O164),N(AD164))&gt;ExpiryCutoff),"BREACH","OK"))</f>
        <v/>
      </c>
      <c r="BK164" s="5">
        <f>IF(B164="","",IF(OR(AC164&lt;&gt;"OK",BJ164="BREACH",BH164&gt;MaxTradesDay,BI164&lt;=-DailyLossLimit,OR(AF164="Panic",AF164="Revenge",AF164="Rule break")),"CHECK","OK"))</f>
        <v/>
      </c>
      <c r="BL164" s="39">
        <f>IF(AU164="","",SUM($AU$6:AU164))</f>
        <v/>
      </c>
      <c r="BM164" s="39">
        <f>IF(BL164="","",Capital+BL164)</f>
        <v/>
      </c>
      <c r="BN164" s="39">
        <f>IF(BM164="","",MAX(Capital,MAX($BM$6:BM164)))</f>
        <v/>
      </c>
      <c r="BO164" s="39">
        <f>IF(BM164="","",BN164-BM164)</f>
        <v/>
      </c>
      <c r="BP164" s="58">
        <f>IF(BO164="","",BO164/BN164)</f>
        <v/>
      </c>
      <c r="BQ164" s="28">
        <f>IF(AU164="","",IF(AU164&lt;0,N(BQ163)+1,0))</f>
        <v/>
      </c>
    </row>
    <row r="165">
      <c r="A165" s="28">
        <f>IF(B165="","",COUNT($B$6:B165))</f>
        <v/>
      </c>
      <c r="B165" s="27" t="n"/>
      <c r="C165" s="5">
        <f>IF(B165="","",TEXT(B165,"ddd"))</f>
        <v/>
      </c>
      <c r="D165" s="27" t="n"/>
      <c r="E165" s="28">
        <f>IF(OR(B165="",D165=""),"",MAX(0,NETWORKDAYS(B165,D165)-1))</f>
        <v/>
      </c>
      <c r="F165" s="37" t="n"/>
      <c r="G165" s="36" t="n"/>
      <c r="H165" s="37" t="n"/>
      <c r="I165" s="37" t="n"/>
      <c r="J165" s="37" t="n"/>
      <c r="K165" s="37" t="n"/>
      <c r="L165" s="36" t="n"/>
      <c r="M165" s="36" t="n"/>
      <c r="N165" s="33">
        <f>IF(M165="","",M165*LotSize)</f>
        <v/>
      </c>
      <c r="O165" s="51" t="n"/>
      <c r="P165" s="32" t="n"/>
      <c r="Q165" s="29" t="n"/>
      <c r="R165" s="30">
        <f>IF(OR(G165="",Q165="",H165=""),"",IF(H165="CE",G165-Q165,Q165-G165))</f>
        <v/>
      </c>
      <c r="S165" s="31">
        <f>IF(R165="","",R165/Q165)</f>
        <v/>
      </c>
      <c r="T165" s="38" t="n"/>
      <c r="U165" s="32" t="n"/>
      <c r="V165" s="52" t="n"/>
      <c r="W165" s="37" t="n"/>
      <c r="X165" s="32" t="n"/>
      <c r="Y165" s="32" t="n"/>
      <c r="Z165" s="39">
        <f>IF(OR(X165="",P165="",N165=""),"",ABS(X165-P165)*N165)</f>
        <v/>
      </c>
      <c r="AA165" s="53">
        <f>IF(OR(Z165="",Y165=""),"",IF(Z165=0,"",ABS(P165-Y165)*N165/Z165))</f>
        <v/>
      </c>
      <c r="AB165" s="54">
        <f>IF(Z165="","",Z165/Capital)</f>
        <v/>
      </c>
      <c r="AC165" s="5">
        <f>IF(B165="","",IF(X165="","NO SL",IF(OR(N(M165)&gt;MaxLots,N(AB165)&gt;RiskPct),"OVERSIZED","OK")))</f>
        <v/>
      </c>
      <c r="AD165" s="51" t="n"/>
      <c r="AE165" s="32" t="n"/>
      <c r="AF165" s="37" t="n"/>
      <c r="AG165" s="32" t="n"/>
      <c r="AH165" s="32" t="n"/>
      <c r="AI165" s="39">
        <f>IF(OR(AG165="",P165="",N165=""),"",ABS(AG165-P165)*N165)</f>
        <v/>
      </c>
      <c r="AJ165" s="39">
        <f>IF(OR(AH165="",P165="",N165=""),"",ABS(P165-AH165)*N165)</f>
        <v/>
      </c>
      <c r="AK165" s="39">
        <f>IF(OR(AE165="",P165="",N165=""),"",IF(I165="Buy",AE165-P165,P165-AE165)*N165)</f>
        <v/>
      </c>
      <c r="AL165" s="39">
        <f>IF(OR(AJ165="",AK165=""),"",MAX(0,AJ165-AK165))</f>
        <v/>
      </c>
      <c r="AM165" s="39">
        <f>IF(AK165="","",(P165+AE165)*N165)</f>
        <v/>
      </c>
      <c r="AN165" s="55">
        <f>IF(AK165="","",BrokeragePerOrder*2*MAX(1,N(L165)))</f>
        <v/>
      </c>
      <c r="AO165" s="55">
        <f>IF(AK165="","",STTRate*IF(I165="Buy",AE165,P165)*N165)</f>
        <v/>
      </c>
      <c r="AP165" s="55">
        <f>IF(AK165="","",ExchRate*AM165)</f>
        <v/>
      </c>
      <c r="AQ165" s="55">
        <f>IF(AK165="","",SEBIRate*AM165)</f>
        <v/>
      </c>
      <c r="AR165" s="55">
        <f>IF(AK165="","",StampRate*IF(I165="Buy",P165,AE165)*N165)</f>
        <v/>
      </c>
      <c r="AS165" s="55">
        <f>IF(AK165="","",GSTRate*(AN165+AP165+AQ165))</f>
        <v/>
      </c>
      <c r="AT165" s="55">
        <f>IF(AK165="","",AN165+AO165+AP165+AQ165+AR165+AS165)</f>
        <v/>
      </c>
      <c r="AU165" s="39">
        <f>IF(AK165="","",AK165-AT165)</f>
        <v/>
      </c>
      <c r="AV165" s="56">
        <f>IF(AU165="","",AU165/IF(N(Z165)&gt;0,Z165,RiskPerTrade))</f>
        <v/>
      </c>
      <c r="AW165" s="31">
        <f>IF(AU165="","",AU165/Capital)</f>
        <v/>
      </c>
      <c r="AX165" s="37" t="n"/>
      <c r="AY165" s="37" t="n"/>
      <c r="AZ165" s="37" t="n"/>
      <c r="BA165" s="37" t="n"/>
      <c r="BB165" s="37" t="n"/>
      <c r="BC165" s="37" t="n"/>
      <c r="BD165" s="37" t="n"/>
      <c r="BE165" s="5">
        <f>IF(AU165="","",IF(AU165&gt;0,"Win",IF(AU165&lt;0,"Loss","BE")))</f>
        <v/>
      </c>
      <c r="BF165" s="5">
        <f>IF(O165="","",LOOKUP(O165,List_BucketStart,List_BucketLabel))</f>
        <v/>
      </c>
      <c r="BG165" s="57">
        <f>IF(B165="","",B165-WEEKDAY(B165,3))</f>
        <v/>
      </c>
      <c r="BH165" s="28">
        <f>IF(B165="","",COUNTIF($B$6:B165,B165))</f>
        <v/>
      </c>
      <c r="BI165" s="39">
        <f>IF(B165="","",SUMIFS($AU$6:AU165,$B$6:B165,B165)-N(AU165))</f>
        <v/>
      </c>
      <c r="BJ165" s="5">
        <f>IF(OR(B165="",E165=""),"",IF(AND(E165=0,I165="Sell",MAX(N(O165),N(AD165))&gt;ExpiryCutoff),"BREACH","OK"))</f>
        <v/>
      </c>
      <c r="BK165" s="5">
        <f>IF(B165="","",IF(OR(AC165&lt;&gt;"OK",BJ165="BREACH",BH165&gt;MaxTradesDay,BI165&lt;=-DailyLossLimit,OR(AF165="Panic",AF165="Revenge",AF165="Rule break")),"CHECK","OK"))</f>
        <v/>
      </c>
      <c r="BL165" s="39">
        <f>IF(AU165="","",SUM($AU$6:AU165))</f>
        <v/>
      </c>
      <c r="BM165" s="39">
        <f>IF(BL165="","",Capital+BL165)</f>
        <v/>
      </c>
      <c r="BN165" s="39">
        <f>IF(BM165="","",MAX(Capital,MAX($BM$6:BM165)))</f>
        <v/>
      </c>
      <c r="BO165" s="39">
        <f>IF(BM165="","",BN165-BM165)</f>
        <v/>
      </c>
      <c r="BP165" s="58">
        <f>IF(BO165="","",BO165/BN165)</f>
        <v/>
      </c>
      <c r="BQ165" s="28">
        <f>IF(AU165="","",IF(AU165&lt;0,N(BQ164)+1,0))</f>
        <v/>
      </c>
    </row>
    <row r="166">
      <c r="A166" s="28">
        <f>IF(B166="","",COUNT($B$6:B166))</f>
        <v/>
      </c>
      <c r="B166" s="27" t="n"/>
      <c r="C166" s="5">
        <f>IF(B166="","",TEXT(B166,"ddd"))</f>
        <v/>
      </c>
      <c r="D166" s="27" t="n"/>
      <c r="E166" s="28">
        <f>IF(OR(B166="",D166=""),"",MAX(0,NETWORKDAYS(B166,D166)-1))</f>
        <v/>
      </c>
      <c r="F166" s="37" t="n"/>
      <c r="G166" s="36" t="n"/>
      <c r="H166" s="37" t="n"/>
      <c r="I166" s="37" t="n"/>
      <c r="J166" s="37" t="n"/>
      <c r="K166" s="37" t="n"/>
      <c r="L166" s="36" t="n"/>
      <c r="M166" s="36" t="n"/>
      <c r="N166" s="33">
        <f>IF(M166="","",M166*LotSize)</f>
        <v/>
      </c>
      <c r="O166" s="51" t="n"/>
      <c r="P166" s="32" t="n"/>
      <c r="Q166" s="29" t="n"/>
      <c r="R166" s="30">
        <f>IF(OR(G166="",Q166="",H166=""),"",IF(H166="CE",G166-Q166,Q166-G166))</f>
        <v/>
      </c>
      <c r="S166" s="31">
        <f>IF(R166="","",R166/Q166)</f>
        <v/>
      </c>
      <c r="T166" s="38" t="n"/>
      <c r="U166" s="32" t="n"/>
      <c r="V166" s="52" t="n"/>
      <c r="W166" s="37" t="n"/>
      <c r="X166" s="32" t="n"/>
      <c r="Y166" s="32" t="n"/>
      <c r="Z166" s="39">
        <f>IF(OR(X166="",P166="",N166=""),"",ABS(X166-P166)*N166)</f>
        <v/>
      </c>
      <c r="AA166" s="53">
        <f>IF(OR(Z166="",Y166=""),"",IF(Z166=0,"",ABS(P166-Y166)*N166/Z166))</f>
        <v/>
      </c>
      <c r="AB166" s="54">
        <f>IF(Z166="","",Z166/Capital)</f>
        <v/>
      </c>
      <c r="AC166" s="5">
        <f>IF(B166="","",IF(X166="","NO SL",IF(OR(N(M166)&gt;MaxLots,N(AB166)&gt;RiskPct),"OVERSIZED","OK")))</f>
        <v/>
      </c>
      <c r="AD166" s="51" t="n"/>
      <c r="AE166" s="32" t="n"/>
      <c r="AF166" s="37" t="n"/>
      <c r="AG166" s="32" t="n"/>
      <c r="AH166" s="32" t="n"/>
      <c r="AI166" s="39">
        <f>IF(OR(AG166="",P166="",N166=""),"",ABS(AG166-P166)*N166)</f>
        <v/>
      </c>
      <c r="AJ166" s="39">
        <f>IF(OR(AH166="",P166="",N166=""),"",ABS(P166-AH166)*N166)</f>
        <v/>
      </c>
      <c r="AK166" s="39">
        <f>IF(OR(AE166="",P166="",N166=""),"",IF(I166="Buy",AE166-P166,P166-AE166)*N166)</f>
        <v/>
      </c>
      <c r="AL166" s="39">
        <f>IF(OR(AJ166="",AK166=""),"",MAX(0,AJ166-AK166))</f>
        <v/>
      </c>
      <c r="AM166" s="39">
        <f>IF(AK166="","",(P166+AE166)*N166)</f>
        <v/>
      </c>
      <c r="AN166" s="55">
        <f>IF(AK166="","",BrokeragePerOrder*2*MAX(1,N(L166)))</f>
        <v/>
      </c>
      <c r="AO166" s="55">
        <f>IF(AK166="","",STTRate*IF(I166="Buy",AE166,P166)*N166)</f>
        <v/>
      </c>
      <c r="AP166" s="55">
        <f>IF(AK166="","",ExchRate*AM166)</f>
        <v/>
      </c>
      <c r="AQ166" s="55">
        <f>IF(AK166="","",SEBIRate*AM166)</f>
        <v/>
      </c>
      <c r="AR166" s="55">
        <f>IF(AK166="","",StampRate*IF(I166="Buy",P166,AE166)*N166)</f>
        <v/>
      </c>
      <c r="AS166" s="55">
        <f>IF(AK166="","",GSTRate*(AN166+AP166+AQ166))</f>
        <v/>
      </c>
      <c r="AT166" s="55">
        <f>IF(AK166="","",AN166+AO166+AP166+AQ166+AR166+AS166)</f>
        <v/>
      </c>
      <c r="AU166" s="39">
        <f>IF(AK166="","",AK166-AT166)</f>
        <v/>
      </c>
      <c r="AV166" s="56">
        <f>IF(AU166="","",AU166/IF(N(Z166)&gt;0,Z166,RiskPerTrade))</f>
        <v/>
      </c>
      <c r="AW166" s="31">
        <f>IF(AU166="","",AU166/Capital)</f>
        <v/>
      </c>
      <c r="AX166" s="37" t="n"/>
      <c r="AY166" s="37" t="n"/>
      <c r="AZ166" s="37" t="n"/>
      <c r="BA166" s="37" t="n"/>
      <c r="BB166" s="37" t="n"/>
      <c r="BC166" s="37" t="n"/>
      <c r="BD166" s="37" t="n"/>
      <c r="BE166" s="5">
        <f>IF(AU166="","",IF(AU166&gt;0,"Win",IF(AU166&lt;0,"Loss","BE")))</f>
        <v/>
      </c>
      <c r="BF166" s="5">
        <f>IF(O166="","",LOOKUP(O166,List_BucketStart,List_BucketLabel))</f>
        <v/>
      </c>
      <c r="BG166" s="57">
        <f>IF(B166="","",B166-WEEKDAY(B166,3))</f>
        <v/>
      </c>
      <c r="BH166" s="28">
        <f>IF(B166="","",COUNTIF($B$6:B166,B166))</f>
        <v/>
      </c>
      <c r="BI166" s="39">
        <f>IF(B166="","",SUMIFS($AU$6:AU166,$B$6:B166,B166)-N(AU166))</f>
        <v/>
      </c>
      <c r="BJ166" s="5">
        <f>IF(OR(B166="",E166=""),"",IF(AND(E166=0,I166="Sell",MAX(N(O166),N(AD166))&gt;ExpiryCutoff),"BREACH","OK"))</f>
        <v/>
      </c>
      <c r="BK166" s="5">
        <f>IF(B166="","",IF(OR(AC166&lt;&gt;"OK",BJ166="BREACH",BH166&gt;MaxTradesDay,BI166&lt;=-DailyLossLimit,OR(AF166="Panic",AF166="Revenge",AF166="Rule break")),"CHECK","OK"))</f>
        <v/>
      </c>
      <c r="BL166" s="39">
        <f>IF(AU166="","",SUM($AU$6:AU166))</f>
        <v/>
      </c>
      <c r="BM166" s="39">
        <f>IF(BL166="","",Capital+BL166)</f>
        <v/>
      </c>
      <c r="BN166" s="39">
        <f>IF(BM166="","",MAX(Capital,MAX($BM$6:BM166)))</f>
        <v/>
      </c>
      <c r="BO166" s="39">
        <f>IF(BM166="","",BN166-BM166)</f>
        <v/>
      </c>
      <c r="BP166" s="58">
        <f>IF(BO166="","",BO166/BN166)</f>
        <v/>
      </c>
      <c r="BQ166" s="28">
        <f>IF(AU166="","",IF(AU166&lt;0,N(BQ165)+1,0))</f>
        <v/>
      </c>
    </row>
    <row r="167">
      <c r="A167" s="28">
        <f>IF(B167="","",COUNT($B$6:B167))</f>
        <v/>
      </c>
      <c r="B167" s="27" t="n"/>
      <c r="C167" s="5">
        <f>IF(B167="","",TEXT(B167,"ddd"))</f>
        <v/>
      </c>
      <c r="D167" s="27" t="n"/>
      <c r="E167" s="28">
        <f>IF(OR(B167="",D167=""),"",MAX(0,NETWORKDAYS(B167,D167)-1))</f>
        <v/>
      </c>
      <c r="F167" s="37" t="n"/>
      <c r="G167" s="36" t="n"/>
      <c r="H167" s="37" t="n"/>
      <c r="I167" s="37" t="n"/>
      <c r="J167" s="37" t="n"/>
      <c r="K167" s="37" t="n"/>
      <c r="L167" s="36" t="n"/>
      <c r="M167" s="36" t="n"/>
      <c r="N167" s="33">
        <f>IF(M167="","",M167*LotSize)</f>
        <v/>
      </c>
      <c r="O167" s="51" t="n"/>
      <c r="P167" s="32" t="n"/>
      <c r="Q167" s="29" t="n"/>
      <c r="R167" s="30">
        <f>IF(OR(G167="",Q167="",H167=""),"",IF(H167="CE",G167-Q167,Q167-G167))</f>
        <v/>
      </c>
      <c r="S167" s="31">
        <f>IF(R167="","",R167/Q167)</f>
        <v/>
      </c>
      <c r="T167" s="38" t="n"/>
      <c r="U167" s="32" t="n"/>
      <c r="V167" s="52" t="n"/>
      <c r="W167" s="37" t="n"/>
      <c r="X167" s="32" t="n"/>
      <c r="Y167" s="32" t="n"/>
      <c r="Z167" s="39">
        <f>IF(OR(X167="",P167="",N167=""),"",ABS(X167-P167)*N167)</f>
        <v/>
      </c>
      <c r="AA167" s="53">
        <f>IF(OR(Z167="",Y167=""),"",IF(Z167=0,"",ABS(P167-Y167)*N167/Z167))</f>
        <v/>
      </c>
      <c r="AB167" s="54">
        <f>IF(Z167="","",Z167/Capital)</f>
        <v/>
      </c>
      <c r="AC167" s="5">
        <f>IF(B167="","",IF(X167="","NO SL",IF(OR(N(M167)&gt;MaxLots,N(AB167)&gt;RiskPct),"OVERSIZED","OK")))</f>
        <v/>
      </c>
      <c r="AD167" s="51" t="n"/>
      <c r="AE167" s="32" t="n"/>
      <c r="AF167" s="37" t="n"/>
      <c r="AG167" s="32" t="n"/>
      <c r="AH167" s="32" t="n"/>
      <c r="AI167" s="39">
        <f>IF(OR(AG167="",P167="",N167=""),"",ABS(AG167-P167)*N167)</f>
        <v/>
      </c>
      <c r="AJ167" s="39">
        <f>IF(OR(AH167="",P167="",N167=""),"",ABS(P167-AH167)*N167)</f>
        <v/>
      </c>
      <c r="AK167" s="39">
        <f>IF(OR(AE167="",P167="",N167=""),"",IF(I167="Buy",AE167-P167,P167-AE167)*N167)</f>
        <v/>
      </c>
      <c r="AL167" s="39">
        <f>IF(OR(AJ167="",AK167=""),"",MAX(0,AJ167-AK167))</f>
        <v/>
      </c>
      <c r="AM167" s="39">
        <f>IF(AK167="","",(P167+AE167)*N167)</f>
        <v/>
      </c>
      <c r="AN167" s="55">
        <f>IF(AK167="","",BrokeragePerOrder*2*MAX(1,N(L167)))</f>
        <v/>
      </c>
      <c r="AO167" s="55">
        <f>IF(AK167="","",STTRate*IF(I167="Buy",AE167,P167)*N167)</f>
        <v/>
      </c>
      <c r="AP167" s="55">
        <f>IF(AK167="","",ExchRate*AM167)</f>
        <v/>
      </c>
      <c r="AQ167" s="55">
        <f>IF(AK167="","",SEBIRate*AM167)</f>
        <v/>
      </c>
      <c r="AR167" s="55">
        <f>IF(AK167="","",StampRate*IF(I167="Buy",P167,AE167)*N167)</f>
        <v/>
      </c>
      <c r="AS167" s="55">
        <f>IF(AK167="","",GSTRate*(AN167+AP167+AQ167))</f>
        <v/>
      </c>
      <c r="AT167" s="55">
        <f>IF(AK167="","",AN167+AO167+AP167+AQ167+AR167+AS167)</f>
        <v/>
      </c>
      <c r="AU167" s="39">
        <f>IF(AK167="","",AK167-AT167)</f>
        <v/>
      </c>
      <c r="AV167" s="56">
        <f>IF(AU167="","",AU167/IF(N(Z167)&gt;0,Z167,RiskPerTrade))</f>
        <v/>
      </c>
      <c r="AW167" s="31">
        <f>IF(AU167="","",AU167/Capital)</f>
        <v/>
      </c>
      <c r="AX167" s="37" t="n"/>
      <c r="AY167" s="37" t="n"/>
      <c r="AZ167" s="37" t="n"/>
      <c r="BA167" s="37" t="n"/>
      <c r="BB167" s="37" t="n"/>
      <c r="BC167" s="37" t="n"/>
      <c r="BD167" s="37" t="n"/>
      <c r="BE167" s="5">
        <f>IF(AU167="","",IF(AU167&gt;0,"Win",IF(AU167&lt;0,"Loss","BE")))</f>
        <v/>
      </c>
      <c r="BF167" s="5">
        <f>IF(O167="","",LOOKUP(O167,List_BucketStart,List_BucketLabel))</f>
        <v/>
      </c>
      <c r="BG167" s="57">
        <f>IF(B167="","",B167-WEEKDAY(B167,3))</f>
        <v/>
      </c>
      <c r="BH167" s="28">
        <f>IF(B167="","",COUNTIF($B$6:B167,B167))</f>
        <v/>
      </c>
      <c r="BI167" s="39">
        <f>IF(B167="","",SUMIFS($AU$6:AU167,$B$6:B167,B167)-N(AU167))</f>
        <v/>
      </c>
      <c r="BJ167" s="5">
        <f>IF(OR(B167="",E167=""),"",IF(AND(E167=0,I167="Sell",MAX(N(O167),N(AD167))&gt;ExpiryCutoff),"BREACH","OK"))</f>
        <v/>
      </c>
      <c r="BK167" s="5">
        <f>IF(B167="","",IF(OR(AC167&lt;&gt;"OK",BJ167="BREACH",BH167&gt;MaxTradesDay,BI167&lt;=-DailyLossLimit,OR(AF167="Panic",AF167="Revenge",AF167="Rule break")),"CHECK","OK"))</f>
        <v/>
      </c>
      <c r="BL167" s="39">
        <f>IF(AU167="","",SUM($AU$6:AU167))</f>
        <v/>
      </c>
      <c r="BM167" s="39">
        <f>IF(BL167="","",Capital+BL167)</f>
        <v/>
      </c>
      <c r="BN167" s="39">
        <f>IF(BM167="","",MAX(Capital,MAX($BM$6:BM167)))</f>
        <v/>
      </c>
      <c r="BO167" s="39">
        <f>IF(BM167="","",BN167-BM167)</f>
        <v/>
      </c>
      <c r="BP167" s="58">
        <f>IF(BO167="","",BO167/BN167)</f>
        <v/>
      </c>
      <c r="BQ167" s="28">
        <f>IF(AU167="","",IF(AU167&lt;0,N(BQ166)+1,0))</f>
        <v/>
      </c>
    </row>
    <row r="168">
      <c r="A168" s="28">
        <f>IF(B168="","",COUNT($B$6:B168))</f>
        <v/>
      </c>
      <c r="B168" s="27" t="n"/>
      <c r="C168" s="5">
        <f>IF(B168="","",TEXT(B168,"ddd"))</f>
        <v/>
      </c>
      <c r="D168" s="27" t="n"/>
      <c r="E168" s="28">
        <f>IF(OR(B168="",D168=""),"",MAX(0,NETWORKDAYS(B168,D168)-1))</f>
        <v/>
      </c>
      <c r="F168" s="37" t="n"/>
      <c r="G168" s="36" t="n"/>
      <c r="H168" s="37" t="n"/>
      <c r="I168" s="37" t="n"/>
      <c r="J168" s="37" t="n"/>
      <c r="K168" s="37" t="n"/>
      <c r="L168" s="36" t="n"/>
      <c r="M168" s="36" t="n"/>
      <c r="N168" s="33">
        <f>IF(M168="","",M168*LotSize)</f>
        <v/>
      </c>
      <c r="O168" s="51" t="n"/>
      <c r="P168" s="32" t="n"/>
      <c r="Q168" s="29" t="n"/>
      <c r="R168" s="30">
        <f>IF(OR(G168="",Q168="",H168=""),"",IF(H168="CE",G168-Q168,Q168-G168))</f>
        <v/>
      </c>
      <c r="S168" s="31">
        <f>IF(R168="","",R168/Q168)</f>
        <v/>
      </c>
      <c r="T168" s="38" t="n"/>
      <c r="U168" s="32" t="n"/>
      <c r="V168" s="52" t="n"/>
      <c r="W168" s="37" t="n"/>
      <c r="X168" s="32" t="n"/>
      <c r="Y168" s="32" t="n"/>
      <c r="Z168" s="39">
        <f>IF(OR(X168="",P168="",N168=""),"",ABS(X168-P168)*N168)</f>
        <v/>
      </c>
      <c r="AA168" s="53">
        <f>IF(OR(Z168="",Y168=""),"",IF(Z168=0,"",ABS(P168-Y168)*N168/Z168))</f>
        <v/>
      </c>
      <c r="AB168" s="54">
        <f>IF(Z168="","",Z168/Capital)</f>
        <v/>
      </c>
      <c r="AC168" s="5">
        <f>IF(B168="","",IF(X168="","NO SL",IF(OR(N(M168)&gt;MaxLots,N(AB168)&gt;RiskPct),"OVERSIZED","OK")))</f>
        <v/>
      </c>
      <c r="AD168" s="51" t="n"/>
      <c r="AE168" s="32" t="n"/>
      <c r="AF168" s="37" t="n"/>
      <c r="AG168" s="32" t="n"/>
      <c r="AH168" s="32" t="n"/>
      <c r="AI168" s="39">
        <f>IF(OR(AG168="",P168="",N168=""),"",ABS(AG168-P168)*N168)</f>
        <v/>
      </c>
      <c r="AJ168" s="39">
        <f>IF(OR(AH168="",P168="",N168=""),"",ABS(P168-AH168)*N168)</f>
        <v/>
      </c>
      <c r="AK168" s="39">
        <f>IF(OR(AE168="",P168="",N168=""),"",IF(I168="Buy",AE168-P168,P168-AE168)*N168)</f>
        <v/>
      </c>
      <c r="AL168" s="39">
        <f>IF(OR(AJ168="",AK168=""),"",MAX(0,AJ168-AK168))</f>
        <v/>
      </c>
      <c r="AM168" s="39">
        <f>IF(AK168="","",(P168+AE168)*N168)</f>
        <v/>
      </c>
      <c r="AN168" s="55">
        <f>IF(AK168="","",BrokeragePerOrder*2*MAX(1,N(L168)))</f>
        <v/>
      </c>
      <c r="AO168" s="55">
        <f>IF(AK168="","",STTRate*IF(I168="Buy",AE168,P168)*N168)</f>
        <v/>
      </c>
      <c r="AP168" s="55">
        <f>IF(AK168="","",ExchRate*AM168)</f>
        <v/>
      </c>
      <c r="AQ168" s="55">
        <f>IF(AK168="","",SEBIRate*AM168)</f>
        <v/>
      </c>
      <c r="AR168" s="55">
        <f>IF(AK168="","",StampRate*IF(I168="Buy",P168,AE168)*N168)</f>
        <v/>
      </c>
      <c r="AS168" s="55">
        <f>IF(AK168="","",GSTRate*(AN168+AP168+AQ168))</f>
        <v/>
      </c>
      <c r="AT168" s="55">
        <f>IF(AK168="","",AN168+AO168+AP168+AQ168+AR168+AS168)</f>
        <v/>
      </c>
      <c r="AU168" s="39">
        <f>IF(AK168="","",AK168-AT168)</f>
        <v/>
      </c>
      <c r="AV168" s="56">
        <f>IF(AU168="","",AU168/IF(N(Z168)&gt;0,Z168,RiskPerTrade))</f>
        <v/>
      </c>
      <c r="AW168" s="31">
        <f>IF(AU168="","",AU168/Capital)</f>
        <v/>
      </c>
      <c r="AX168" s="37" t="n"/>
      <c r="AY168" s="37" t="n"/>
      <c r="AZ168" s="37" t="n"/>
      <c r="BA168" s="37" t="n"/>
      <c r="BB168" s="37" t="n"/>
      <c r="BC168" s="37" t="n"/>
      <c r="BD168" s="37" t="n"/>
      <c r="BE168" s="5">
        <f>IF(AU168="","",IF(AU168&gt;0,"Win",IF(AU168&lt;0,"Loss","BE")))</f>
        <v/>
      </c>
      <c r="BF168" s="5">
        <f>IF(O168="","",LOOKUP(O168,List_BucketStart,List_BucketLabel))</f>
        <v/>
      </c>
      <c r="BG168" s="57">
        <f>IF(B168="","",B168-WEEKDAY(B168,3))</f>
        <v/>
      </c>
      <c r="BH168" s="28">
        <f>IF(B168="","",COUNTIF($B$6:B168,B168))</f>
        <v/>
      </c>
      <c r="BI168" s="39">
        <f>IF(B168="","",SUMIFS($AU$6:AU168,$B$6:B168,B168)-N(AU168))</f>
        <v/>
      </c>
      <c r="BJ168" s="5">
        <f>IF(OR(B168="",E168=""),"",IF(AND(E168=0,I168="Sell",MAX(N(O168),N(AD168))&gt;ExpiryCutoff),"BREACH","OK"))</f>
        <v/>
      </c>
      <c r="BK168" s="5">
        <f>IF(B168="","",IF(OR(AC168&lt;&gt;"OK",BJ168="BREACH",BH168&gt;MaxTradesDay,BI168&lt;=-DailyLossLimit,OR(AF168="Panic",AF168="Revenge",AF168="Rule break")),"CHECK","OK"))</f>
        <v/>
      </c>
      <c r="BL168" s="39">
        <f>IF(AU168="","",SUM($AU$6:AU168))</f>
        <v/>
      </c>
      <c r="BM168" s="39">
        <f>IF(BL168="","",Capital+BL168)</f>
        <v/>
      </c>
      <c r="BN168" s="39">
        <f>IF(BM168="","",MAX(Capital,MAX($BM$6:BM168)))</f>
        <v/>
      </c>
      <c r="BO168" s="39">
        <f>IF(BM168="","",BN168-BM168)</f>
        <v/>
      </c>
      <c r="BP168" s="58">
        <f>IF(BO168="","",BO168/BN168)</f>
        <v/>
      </c>
      <c r="BQ168" s="28">
        <f>IF(AU168="","",IF(AU168&lt;0,N(BQ167)+1,0))</f>
        <v/>
      </c>
    </row>
    <row r="169">
      <c r="A169" s="28">
        <f>IF(B169="","",COUNT($B$6:B169))</f>
        <v/>
      </c>
      <c r="B169" s="27" t="n"/>
      <c r="C169" s="5">
        <f>IF(B169="","",TEXT(B169,"ddd"))</f>
        <v/>
      </c>
      <c r="D169" s="27" t="n"/>
      <c r="E169" s="28">
        <f>IF(OR(B169="",D169=""),"",MAX(0,NETWORKDAYS(B169,D169)-1))</f>
        <v/>
      </c>
      <c r="F169" s="37" t="n"/>
      <c r="G169" s="36" t="n"/>
      <c r="H169" s="37" t="n"/>
      <c r="I169" s="37" t="n"/>
      <c r="J169" s="37" t="n"/>
      <c r="K169" s="37" t="n"/>
      <c r="L169" s="36" t="n"/>
      <c r="M169" s="36" t="n"/>
      <c r="N169" s="33">
        <f>IF(M169="","",M169*LotSize)</f>
        <v/>
      </c>
      <c r="O169" s="51" t="n"/>
      <c r="P169" s="32" t="n"/>
      <c r="Q169" s="29" t="n"/>
      <c r="R169" s="30">
        <f>IF(OR(G169="",Q169="",H169=""),"",IF(H169="CE",G169-Q169,Q169-G169))</f>
        <v/>
      </c>
      <c r="S169" s="31">
        <f>IF(R169="","",R169/Q169)</f>
        <v/>
      </c>
      <c r="T169" s="38" t="n"/>
      <c r="U169" s="32" t="n"/>
      <c r="V169" s="52" t="n"/>
      <c r="W169" s="37" t="n"/>
      <c r="X169" s="32" t="n"/>
      <c r="Y169" s="32" t="n"/>
      <c r="Z169" s="39">
        <f>IF(OR(X169="",P169="",N169=""),"",ABS(X169-P169)*N169)</f>
        <v/>
      </c>
      <c r="AA169" s="53">
        <f>IF(OR(Z169="",Y169=""),"",IF(Z169=0,"",ABS(P169-Y169)*N169/Z169))</f>
        <v/>
      </c>
      <c r="AB169" s="54">
        <f>IF(Z169="","",Z169/Capital)</f>
        <v/>
      </c>
      <c r="AC169" s="5">
        <f>IF(B169="","",IF(X169="","NO SL",IF(OR(N(M169)&gt;MaxLots,N(AB169)&gt;RiskPct),"OVERSIZED","OK")))</f>
        <v/>
      </c>
      <c r="AD169" s="51" t="n"/>
      <c r="AE169" s="32" t="n"/>
      <c r="AF169" s="37" t="n"/>
      <c r="AG169" s="32" t="n"/>
      <c r="AH169" s="32" t="n"/>
      <c r="AI169" s="39">
        <f>IF(OR(AG169="",P169="",N169=""),"",ABS(AG169-P169)*N169)</f>
        <v/>
      </c>
      <c r="AJ169" s="39">
        <f>IF(OR(AH169="",P169="",N169=""),"",ABS(P169-AH169)*N169)</f>
        <v/>
      </c>
      <c r="AK169" s="39">
        <f>IF(OR(AE169="",P169="",N169=""),"",IF(I169="Buy",AE169-P169,P169-AE169)*N169)</f>
        <v/>
      </c>
      <c r="AL169" s="39">
        <f>IF(OR(AJ169="",AK169=""),"",MAX(0,AJ169-AK169))</f>
        <v/>
      </c>
      <c r="AM169" s="39">
        <f>IF(AK169="","",(P169+AE169)*N169)</f>
        <v/>
      </c>
      <c r="AN169" s="55">
        <f>IF(AK169="","",BrokeragePerOrder*2*MAX(1,N(L169)))</f>
        <v/>
      </c>
      <c r="AO169" s="55">
        <f>IF(AK169="","",STTRate*IF(I169="Buy",AE169,P169)*N169)</f>
        <v/>
      </c>
      <c r="AP169" s="55">
        <f>IF(AK169="","",ExchRate*AM169)</f>
        <v/>
      </c>
      <c r="AQ169" s="55">
        <f>IF(AK169="","",SEBIRate*AM169)</f>
        <v/>
      </c>
      <c r="AR169" s="55">
        <f>IF(AK169="","",StampRate*IF(I169="Buy",P169,AE169)*N169)</f>
        <v/>
      </c>
      <c r="AS169" s="55">
        <f>IF(AK169="","",GSTRate*(AN169+AP169+AQ169))</f>
        <v/>
      </c>
      <c r="AT169" s="55">
        <f>IF(AK169="","",AN169+AO169+AP169+AQ169+AR169+AS169)</f>
        <v/>
      </c>
      <c r="AU169" s="39">
        <f>IF(AK169="","",AK169-AT169)</f>
        <v/>
      </c>
      <c r="AV169" s="56">
        <f>IF(AU169="","",AU169/IF(N(Z169)&gt;0,Z169,RiskPerTrade))</f>
        <v/>
      </c>
      <c r="AW169" s="31">
        <f>IF(AU169="","",AU169/Capital)</f>
        <v/>
      </c>
      <c r="AX169" s="37" t="n"/>
      <c r="AY169" s="37" t="n"/>
      <c r="AZ169" s="37" t="n"/>
      <c r="BA169" s="37" t="n"/>
      <c r="BB169" s="37" t="n"/>
      <c r="BC169" s="37" t="n"/>
      <c r="BD169" s="37" t="n"/>
      <c r="BE169" s="5">
        <f>IF(AU169="","",IF(AU169&gt;0,"Win",IF(AU169&lt;0,"Loss","BE")))</f>
        <v/>
      </c>
      <c r="BF169" s="5">
        <f>IF(O169="","",LOOKUP(O169,List_BucketStart,List_BucketLabel))</f>
        <v/>
      </c>
      <c r="BG169" s="57">
        <f>IF(B169="","",B169-WEEKDAY(B169,3))</f>
        <v/>
      </c>
      <c r="BH169" s="28">
        <f>IF(B169="","",COUNTIF($B$6:B169,B169))</f>
        <v/>
      </c>
      <c r="BI169" s="39">
        <f>IF(B169="","",SUMIFS($AU$6:AU169,$B$6:B169,B169)-N(AU169))</f>
        <v/>
      </c>
      <c r="BJ169" s="5">
        <f>IF(OR(B169="",E169=""),"",IF(AND(E169=0,I169="Sell",MAX(N(O169),N(AD169))&gt;ExpiryCutoff),"BREACH","OK"))</f>
        <v/>
      </c>
      <c r="BK169" s="5">
        <f>IF(B169="","",IF(OR(AC169&lt;&gt;"OK",BJ169="BREACH",BH169&gt;MaxTradesDay,BI169&lt;=-DailyLossLimit,OR(AF169="Panic",AF169="Revenge",AF169="Rule break")),"CHECK","OK"))</f>
        <v/>
      </c>
      <c r="BL169" s="39">
        <f>IF(AU169="","",SUM($AU$6:AU169))</f>
        <v/>
      </c>
      <c r="BM169" s="39">
        <f>IF(BL169="","",Capital+BL169)</f>
        <v/>
      </c>
      <c r="BN169" s="39">
        <f>IF(BM169="","",MAX(Capital,MAX($BM$6:BM169)))</f>
        <v/>
      </c>
      <c r="BO169" s="39">
        <f>IF(BM169="","",BN169-BM169)</f>
        <v/>
      </c>
      <c r="BP169" s="58">
        <f>IF(BO169="","",BO169/BN169)</f>
        <v/>
      </c>
      <c r="BQ169" s="28">
        <f>IF(AU169="","",IF(AU169&lt;0,N(BQ168)+1,0))</f>
        <v/>
      </c>
    </row>
    <row r="170">
      <c r="A170" s="28">
        <f>IF(B170="","",COUNT($B$6:B170))</f>
        <v/>
      </c>
      <c r="B170" s="27" t="n"/>
      <c r="C170" s="5">
        <f>IF(B170="","",TEXT(B170,"ddd"))</f>
        <v/>
      </c>
      <c r="D170" s="27" t="n"/>
      <c r="E170" s="28">
        <f>IF(OR(B170="",D170=""),"",MAX(0,NETWORKDAYS(B170,D170)-1))</f>
        <v/>
      </c>
      <c r="F170" s="37" t="n"/>
      <c r="G170" s="36" t="n"/>
      <c r="H170" s="37" t="n"/>
      <c r="I170" s="37" t="n"/>
      <c r="J170" s="37" t="n"/>
      <c r="K170" s="37" t="n"/>
      <c r="L170" s="36" t="n"/>
      <c r="M170" s="36" t="n"/>
      <c r="N170" s="33">
        <f>IF(M170="","",M170*LotSize)</f>
        <v/>
      </c>
      <c r="O170" s="51" t="n"/>
      <c r="P170" s="32" t="n"/>
      <c r="Q170" s="29" t="n"/>
      <c r="R170" s="30">
        <f>IF(OR(G170="",Q170="",H170=""),"",IF(H170="CE",G170-Q170,Q170-G170))</f>
        <v/>
      </c>
      <c r="S170" s="31">
        <f>IF(R170="","",R170/Q170)</f>
        <v/>
      </c>
      <c r="T170" s="38" t="n"/>
      <c r="U170" s="32" t="n"/>
      <c r="V170" s="52" t="n"/>
      <c r="W170" s="37" t="n"/>
      <c r="X170" s="32" t="n"/>
      <c r="Y170" s="32" t="n"/>
      <c r="Z170" s="39">
        <f>IF(OR(X170="",P170="",N170=""),"",ABS(X170-P170)*N170)</f>
        <v/>
      </c>
      <c r="AA170" s="53">
        <f>IF(OR(Z170="",Y170=""),"",IF(Z170=0,"",ABS(P170-Y170)*N170/Z170))</f>
        <v/>
      </c>
      <c r="AB170" s="54">
        <f>IF(Z170="","",Z170/Capital)</f>
        <v/>
      </c>
      <c r="AC170" s="5">
        <f>IF(B170="","",IF(X170="","NO SL",IF(OR(N(M170)&gt;MaxLots,N(AB170)&gt;RiskPct),"OVERSIZED","OK")))</f>
        <v/>
      </c>
      <c r="AD170" s="51" t="n"/>
      <c r="AE170" s="32" t="n"/>
      <c r="AF170" s="37" t="n"/>
      <c r="AG170" s="32" t="n"/>
      <c r="AH170" s="32" t="n"/>
      <c r="AI170" s="39">
        <f>IF(OR(AG170="",P170="",N170=""),"",ABS(AG170-P170)*N170)</f>
        <v/>
      </c>
      <c r="AJ170" s="39">
        <f>IF(OR(AH170="",P170="",N170=""),"",ABS(P170-AH170)*N170)</f>
        <v/>
      </c>
      <c r="AK170" s="39">
        <f>IF(OR(AE170="",P170="",N170=""),"",IF(I170="Buy",AE170-P170,P170-AE170)*N170)</f>
        <v/>
      </c>
      <c r="AL170" s="39">
        <f>IF(OR(AJ170="",AK170=""),"",MAX(0,AJ170-AK170))</f>
        <v/>
      </c>
      <c r="AM170" s="39">
        <f>IF(AK170="","",(P170+AE170)*N170)</f>
        <v/>
      </c>
      <c r="AN170" s="55">
        <f>IF(AK170="","",BrokeragePerOrder*2*MAX(1,N(L170)))</f>
        <v/>
      </c>
      <c r="AO170" s="55">
        <f>IF(AK170="","",STTRate*IF(I170="Buy",AE170,P170)*N170)</f>
        <v/>
      </c>
      <c r="AP170" s="55">
        <f>IF(AK170="","",ExchRate*AM170)</f>
        <v/>
      </c>
      <c r="AQ170" s="55">
        <f>IF(AK170="","",SEBIRate*AM170)</f>
        <v/>
      </c>
      <c r="AR170" s="55">
        <f>IF(AK170="","",StampRate*IF(I170="Buy",P170,AE170)*N170)</f>
        <v/>
      </c>
      <c r="AS170" s="55">
        <f>IF(AK170="","",GSTRate*(AN170+AP170+AQ170))</f>
        <v/>
      </c>
      <c r="AT170" s="55">
        <f>IF(AK170="","",AN170+AO170+AP170+AQ170+AR170+AS170)</f>
        <v/>
      </c>
      <c r="AU170" s="39">
        <f>IF(AK170="","",AK170-AT170)</f>
        <v/>
      </c>
      <c r="AV170" s="56">
        <f>IF(AU170="","",AU170/IF(N(Z170)&gt;0,Z170,RiskPerTrade))</f>
        <v/>
      </c>
      <c r="AW170" s="31">
        <f>IF(AU170="","",AU170/Capital)</f>
        <v/>
      </c>
      <c r="AX170" s="37" t="n"/>
      <c r="AY170" s="37" t="n"/>
      <c r="AZ170" s="37" t="n"/>
      <c r="BA170" s="37" t="n"/>
      <c r="BB170" s="37" t="n"/>
      <c r="BC170" s="37" t="n"/>
      <c r="BD170" s="37" t="n"/>
      <c r="BE170" s="5">
        <f>IF(AU170="","",IF(AU170&gt;0,"Win",IF(AU170&lt;0,"Loss","BE")))</f>
        <v/>
      </c>
      <c r="BF170" s="5">
        <f>IF(O170="","",LOOKUP(O170,List_BucketStart,List_BucketLabel))</f>
        <v/>
      </c>
      <c r="BG170" s="57">
        <f>IF(B170="","",B170-WEEKDAY(B170,3))</f>
        <v/>
      </c>
      <c r="BH170" s="28">
        <f>IF(B170="","",COUNTIF($B$6:B170,B170))</f>
        <v/>
      </c>
      <c r="BI170" s="39">
        <f>IF(B170="","",SUMIFS($AU$6:AU170,$B$6:B170,B170)-N(AU170))</f>
        <v/>
      </c>
      <c r="BJ170" s="5">
        <f>IF(OR(B170="",E170=""),"",IF(AND(E170=0,I170="Sell",MAX(N(O170),N(AD170))&gt;ExpiryCutoff),"BREACH","OK"))</f>
        <v/>
      </c>
      <c r="BK170" s="5">
        <f>IF(B170="","",IF(OR(AC170&lt;&gt;"OK",BJ170="BREACH",BH170&gt;MaxTradesDay,BI170&lt;=-DailyLossLimit,OR(AF170="Panic",AF170="Revenge",AF170="Rule break")),"CHECK","OK"))</f>
        <v/>
      </c>
      <c r="BL170" s="39">
        <f>IF(AU170="","",SUM($AU$6:AU170))</f>
        <v/>
      </c>
      <c r="BM170" s="39">
        <f>IF(BL170="","",Capital+BL170)</f>
        <v/>
      </c>
      <c r="BN170" s="39">
        <f>IF(BM170="","",MAX(Capital,MAX($BM$6:BM170)))</f>
        <v/>
      </c>
      <c r="BO170" s="39">
        <f>IF(BM170="","",BN170-BM170)</f>
        <v/>
      </c>
      <c r="BP170" s="58">
        <f>IF(BO170="","",BO170/BN170)</f>
        <v/>
      </c>
      <c r="BQ170" s="28">
        <f>IF(AU170="","",IF(AU170&lt;0,N(BQ169)+1,0))</f>
        <v/>
      </c>
    </row>
    <row r="171">
      <c r="A171" s="28">
        <f>IF(B171="","",COUNT($B$6:B171))</f>
        <v/>
      </c>
      <c r="B171" s="27" t="n"/>
      <c r="C171" s="5">
        <f>IF(B171="","",TEXT(B171,"ddd"))</f>
        <v/>
      </c>
      <c r="D171" s="27" t="n"/>
      <c r="E171" s="28">
        <f>IF(OR(B171="",D171=""),"",MAX(0,NETWORKDAYS(B171,D171)-1))</f>
        <v/>
      </c>
      <c r="F171" s="37" t="n"/>
      <c r="G171" s="36" t="n"/>
      <c r="H171" s="37" t="n"/>
      <c r="I171" s="37" t="n"/>
      <c r="J171" s="37" t="n"/>
      <c r="K171" s="37" t="n"/>
      <c r="L171" s="36" t="n"/>
      <c r="M171" s="36" t="n"/>
      <c r="N171" s="33">
        <f>IF(M171="","",M171*LotSize)</f>
        <v/>
      </c>
      <c r="O171" s="51" t="n"/>
      <c r="P171" s="32" t="n"/>
      <c r="Q171" s="29" t="n"/>
      <c r="R171" s="30">
        <f>IF(OR(G171="",Q171="",H171=""),"",IF(H171="CE",G171-Q171,Q171-G171))</f>
        <v/>
      </c>
      <c r="S171" s="31">
        <f>IF(R171="","",R171/Q171)</f>
        <v/>
      </c>
      <c r="T171" s="38" t="n"/>
      <c r="U171" s="32" t="n"/>
      <c r="V171" s="52" t="n"/>
      <c r="W171" s="37" t="n"/>
      <c r="X171" s="32" t="n"/>
      <c r="Y171" s="32" t="n"/>
      <c r="Z171" s="39">
        <f>IF(OR(X171="",P171="",N171=""),"",ABS(X171-P171)*N171)</f>
        <v/>
      </c>
      <c r="AA171" s="53">
        <f>IF(OR(Z171="",Y171=""),"",IF(Z171=0,"",ABS(P171-Y171)*N171/Z171))</f>
        <v/>
      </c>
      <c r="AB171" s="54">
        <f>IF(Z171="","",Z171/Capital)</f>
        <v/>
      </c>
      <c r="AC171" s="5">
        <f>IF(B171="","",IF(X171="","NO SL",IF(OR(N(M171)&gt;MaxLots,N(AB171)&gt;RiskPct),"OVERSIZED","OK")))</f>
        <v/>
      </c>
      <c r="AD171" s="51" t="n"/>
      <c r="AE171" s="32" t="n"/>
      <c r="AF171" s="37" t="n"/>
      <c r="AG171" s="32" t="n"/>
      <c r="AH171" s="32" t="n"/>
      <c r="AI171" s="39">
        <f>IF(OR(AG171="",P171="",N171=""),"",ABS(AG171-P171)*N171)</f>
        <v/>
      </c>
      <c r="AJ171" s="39">
        <f>IF(OR(AH171="",P171="",N171=""),"",ABS(P171-AH171)*N171)</f>
        <v/>
      </c>
      <c r="AK171" s="39">
        <f>IF(OR(AE171="",P171="",N171=""),"",IF(I171="Buy",AE171-P171,P171-AE171)*N171)</f>
        <v/>
      </c>
      <c r="AL171" s="39">
        <f>IF(OR(AJ171="",AK171=""),"",MAX(0,AJ171-AK171))</f>
        <v/>
      </c>
      <c r="AM171" s="39">
        <f>IF(AK171="","",(P171+AE171)*N171)</f>
        <v/>
      </c>
      <c r="AN171" s="55">
        <f>IF(AK171="","",BrokeragePerOrder*2*MAX(1,N(L171)))</f>
        <v/>
      </c>
      <c r="AO171" s="55">
        <f>IF(AK171="","",STTRate*IF(I171="Buy",AE171,P171)*N171)</f>
        <v/>
      </c>
      <c r="AP171" s="55">
        <f>IF(AK171="","",ExchRate*AM171)</f>
        <v/>
      </c>
      <c r="AQ171" s="55">
        <f>IF(AK171="","",SEBIRate*AM171)</f>
        <v/>
      </c>
      <c r="AR171" s="55">
        <f>IF(AK171="","",StampRate*IF(I171="Buy",P171,AE171)*N171)</f>
        <v/>
      </c>
      <c r="AS171" s="55">
        <f>IF(AK171="","",GSTRate*(AN171+AP171+AQ171))</f>
        <v/>
      </c>
      <c r="AT171" s="55">
        <f>IF(AK171="","",AN171+AO171+AP171+AQ171+AR171+AS171)</f>
        <v/>
      </c>
      <c r="AU171" s="39">
        <f>IF(AK171="","",AK171-AT171)</f>
        <v/>
      </c>
      <c r="AV171" s="56">
        <f>IF(AU171="","",AU171/IF(N(Z171)&gt;0,Z171,RiskPerTrade))</f>
        <v/>
      </c>
      <c r="AW171" s="31">
        <f>IF(AU171="","",AU171/Capital)</f>
        <v/>
      </c>
      <c r="AX171" s="37" t="n"/>
      <c r="AY171" s="37" t="n"/>
      <c r="AZ171" s="37" t="n"/>
      <c r="BA171" s="37" t="n"/>
      <c r="BB171" s="37" t="n"/>
      <c r="BC171" s="37" t="n"/>
      <c r="BD171" s="37" t="n"/>
      <c r="BE171" s="5">
        <f>IF(AU171="","",IF(AU171&gt;0,"Win",IF(AU171&lt;0,"Loss","BE")))</f>
        <v/>
      </c>
      <c r="BF171" s="5">
        <f>IF(O171="","",LOOKUP(O171,List_BucketStart,List_BucketLabel))</f>
        <v/>
      </c>
      <c r="BG171" s="57">
        <f>IF(B171="","",B171-WEEKDAY(B171,3))</f>
        <v/>
      </c>
      <c r="BH171" s="28">
        <f>IF(B171="","",COUNTIF($B$6:B171,B171))</f>
        <v/>
      </c>
      <c r="BI171" s="39">
        <f>IF(B171="","",SUMIFS($AU$6:AU171,$B$6:B171,B171)-N(AU171))</f>
        <v/>
      </c>
      <c r="BJ171" s="5">
        <f>IF(OR(B171="",E171=""),"",IF(AND(E171=0,I171="Sell",MAX(N(O171),N(AD171))&gt;ExpiryCutoff),"BREACH","OK"))</f>
        <v/>
      </c>
      <c r="BK171" s="5">
        <f>IF(B171="","",IF(OR(AC171&lt;&gt;"OK",BJ171="BREACH",BH171&gt;MaxTradesDay,BI171&lt;=-DailyLossLimit,OR(AF171="Panic",AF171="Revenge",AF171="Rule break")),"CHECK","OK"))</f>
        <v/>
      </c>
      <c r="BL171" s="39">
        <f>IF(AU171="","",SUM($AU$6:AU171))</f>
        <v/>
      </c>
      <c r="BM171" s="39">
        <f>IF(BL171="","",Capital+BL171)</f>
        <v/>
      </c>
      <c r="BN171" s="39">
        <f>IF(BM171="","",MAX(Capital,MAX($BM$6:BM171)))</f>
        <v/>
      </c>
      <c r="BO171" s="39">
        <f>IF(BM171="","",BN171-BM171)</f>
        <v/>
      </c>
      <c r="BP171" s="58">
        <f>IF(BO171="","",BO171/BN171)</f>
        <v/>
      </c>
      <c r="BQ171" s="28">
        <f>IF(AU171="","",IF(AU171&lt;0,N(BQ170)+1,0))</f>
        <v/>
      </c>
    </row>
    <row r="172">
      <c r="A172" s="28">
        <f>IF(B172="","",COUNT($B$6:B172))</f>
        <v/>
      </c>
      <c r="B172" s="27" t="n"/>
      <c r="C172" s="5">
        <f>IF(B172="","",TEXT(B172,"ddd"))</f>
        <v/>
      </c>
      <c r="D172" s="27" t="n"/>
      <c r="E172" s="28">
        <f>IF(OR(B172="",D172=""),"",MAX(0,NETWORKDAYS(B172,D172)-1))</f>
        <v/>
      </c>
      <c r="F172" s="37" t="n"/>
      <c r="G172" s="36" t="n"/>
      <c r="H172" s="37" t="n"/>
      <c r="I172" s="37" t="n"/>
      <c r="J172" s="37" t="n"/>
      <c r="K172" s="37" t="n"/>
      <c r="L172" s="36" t="n"/>
      <c r="M172" s="36" t="n"/>
      <c r="N172" s="33">
        <f>IF(M172="","",M172*LotSize)</f>
        <v/>
      </c>
      <c r="O172" s="51" t="n"/>
      <c r="P172" s="32" t="n"/>
      <c r="Q172" s="29" t="n"/>
      <c r="R172" s="30">
        <f>IF(OR(G172="",Q172="",H172=""),"",IF(H172="CE",G172-Q172,Q172-G172))</f>
        <v/>
      </c>
      <c r="S172" s="31">
        <f>IF(R172="","",R172/Q172)</f>
        <v/>
      </c>
      <c r="T172" s="38" t="n"/>
      <c r="U172" s="32" t="n"/>
      <c r="V172" s="52" t="n"/>
      <c r="W172" s="37" t="n"/>
      <c r="X172" s="32" t="n"/>
      <c r="Y172" s="32" t="n"/>
      <c r="Z172" s="39">
        <f>IF(OR(X172="",P172="",N172=""),"",ABS(X172-P172)*N172)</f>
        <v/>
      </c>
      <c r="AA172" s="53">
        <f>IF(OR(Z172="",Y172=""),"",IF(Z172=0,"",ABS(P172-Y172)*N172/Z172))</f>
        <v/>
      </c>
      <c r="AB172" s="54">
        <f>IF(Z172="","",Z172/Capital)</f>
        <v/>
      </c>
      <c r="AC172" s="5">
        <f>IF(B172="","",IF(X172="","NO SL",IF(OR(N(M172)&gt;MaxLots,N(AB172)&gt;RiskPct),"OVERSIZED","OK")))</f>
        <v/>
      </c>
      <c r="AD172" s="51" t="n"/>
      <c r="AE172" s="32" t="n"/>
      <c r="AF172" s="37" t="n"/>
      <c r="AG172" s="32" t="n"/>
      <c r="AH172" s="32" t="n"/>
      <c r="AI172" s="39">
        <f>IF(OR(AG172="",P172="",N172=""),"",ABS(AG172-P172)*N172)</f>
        <v/>
      </c>
      <c r="AJ172" s="39">
        <f>IF(OR(AH172="",P172="",N172=""),"",ABS(P172-AH172)*N172)</f>
        <v/>
      </c>
      <c r="AK172" s="39">
        <f>IF(OR(AE172="",P172="",N172=""),"",IF(I172="Buy",AE172-P172,P172-AE172)*N172)</f>
        <v/>
      </c>
      <c r="AL172" s="39">
        <f>IF(OR(AJ172="",AK172=""),"",MAX(0,AJ172-AK172))</f>
        <v/>
      </c>
      <c r="AM172" s="39">
        <f>IF(AK172="","",(P172+AE172)*N172)</f>
        <v/>
      </c>
      <c r="AN172" s="55">
        <f>IF(AK172="","",BrokeragePerOrder*2*MAX(1,N(L172)))</f>
        <v/>
      </c>
      <c r="AO172" s="55">
        <f>IF(AK172="","",STTRate*IF(I172="Buy",AE172,P172)*N172)</f>
        <v/>
      </c>
      <c r="AP172" s="55">
        <f>IF(AK172="","",ExchRate*AM172)</f>
        <v/>
      </c>
      <c r="AQ172" s="55">
        <f>IF(AK172="","",SEBIRate*AM172)</f>
        <v/>
      </c>
      <c r="AR172" s="55">
        <f>IF(AK172="","",StampRate*IF(I172="Buy",P172,AE172)*N172)</f>
        <v/>
      </c>
      <c r="AS172" s="55">
        <f>IF(AK172="","",GSTRate*(AN172+AP172+AQ172))</f>
        <v/>
      </c>
      <c r="AT172" s="55">
        <f>IF(AK172="","",AN172+AO172+AP172+AQ172+AR172+AS172)</f>
        <v/>
      </c>
      <c r="AU172" s="39">
        <f>IF(AK172="","",AK172-AT172)</f>
        <v/>
      </c>
      <c r="AV172" s="56">
        <f>IF(AU172="","",AU172/IF(N(Z172)&gt;0,Z172,RiskPerTrade))</f>
        <v/>
      </c>
      <c r="AW172" s="31">
        <f>IF(AU172="","",AU172/Capital)</f>
        <v/>
      </c>
      <c r="AX172" s="37" t="n"/>
      <c r="AY172" s="37" t="n"/>
      <c r="AZ172" s="37" t="n"/>
      <c r="BA172" s="37" t="n"/>
      <c r="BB172" s="37" t="n"/>
      <c r="BC172" s="37" t="n"/>
      <c r="BD172" s="37" t="n"/>
      <c r="BE172" s="5">
        <f>IF(AU172="","",IF(AU172&gt;0,"Win",IF(AU172&lt;0,"Loss","BE")))</f>
        <v/>
      </c>
      <c r="BF172" s="5">
        <f>IF(O172="","",LOOKUP(O172,List_BucketStart,List_BucketLabel))</f>
        <v/>
      </c>
      <c r="BG172" s="57">
        <f>IF(B172="","",B172-WEEKDAY(B172,3))</f>
        <v/>
      </c>
      <c r="BH172" s="28">
        <f>IF(B172="","",COUNTIF($B$6:B172,B172))</f>
        <v/>
      </c>
      <c r="BI172" s="39">
        <f>IF(B172="","",SUMIFS($AU$6:AU172,$B$6:B172,B172)-N(AU172))</f>
        <v/>
      </c>
      <c r="BJ172" s="5">
        <f>IF(OR(B172="",E172=""),"",IF(AND(E172=0,I172="Sell",MAX(N(O172),N(AD172))&gt;ExpiryCutoff),"BREACH","OK"))</f>
        <v/>
      </c>
      <c r="BK172" s="5">
        <f>IF(B172="","",IF(OR(AC172&lt;&gt;"OK",BJ172="BREACH",BH172&gt;MaxTradesDay,BI172&lt;=-DailyLossLimit,OR(AF172="Panic",AF172="Revenge",AF172="Rule break")),"CHECK","OK"))</f>
        <v/>
      </c>
      <c r="BL172" s="39">
        <f>IF(AU172="","",SUM($AU$6:AU172))</f>
        <v/>
      </c>
      <c r="BM172" s="39">
        <f>IF(BL172="","",Capital+BL172)</f>
        <v/>
      </c>
      <c r="BN172" s="39">
        <f>IF(BM172="","",MAX(Capital,MAX($BM$6:BM172)))</f>
        <v/>
      </c>
      <c r="BO172" s="39">
        <f>IF(BM172="","",BN172-BM172)</f>
        <v/>
      </c>
      <c r="BP172" s="58">
        <f>IF(BO172="","",BO172/BN172)</f>
        <v/>
      </c>
      <c r="BQ172" s="28">
        <f>IF(AU172="","",IF(AU172&lt;0,N(BQ171)+1,0))</f>
        <v/>
      </c>
    </row>
    <row r="173">
      <c r="A173" s="28">
        <f>IF(B173="","",COUNT($B$6:B173))</f>
        <v/>
      </c>
      <c r="B173" s="27" t="n"/>
      <c r="C173" s="5">
        <f>IF(B173="","",TEXT(B173,"ddd"))</f>
        <v/>
      </c>
      <c r="D173" s="27" t="n"/>
      <c r="E173" s="28">
        <f>IF(OR(B173="",D173=""),"",MAX(0,NETWORKDAYS(B173,D173)-1))</f>
        <v/>
      </c>
      <c r="F173" s="37" t="n"/>
      <c r="G173" s="36" t="n"/>
      <c r="H173" s="37" t="n"/>
      <c r="I173" s="37" t="n"/>
      <c r="J173" s="37" t="n"/>
      <c r="K173" s="37" t="n"/>
      <c r="L173" s="36" t="n"/>
      <c r="M173" s="36" t="n"/>
      <c r="N173" s="33">
        <f>IF(M173="","",M173*LotSize)</f>
        <v/>
      </c>
      <c r="O173" s="51" t="n"/>
      <c r="P173" s="32" t="n"/>
      <c r="Q173" s="29" t="n"/>
      <c r="R173" s="30">
        <f>IF(OR(G173="",Q173="",H173=""),"",IF(H173="CE",G173-Q173,Q173-G173))</f>
        <v/>
      </c>
      <c r="S173" s="31">
        <f>IF(R173="","",R173/Q173)</f>
        <v/>
      </c>
      <c r="T173" s="38" t="n"/>
      <c r="U173" s="32" t="n"/>
      <c r="V173" s="52" t="n"/>
      <c r="W173" s="37" t="n"/>
      <c r="X173" s="32" t="n"/>
      <c r="Y173" s="32" t="n"/>
      <c r="Z173" s="39">
        <f>IF(OR(X173="",P173="",N173=""),"",ABS(X173-P173)*N173)</f>
        <v/>
      </c>
      <c r="AA173" s="53">
        <f>IF(OR(Z173="",Y173=""),"",IF(Z173=0,"",ABS(P173-Y173)*N173/Z173))</f>
        <v/>
      </c>
      <c r="AB173" s="54">
        <f>IF(Z173="","",Z173/Capital)</f>
        <v/>
      </c>
      <c r="AC173" s="5">
        <f>IF(B173="","",IF(X173="","NO SL",IF(OR(N(M173)&gt;MaxLots,N(AB173)&gt;RiskPct),"OVERSIZED","OK")))</f>
        <v/>
      </c>
      <c r="AD173" s="51" t="n"/>
      <c r="AE173" s="32" t="n"/>
      <c r="AF173" s="37" t="n"/>
      <c r="AG173" s="32" t="n"/>
      <c r="AH173" s="32" t="n"/>
      <c r="AI173" s="39">
        <f>IF(OR(AG173="",P173="",N173=""),"",ABS(AG173-P173)*N173)</f>
        <v/>
      </c>
      <c r="AJ173" s="39">
        <f>IF(OR(AH173="",P173="",N173=""),"",ABS(P173-AH173)*N173)</f>
        <v/>
      </c>
      <c r="AK173" s="39">
        <f>IF(OR(AE173="",P173="",N173=""),"",IF(I173="Buy",AE173-P173,P173-AE173)*N173)</f>
        <v/>
      </c>
      <c r="AL173" s="39">
        <f>IF(OR(AJ173="",AK173=""),"",MAX(0,AJ173-AK173))</f>
        <v/>
      </c>
      <c r="AM173" s="39">
        <f>IF(AK173="","",(P173+AE173)*N173)</f>
        <v/>
      </c>
      <c r="AN173" s="55">
        <f>IF(AK173="","",BrokeragePerOrder*2*MAX(1,N(L173)))</f>
        <v/>
      </c>
      <c r="AO173" s="55">
        <f>IF(AK173="","",STTRate*IF(I173="Buy",AE173,P173)*N173)</f>
        <v/>
      </c>
      <c r="AP173" s="55">
        <f>IF(AK173="","",ExchRate*AM173)</f>
        <v/>
      </c>
      <c r="AQ173" s="55">
        <f>IF(AK173="","",SEBIRate*AM173)</f>
        <v/>
      </c>
      <c r="AR173" s="55">
        <f>IF(AK173="","",StampRate*IF(I173="Buy",P173,AE173)*N173)</f>
        <v/>
      </c>
      <c r="AS173" s="55">
        <f>IF(AK173="","",GSTRate*(AN173+AP173+AQ173))</f>
        <v/>
      </c>
      <c r="AT173" s="55">
        <f>IF(AK173="","",AN173+AO173+AP173+AQ173+AR173+AS173)</f>
        <v/>
      </c>
      <c r="AU173" s="39">
        <f>IF(AK173="","",AK173-AT173)</f>
        <v/>
      </c>
      <c r="AV173" s="56">
        <f>IF(AU173="","",AU173/IF(N(Z173)&gt;0,Z173,RiskPerTrade))</f>
        <v/>
      </c>
      <c r="AW173" s="31">
        <f>IF(AU173="","",AU173/Capital)</f>
        <v/>
      </c>
      <c r="AX173" s="37" t="n"/>
      <c r="AY173" s="37" t="n"/>
      <c r="AZ173" s="37" t="n"/>
      <c r="BA173" s="37" t="n"/>
      <c r="BB173" s="37" t="n"/>
      <c r="BC173" s="37" t="n"/>
      <c r="BD173" s="37" t="n"/>
      <c r="BE173" s="5">
        <f>IF(AU173="","",IF(AU173&gt;0,"Win",IF(AU173&lt;0,"Loss","BE")))</f>
        <v/>
      </c>
      <c r="BF173" s="5">
        <f>IF(O173="","",LOOKUP(O173,List_BucketStart,List_BucketLabel))</f>
        <v/>
      </c>
      <c r="BG173" s="57">
        <f>IF(B173="","",B173-WEEKDAY(B173,3))</f>
        <v/>
      </c>
      <c r="BH173" s="28">
        <f>IF(B173="","",COUNTIF($B$6:B173,B173))</f>
        <v/>
      </c>
      <c r="BI173" s="39">
        <f>IF(B173="","",SUMIFS($AU$6:AU173,$B$6:B173,B173)-N(AU173))</f>
        <v/>
      </c>
      <c r="BJ173" s="5">
        <f>IF(OR(B173="",E173=""),"",IF(AND(E173=0,I173="Sell",MAX(N(O173),N(AD173))&gt;ExpiryCutoff),"BREACH","OK"))</f>
        <v/>
      </c>
      <c r="BK173" s="5">
        <f>IF(B173="","",IF(OR(AC173&lt;&gt;"OK",BJ173="BREACH",BH173&gt;MaxTradesDay,BI173&lt;=-DailyLossLimit,OR(AF173="Panic",AF173="Revenge",AF173="Rule break")),"CHECK","OK"))</f>
        <v/>
      </c>
      <c r="BL173" s="39">
        <f>IF(AU173="","",SUM($AU$6:AU173))</f>
        <v/>
      </c>
      <c r="BM173" s="39">
        <f>IF(BL173="","",Capital+BL173)</f>
        <v/>
      </c>
      <c r="BN173" s="39">
        <f>IF(BM173="","",MAX(Capital,MAX($BM$6:BM173)))</f>
        <v/>
      </c>
      <c r="BO173" s="39">
        <f>IF(BM173="","",BN173-BM173)</f>
        <v/>
      </c>
      <c r="BP173" s="58">
        <f>IF(BO173="","",BO173/BN173)</f>
        <v/>
      </c>
      <c r="BQ173" s="28">
        <f>IF(AU173="","",IF(AU173&lt;0,N(BQ172)+1,0))</f>
        <v/>
      </c>
    </row>
    <row r="174">
      <c r="A174" s="28">
        <f>IF(B174="","",COUNT($B$6:B174))</f>
        <v/>
      </c>
      <c r="B174" s="27" t="n"/>
      <c r="C174" s="5">
        <f>IF(B174="","",TEXT(B174,"ddd"))</f>
        <v/>
      </c>
      <c r="D174" s="27" t="n"/>
      <c r="E174" s="28">
        <f>IF(OR(B174="",D174=""),"",MAX(0,NETWORKDAYS(B174,D174)-1))</f>
        <v/>
      </c>
      <c r="F174" s="37" t="n"/>
      <c r="G174" s="36" t="n"/>
      <c r="H174" s="37" t="n"/>
      <c r="I174" s="37" t="n"/>
      <c r="J174" s="37" t="n"/>
      <c r="K174" s="37" t="n"/>
      <c r="L174" s="36" t="n"/>
      <c r="M174" s="36" t="n"/>
      <c r="N174" s="33">
        <f>IF(M174="","",M174*LotSize)</f>
        <v/>
      </c>
      <c r="O174" s="51" t="n"/>
      <c r="P174" s="32" t="n"/>
      <c r="Q174" s="29" t="n"/>
      <c r="R174" s="30">
        <f>IF(OR(G174="",Q174="",H174=""),"",IF(H174="CE",G174-Q174,Q174-G174))</f>
        <v/>
      </c>
      <c r="S174" s="31">
        <f>IF(R174="","",R174/Q174)</f>
        <v/>
      </c>
      <c r="T174" s="38" t="n"/>
      <c r="U174" s="32" t="n"/>
      <c r="V174" s="52" t="n"/>
      <c r="W174" s="37" t="n"/>
      <c r="X174" s="32" t="n"/>
      <c r="Y174" s="32" t="n"/>
      <c r="Z174" s="39">
        <f>IF(OR(X174="",P174="",N174=""),"",ABS(X174-P174)*N174)</f>
        <v/>
      </c>
      <c r="AA174" s="53">
        <f>IF(OR(Z174="",Y174=""),"",IF(Z174=0,"",ABS(P174-Y174)*N174/Z174))</f>
        <v/>
      </c>
      <c r="AB174" s="54">
        <f>IF(Z174="","",Z174/Capital)</f>
        <v/>
      </c>
      <c r="AC174" s="5">
        <f>IF(B174="","",IF(X174="","NO SL",IF(OR(N(M174)&gt;MaxLots,N(AB174)&gt;RiskPct),"OVERSIZED","OK")))</f>
        <v/>
      </c>
      <c r="AD174" s="51" t="n"/>
      <c r="AE174" s="32" t="n"/>
      <c r="AF174" s="37" t="n"/>
      <c r="AG174" s="32" t="n"/>
      <c r="AH174" s="32" t="n"/>
      <c r="AI174" s="39">
        <f>IF(OR(AG174="",P174="",N174=""),"",ABS(AG174-P174)*N174)</f>
        <v/>
      </c>
      <c r="AJ174" s="39">
        <f>IF(OR(AH174="",P174="",N174=""),"",ABS(P174-AH174)*N174)</f>
        <v/>
      </c>
      <c r="AK174" s="39">
        <f>IF(OR(AE174="",P174="",N174=""),"",IF(I174="Buy",AE174-P174,P174-AE174)*N174)</f>
        <v/>
      </c>
      <c r="AL174" s="39">
        <f>IF(OR(AJ174="",AK174=""),"",MAX(0,AJ174-AK174))</f>
        <v/>
      </c>
      <c r="AM174" s="39">
        <f>IF(AK174="","",(P174+AE174)*N174)</f>
        <v/>
      </c>
      <c r="AN174" s="55">
        <f>IF(AK174="","",BrokeragePerOrder*2*MAX(1,N(L174)))</f>
        <v/>
      </c>
      <c r="AO174" s="55">
        <f>IF(AK174="","",STTRate*IF(I174="Buy",AE174,P174)*N174)</f>
        <v/>
      </c>
      <c r="AP174" s="55">
        <f>IF(AK174="","",ExchRate*AM174)</f>
        <v/>
      </c>
      <c r="AQ174" s="55">
        <f>IF(AK174="","",SEBIRate*AM174)</f>
        <v/>
      </c>
      <c r="AR174" s="55">
        <f>IF(AK174="","",StampRate*IF(I174="Buy",P174,AE174)*N174)</f>
        <v/>
      </c>
      <c r="AS174" s="55">
        <f>IF(AK174="","",GSTRate*(AN174+AP174+AQ174))</f>
        <v/>
      </c>
      <c r="AT174" s="55">
        <f>IF(AK174="","",AN174+AO174+AP174+AQ174+AR174+AS174)</f>
        <v/>
      </c>
      <c r="AU174" s="39">
        <f>IF(AK174="","",AK174-AT174)</f>
        <v/>
      </c>
      <c r="AV174" s="56">
        <f>IF(AU174="","",AU174/IF(N(Z174)&gt;0,Z174,RiskPerTrade))</f>
        <v/>
      </c>
      <c r="AW174" s="31">
        <f>IF(AU174="","",AU174/Capital)</f>
        <v/>
      </c>
      <c r="AX174" s="37" t="n"/>
      <c r="AY174" s="37" t="n"/>
      <c r="AZ174" s="37" t="n"/>
      <c r="BA174" s="37" t="n"/>
      <c r="BB174" s="37" t="n"/>
      <c r="BC174" s="37" t="n"/>
      <c r="BD174" s="37" t="n"/>
      <c r="BE174" s="5">
        <f>IF(AU174="","",IF(AU174&gt;0,"Win",IF(AU174&lt;0,"Loss","BE")))</f>
        <v/>
      </c>
      <c r="BF174" s="5">
        <f>IF(O174="","",LOOKUP(O174,List_BucketStart,List_BucketLabel))</f>
        <v/>
      </c>
      <c r="BG174" s="57">
        <f>IF(B174="","",B174-WEEKDAY(B174,3))</f>
        <v/>
      </c>
      <c r="BH174" s="28">
        <f>IF(B174="","",COUNTIF($B$6:B174,B174))</f>
        <v/>
      </c>
      <c r="BI174" s="39">
        <f>IF(B174="","",SUMIFS($AU$6:AU174,$B$6:B174,B174)-N(AU174))</f>
        <v/>
      </c>
      <c r="BJ174" s="5">
        <f>IF(OR(B174="",E174=""),"",IF(AND(E174=0,I174="Sell",MAX(N(O174),N(AD174))&gt;ExpiryCutoff),"BREACH","OK"))</f>
        <v/>
      </c>
      <c r="BK174" s="5">
        <f>IF(B174="","",IF(OR(AC174&lt;&gt;"OK",BJ174="BREACH",BH174&gt;MaxTradesDay,BI174&lt;=-DailyLossLimit,OR(AF174="Panic",AF174="Revenge",AF174="Rule break")),"CHECK","OK"))</f>
        <v/>
      </c>
      <c r="BL174" s="39">
        <f>IF(AU174="","",SUM($AU$6:AU174))</f>
        <v/>
      </c>
      <c r="BM174" s="39">
        <f>IF(BL174="","",Capital+BL174)</f>
        <v/>
      </c>
      <c r="BN174" s="39">
        <f>IF(BM174="","",MAX(Capital,MAX($BM$6:BM174)))</f>
        <v/>
      </c>
      <c r="BO174" s="39">
        <f>IF(BM174="","",BN174-BM174)</f>
        <v/>
      </c>
      <c r="BP174" s="58">
        <f>IF(BO174="","",BO174/BN174)</f>
        <v/>
      </c>
      <c r="BQ174" s="28">
        <f>IF(AU174="","",IF(AU174&lt;0,N(BQ173)+1,0))</f>
        <v/>
      </c>
    </row>
    <row r="175">
      <c r="A175" s="28">
        <f>IF(B175="","",COUNT($B$6:B175))</f>
        <v/>
      </c>
      <c r="B175" s="27" t="n"/>
      <c r="C175" s="5">
        <f>IF(B175="","",TEXT(B175,"ddd"))</f>
        <v/>
      </c>
      <c r="D175" s="27" t="n"/>
      <c r="E175" s="28">
        <f>IF(OR(B175="",D175=""),"",MAX(0,NETWORKDAYS(B175,D175)-1))</f>
        <v/>
      </c>
      <c r="F175" s="37" t="n"/>
      <c r="G175" s="36" t="n"/>
      <c r="H175" s="37" t="n"/>
      <c r="I175" s="37" t="n"/>
      <c r="J175" s="37" t="n"/>
      <c r="K175" s="37" t="n"/>
      <c r="L175" s="36" t="n"/>
      <c r="M175" s="36" t="n"/>
      <c r="N175" s="33">
        <f>IF(M175="","",M175*LotSize)</f>
        <v/>
      </c>
      <c r="O175" s="51" t="n"/>
      <c r="P175" s="32" t="n"/>
      <c r="Q175" s="29" t="n"/>
      <c r="R175" s="30">
        <f>IF(OR(G175="",Q175="",H175=""),"",IF(H175="CE",G175-Q175,Q175-G175))</f>
        <v/>
      </c>
      <c r="S175" s="31">
        <f>IF(R175="","",R175/Q175)</f>
        <v/>
      </c>
      <c r="T175" s="38" t="n"/>
      <c r="U175" s="32" t="n"/>
      <c r="V175" s="52" t="n"/>
      <c r="W175" s="37" t="n"/>
      <c r="X175" s="32" t="n"/>
      <c r="Y175" s="32" t="n"/>
      <c r="Z175" s="39">
        <f>IF(OR(X175="",P175="",N175=""),"",ABS(X175-P175)*N175)</f>
        <v/>
      </c>
      <c r="AA175" s="53">
        <f>IF(OR(Z175="",Y175=""),"",IF(Z175=0,"",ABS(P175-Y175)*N175/Z175))</f>
        <v/>
      </c>
      <c r="AB175" s="54">
        <f>IF(Z175="","",Z175/Capital)</f>
        <v/>
      </c>
      <c r="AC175" s="5">
        <f>IF(B175="","",IF(X175="","NO SL",IF(OR(N(M175)&gt;MaxLots,N(AB175)&gt;RiskPct),"OVERSIZED","OK")))</f>
        <v/>
      </c>
      <c r="AD175" s="51" t="n"/>
      <c r="AE175" s="32" t="n"/>
      <c r="AF175" s="37" t="n"/>
      <c r="AG175" s="32" t="n"/>
      <c r="AH175" s="32" t="n"/>
      <c r="AI175" s="39">
        <f>IF(OR(AG175="",P175="",N175=""),"",ABS(AG175-P175)*N175)</f>
        <v/>
      </c>
      <c r="AJ175" s="39">
        <f>IF(OR(AH175="",P175="",N175=""),"",ABS(P175-AH175)*N175)</f>
        <v/>
      </c>
      <c r="AK175" s="39">
        <f>IF(OR(AE175="",P175="",N175=""),"",IF(I175="Buy",AE175-P175,P175-AE175)*N175)</f>
        <v/>
      </c>
      <c r="AL175" s="39">
        <f>IF(OR(AJ175="",AK175=""),"",MAX(0,AJ175-AK175))</f>
        <v/>
      </c>
      <c r="AM175" s="39">
        <f>IF(AK175="","",(P175+AE175)*N175)</f>
        <v/>
      </c>
      <c r="AN175" s="55">
        <f>IF(AK175="","",BrokeragePerOrder*2*MAX(1,N(L175)))</f>
        <v/>
      </c>
      <c r="AO175" s="55">
        <f>IF(AK175="","",STTRate*IF(I175="Buy",AE175,P175)*N175)</f>
        <v/>
      </c>
      <c r="AP175" s="55">
        <f>IF(AK175="","",ExchRate*AM175)</f>
        <v/>
      </c>
      <c r="AQ175" s="55">
        <f>IF(AK175="","",SEBIRate*AM175)</f>
        <v/>
      </c>
      <c r="AR175" s="55">
        <f>IF(AK175="","",StampRate*IF(I175="Buy",P175,AE175)*N175)</f>
        <v/>
      </c>
      <c r="AS175" s="55">
        <f>IF(AK175="","",GSTRate*(AN175+AP175+AQ175))</f>
        <v/>
      </c>
      <c r="AT175" s="55">
        <f>IF(AK175="","",AN175+AO175+AP175+AQ175+AR175+AS175)</f>
        <v/>
      </c>
      <c r="AU175" s="39">
        <f>IF(AK175="","",AK175-AT175)</f>
        <v/>
      </c>
      <c r="AV175" s="56">
        <f>IF(AU175="","",AU175/IF(N(Z175)&gt;0,Z175,RiskPerTrade))</f>
        <v/>
      </c>
      <c r="AW175" s="31">
        <f>IF(AU175="","",AU175/Capital)</f>
        <v/>
      </c>
      <c r="AX175" s="37" t="n"/>
      <c r="AY175" s="37" t="n"/>
      <c r="AZ175" s="37" t="n"/>
      <c r="BA175" s="37" t="n"/>
      <c r="BB175" s="37" t="n"/>
      <c r="BC175" s="37" t="n"/>
      <c r="BD175" s="37" t="n"/>
      <c r="BE175" s="5">
        <f>IF(AU175="","",IF(AU175&gt;0,"Win",IF(AU175&lt;0,"Loss","BE")))</f>
        <v/>
      </c>
      <c r="BF175" s="5">
        <f>IF(O175="","",LOOKUP(O175,List_BucketStart,List_BucketLabel))</f>
        <v/>
      </c>
      <c r="BG175" s="57">
        <f>IF(B175="","",B175-WEEKDAY(B175,3))</f>
        <v/>
      </c>
      <c r="BH175" s="28">
        <f>IF(B175="","",COUNTIF($B$6:B175,B175))</f>
        <v/>
      </c>
      <c r="BI175" s="39">
        <f>IF(B175="","",SUMIFS($AU$6:AU175,$B$6:B175,B175)-N(AU175))</f>
        <v/>
      </c>
      <c r="BJ175" s="5">
        <f>IF(OR(B175="",E175=""),"",IF(AND(E175=0,I175="Sell",MAX(N(O175),N(AD175))&gt;ExpiryCutoff),"BREACH","OK"))</f>
        <v/>
      </c>
      <c r="BK175" s="5">
        <f>IF(B175="","",IF(OR(AC175&lt;&gt;"OK",BJ175="BREACH",BH175&gt;MaxTradesDay,BI175&lt;=-DailyLossLimit,OR(AF175="Panic",AF175="Revenge",AF175="Rule break")),"CHECK","OK"))</f>
        <v/>
      </c>
      <c r="BL175" s="39">
        <f>IF(AU175="","",SUM($AU$6:AU175))</f>
        <v/>
      </c>
      <c r="BM175" s="39">
        <f>IF(BL175="","",Capital+BL175)</f>
        <v/>
      </c>
      <c r="BN175" s="39">
        <f>IF(BM175="","",MAX(Capital,MAX($BM$6:BM175)))</f>
        <v/>
      </c>
      <c r="BO175" s="39">
        <f>IF(BM175="","",BN175-BM175)</f>
        <v/>
      </c>
      <c r="BP175" s="58">
        <f>IF(BO175="","",BO175/BN175)</f>
        <v/>
      </c>
      <c r="BQ175" s="28">
        <f>IF(AU175="","",IF(AU175&lt;0,N(BQ174)+1,0))</f>
        <v/>
      </c>
    </row>
    <row r="176">
      <c r="A176" s="28">
        <f>IF(B176="","",COUNT($B$6:B176))</f>
        <v/>
      </c>
      <c r="B176" s="27" t="n"/>
      <c r="C176" s="5">
        <f>IF(B176="","",TEXT(B176,"ddd"))</f>
        <v/>
      </c>
      <c r="D176" s="27" t="n"/>
      <c r="E176" s="28">
        <f>IF(OR(B176="",D176=""),"",MAX(0,NETWORKDAYS(B176,D176)-1))</f>
        <v/>
      </c>
      <c r="F176" s="37" t="n"/>
      <c r="G176" s="36" t="n"/>
      <c r="H176" s="37" t="n"/>
      <c r="I176" s="37" t="n"/>
      <c r="J176" s="37" t="n"/>
      <c r="K176" s="37" t="n"/>
      <c r="L176" s="36" t="n"/>
      <c r="M176" s="36" t="n"/>
      <c r="N176" s="33">
        <f>IF(M176="","",M176*LotSize)</f>
        <v/>
      </c>
      <c r="O176" s="51" t="n"/>
      <c r="P176" s="32" t="n"/>
      <c r="Q176" s="29" t="n"/>
      <c r="R176" s="30">
        <f>IF(OR(G176="",Q176="",H176=""),"",IF(H176="CE",G176-Q176,Q176-G176))</f>
        <v/>
      </c>
      <c r="S176" s="31">
        <f>IF(R176="","",R176/Q176)</f>
        <v/>
      </c>
      <c r="T176" s="38" t="n"/>
      <c r="U176" s="32" t="n"/>
      <c r="V176" s="52" t="n"/>
      <c r="W176" s="37" t="n"/>
      <c r="X176" s="32" t="n"/>
      <c r="Y176" s="32" t="n"/>
      <c r="Z176" s="39">
        <f>IF(OR(X176="",P176="",N176=""),"",ABS(X176-P176)*N176)</f>
        <v/>
      </c>
      <c r="AA176" s="53">
        <f>IF(OR(Z176="",Y176=""),"",IF(Z176=0,"",ABS(P176-Y176)*N176/Z176))</f>
        <v/>
      </c>
      <c r="AB176" s="54">
        <f>IF(Z176="","",Z176/Capital)</f>
        <v/>
      </c>
      <c r="AC176" s="5">
        <f>IF(B176="","",IF(X176="","NO SL",IF(OR(N(M176)&gt;MaxLots,N(AB176)&gt;RiskPct),"OVERSIZED","OK")))</f>
        <v/>
      </c>
      <c r="AD176" s="51" t="n"/>
      <c r="AE176" s="32" t="n"/>
      <c r="AF176" s="37" t="n"/>
      <c r="AG176" s="32" t="n"/>
      <c r="AH176" s="32" t="n"/>
      <c r="AI176" s="39">
        <f>IF(OR(AG176="",P176="",N176=""),"",ABS(AG176-P176)*N176)</f>
        <v/>
      </c>
      <c r="AJ176" s="39">
        <f>IF(OR(AH176="",P176="",N176=""),"",ABS(P176-AH176)*N176)</f>
        <v/>
      </c>
      <c r="AK176" s="39">
        <f>IF(OR(AE176="",P176="",N176=""),"",IF(I176="Buy",AE176-P176,P176-AE176)*N176)</f>
        <v/>
      </c>
      <c r="AL176" s="39">
        <f>IF(OR(AJ176="",AK176=""),"",MAX(0,AJ176-AK176))</f>
        <v/>
      </c>
      <c r="AM176" s="39">
        <f>IF(AK176="","",(P176+AE176)*N176)</f>
        <v/>
      </c>
      <c r="AN176" s="55">
        <f>IF(AK176="","",BrokeragePerOrder*2*MAX(1,N(L176)))</f>
        <v/>
      </c>
      <c r="AO176" s="55">
        <f>IF(AK176="","",STTRate*IF(I176="Buy",AE176,P176)*N176)</f>
        <v/>
      </c>
      <c r="AP176" s="55">
        <f>IF(AK176="","",ExchRate*AM176)</f>
        <v/>
      </c>
      <c r="AQ176" s="55">
        <f>IF(AK176="","",SEBIRate*AM176)</f>
        <v/>
      </c>
      <c r="AR176" s="55">
        <f>IF(AK176="","",StampRate*IF(I176="Buy",P176,AE176)*N176)</f>
        <v/>
      </c>
      <c r="AS176" s="55">
        <f>IF(AK176="","",GSTRate*(AN176+AP176+AQ176))</f>
        <v/>
      </c>
      <c r="AT176" s="55">
        <f>IF(AK176="","",AN176+AO176+AP176+AQ176+AR176+AS176)</f>
        <v/>
      </c>
      <c r="AU176" s="39">
        <f>IF(AK176="","",AK176-AT176)</f>
        <v/>
      </c>
      <c r="AV176" s="56">
        <f>IF(AU176="","",AU176/IF(N(Z176)&gt;0,Z176,RiskPerTrade))</f>
        <v/>
      </c>
      <c r="AW176" s="31">
        <f>IF(AU176="","",AU176/Capital)</f>
        <v/>
      </c>
      <c r="AX176" s="37" t="n"/>
      <c r="AY176" s="37" t="n"/>
      <c r="AZ176" s="37" t="n"/>
      <c r="BA176" s="37" t="n"/>
      <c r="BB176" s="37" t="n"/>
      <c r="BC176" s="37" t="n"/>
      <c r="BD176" s="37" t="n"/>
      <c r="BE176" s="5">
        <f>IF(AU176="","",IF(AU176&gt;0,"Win",IF(AU176&lt;0,"Loss","BE")))</f>
        <v/>
      </c>
      <c r="BF176" s="5">
        <f>IF(O176="","",LOOKUP(O176,List_BucketStart,List_BucketLabel))</f>
        <v/>
      </c>
      <c r="BG176" s="57">
        <f>IF(B176="","",B176-WEEKDAY(B176,3))</f>
        <v/>
      </c>
      <c r="BH176" s="28">
        <f>IF(B176="","",COUNTIF($B$6:B176,B176))</f>
        <v/>
      </c>
      <c r="BI176" s="39">
        <f>IF(B176="","",SUMIFS($AU$6:AU176,$B$6:B176,B176)-N(AU176))</f>
        <v/>
      </c>
      <c r="BJ176" s="5">
        <f>IF(OR(B176="",E176=""),"",IF(AND(E176=0,I176="Sell",MAX(N(O176),N(AD176))&gt;ExpiryCutoff),"BREACH","OK"))</f>
        <v/>
      </c>
      <c r="BK176" s="5">
        <f>IF(B176="","",IF(OR(AC176&lt;&gt;"OK",BJ176="BREACH",BH176&gt;MaxTradesDay,BI176&lt;=-DailyLossLimit,OR(AF176="Panic",AF176="Revenge",AF176="Rule break")),"CHECK","OK"))</f>
        <v/>
      </c>
      <c r="BL176" s="39">
        <f>IF(AU176="","",SUM($AU$6:AU176))</f>
        <v/>
      </c>
      <c r="BM176" s="39">
        <f>IF(BL176="","",Capital+BL176)</f>
        <v/>
      </c>
      <c r="BN176" s="39">
        <f>IF(BM176="","",MAX(Capital,MAX($BM$6:BM176)))</f>
        <v/>
      </c>
      <c r="BO176" s="39">
        <f>IF(BM176="","",BN176-BM176)</f>
        <v/>
      </c>
      <c r="BP176" s="58">
        <f>IF(BO176="","",BO176/BN176)</f>
        <v/>
      </c>
      <c r="BQ176" s="28">
        <f>IF(AU176="","",IF(AU176&lt;0,N(BQ175)+1,0))</f>
        <v/>
      </c>
    </row>
    <row r="177">
      <c r="A177" s="28">
        <f>IF(B177="","",COUNT($B$6:B177))</f>
        <v/>
      </c>
      <c r="B177" s="27" t="n"/>
      <c r="C177" s="5">
        <f>IF(B177="","",TEXT(B177,"ddd"))</f>
        <v/>
      </c>
      <c r="D177" s="27" t="n"/>
      <c r="E177" s="28">
        <f>IF(OR(B177="",D177=""),"",MAX(0,NETWORKDAYS(B177,D177)-1))</f>
        <v/>
      </c>
      <c r="F177" s="37" t="n"/>
      <c r="G177" s="36" t="n"/>
      <c r="H177" s="37" t="n"/>
      <c r="I177" s="37" t="n"/>
      <c r="J177" s="37" t="n"/>
      <c r="K177" s="37" t="n"/>
      <c r="L177" s="36" t="n"/>
      <c r="M177" s="36" t="n"/>
      <c r="N177" s="33">
        <f>IF(M177="","",M177*LotSize)</f>
        <v/>
      </c>
      <c r="O177" s="51" t="n"/>
      <c r="P177" s="32" t="n"/>
      <c r="Q177" s="29" t="n"/>
      <c r="R177" s="30">
        <f>IF(OR(G177="",Q177="",H177=""),"",IF(H177="CE",G177-Q177,Q177-G177))</f>
        <v/>
      </c>
      <c r="S177" s="31">
        <f>IF(R177="","",R177/Q177)</f>
        <v/>
      </c>
      <c r="T177" s="38" t="n"/>
      <c r="U177" s="32" t="n"/>
      <c r="V177" s="52" t="n"/>
      <c r="W177" s="37" t="n"/>
      <c r="X177" s="32" t="n"/>
      <c r="Y177" s="32" t="n"/>
      <c r="Z177" s="39">
        <f>IF(OR(X177="",P177="",N177=""),"",ABS(X177-P177)*N177)</f>
        <v/>
      </c>
      <c r="AA177" s="53">
        <f>IF(OR(Z177="",Y177=""),"",IF(Z177=0,"",ABS(P177-Y177)*N177/Z177))</f>
        <v/>
      </c>
      <c r="AB177" s="54">
        <f>IF(Z177="","",Z177/Capital)</f>
        <v/>
      </c>
      <c r="AC177" s="5">
        <f>IF(B177="","",IF(X177="","NO SL",IF(OR(N(M177)&gt;MaxLots,N(AB177)&gt;RiskPct),"OVERSIZED","OK")))</f>
        <v/>
      </c>
      <c r="AD177" s="51" t="n"/>
      <c r="AE177" s="32" t="n"/>
      <c r="AF177" s="37" t="n"/>
      <c r="AG177" s="32" t="n"/>
      <c r="AH177" s="32" t="n"/>
      <c r="AI177" s="39">
        <f>IF(OR(AG177="",P177="",N177=""),"",ABS(AG177-P177)*N177)</f>
        <v/>
      </c>
      <c r="AJ177" s="39">
        <f>IF(OR(AH177="",P177="",N177=""),"",ABS(P177-AH177)*N177)</f>
        <v/>
      </c>
      <c r="AK177" s="39">
        <f>IF(OR(AE177="",P177="",N177=""),"",IF(I177="Buy",AE177-P177,P177-AE177)*N177)</f>
        <v/>
      </c>
      <c r="AL177" s="39">
        <f>IF(OR(AJ177="",AK177=""),"",MAX(0,AJ177-AK177))</f>
        <v/>
      </c>
      <c r="AM177" s="39">
        <f>IF(AK177="","",(P177+AE177)*N177)</f>
        <v/>
      </c>
      <c r="AN177" s="55">
        <f>IF(AK177="","",BrokeragePerOrder*2*MAX(1,N(L177)))</f>
        <v/>
      </c>
      <c r="AO177" s="55">
        <f>IF(AK177="","",STTRate*IF(I177="Buy",AE177,P177)*N177)</f>
        <v/>
      </c>
      <c r="AP177" s="55">
        <f>IF(AK177="","",ExchRate*AM177)</f>
        <v/>
      </c>
      <c r="AQ177" s="55">
        <f>IF(AK177="","",SEBIRate*AM177)</f>
        <v/>
      </c>
      <c r="AR177" s="55">
        <f>IF(AK177="","",StampRate*IF(I177="Buy",P177,AE177)*N177)</f>
        <v/>
      </c>
      <c r="AS177" s="55">
        <f>IF(AK177="","",GSTRate*(AN177+AP177+AQ177))</f>
        <v/>
      </c>
      <c r="AT177" s="55">
        <f>IF(AK177="","",AN177+AO177+AP177+AQ177+AR177+AS177)</f>
        <v/>
      </c>
      <c r="AU177" s="39">
        <f>IF(AK177="","",AK177-AT177)</f>
        <v/>
      </c>
      <c r="AV177" s="56">
        <f>IF(AU177="","",AU177/IF(N(Z177)&gt;0,Z177,RiskPerTrade))</f>
        <v/>
      </c>
      <c r="AW177" s="31">
        <f>IF(AU177="","",AU177/Capital)</f>
        <v/>
      </c>
      <c r="AX177" s="37" t="n"/>
      <c r="AY177" s="37" t="n"/>
      <c r="AZ177" s="37" t="n"/>
      <c r="BA177" s="37" t="n"/>
      <c r="BB177" s="37" t="n"/>
      <c r="BC177" s="37" t="n"/>
      <c r="BD177" s="37" t="n"/>
      <c r="BE177" s="5">
        <f>IF(AU177="","",IF(AU177&gt;0,"Win",IF(AU177&lt;0,"Loss","BE")))</f>
        <v/>
      </c>
      <c r="BF177" s="5">
        <f>IF(O177="","",LOOKUP(O177,List_BucketStart,List_BucketLabel))</f>
        <v/>
      </c>
      <c r="BG177" s="57">
        <f>IF(B177="","",B177-WEEKDAY(B177,3))</f>
        <v/>
      </c>
      <c r="BH177" s="28">
        <f>IF(B177="","",COUNTIF($B$6:B177,B177))</f>
        <v/>
      </c>
      <c r="BI177" s="39">
        <f>IF(B177="","",SUMIFS($AU$6:AU177,$B$6:B177,B177)-N(AU177))</f>
        <v/>
      </c>
      <c r="BJ177" s="5">
        <f>IF(OR(B177="",E177=""),"",IF(AND(E177=0,I177="Sell",MAX(N(O177),N(AD177))&gt;ExpiryCutoff),"BREACH","OK"))</f>
        <v/>
      </c>
      <c r="BK177" s="5">
        <f>IF(B177="","",IF(OR(AC177&lt;&gt;"OK",BJ177="BREACH",BH177&gt;MaxTradesDay,BI177&lt;=-DailyLossLimit,OR(AF177="Panic",AF177="Revenge",AF177="Rule break")),"CHECK","OK"))</f>
        <v/>
      </c>
      <c r="BL177" s="39">
        <f>IF(AU177="","",SUM($AU$6:AU177))</f>
        <v/>
      </c>
      <c r="BM177" s="39">
        <f>IF(BL177="","",Capital+BL177)</f>
        <v/>
      </c>
      <c r="BN177" s="39">
        <f>IF(BM177="","",MAX(Capital,MAX($BM$6:BM177)))</f>
        <v/>
      </c>
      <c r="BO177" s="39">
        <f>IF(BM177="","",BN177-BM177)</f>
        <v/>
      </c>
      <c r="BP177" s="58">
        <f>IF(BO177="","",BO177/BN177)</f>
        <v/>
      </c>
      <c r="BQ177" s="28">
        <f>IF(AU177="","",IF(AU177&lt;0,N(BQ176)+1,0))</f>
        <v/>
      </c>
    </row>
    <row r="178">
      <c r="A178" s="28">
        <f>IF(B178="","",COUNT($B$6:B178))</f>
        <v/>
      </c>
      <c r="B178" s="27" t="n"/>
      <c r="C178" s="5">
        <f>IF(B178="","",TEXT(B178,"ddd"))</f>
        <v/>
      </c>
      <c r="D178" s="27" t="n"/>
      <c r="E178" s="28">
        <f>IF(OR(B178="",D178=""),"",MAX(0,NETWORKDAYS(B178,D178)-1))</f>
        <v/>
      </c>
      <c r="F178" s="37" t="n"/>
      <c r="G178" s="36" t="n"/>
      <c r="H178" s="37" t="n"/>
      <c r="I178" s="37" t="n"/>
      <c r="J178" s="37" t="n"/>
      <c r="K178" s="37" t="n"/>
      <c r="L178" s="36" t="n"/>
      <c r="M178" s="36" t="n"/>
      <c r="N178" s="33">
        <f>IF(M178="","",M178*LotSize)</f>
        <v/>
      </c>
      <c r="O178" s="51" t="n"/>
      <c r="P178" s="32" t="n"/>
      <c r="Q178" s="29" t="n"/>
      <c r="R178" s="30">
        <f>IF(OR(G178="",Q178="",H178=""),"",IF(H178="CE",G178-Q178,Q178-G178))</f>
        <v/>
      </c>
      <c r="S178" s="31">
        <f>IF(R178="","",R178/Q178)</f>
        <v/>
      </c>
      <c r="T178" s="38" t="n"/>
      <c r="U178" s="32" t="n"/>
      <c r="V178" s="52" t="n"/>
      <c r="W178" s="37" t="n"/>
      <c r="X178" s="32" t="n"/>
      <c r="Y178" s="32" t="n"/>
      <c r="Z178" s="39">
        <f>IF(OR(X178="",P178="",N178=""),"",ABS(X178-P178)*N178)</f>
        <v/>
      </c>
      <c r="AA178" s="53">
        <f>IF(OR(Z178="",Y178=""),"",IF(Z178=0,"",ABS(P178-Y178)*N178/Z178))</f>
        <v/>
      </c>
      <c r="AB178" s="54">
        <f>IF(Z178="","",Z178/Capital)</f>
        <v/>
      </c>
      <c r="AC178" s="5">
        <f>IF(B178="","",IF(X178="","NO SL",IF(OR(N(M178)&gt;MaxLots,N(AB178)&gt;RiskPct),"OVERSIZED","OK")))</f>
        <v/>
      </c>
      <c r="AD178" s="51" t="n"/>
      <c r="AE178" s="32" t="n"/>
      <c r="AF178" s="37" t="n"/>
      <c r="AG178" s="32" t="n"/>
      <c r="AH178" s="32" t="n"/>
      <c r="AI178" s="39">
        <f>IF(OR(AG178="",P178="",N178=""),"",ABS(AG178-P178)*N178)</f>
        <v/>
      </c>
      <c r="AJ178" s="39">
        <f>IF(OR(AH178="",P178="",N178=""),"",ABS(P178-AH178)*N178)</f>
        <v/>
      </c>
      <c r="AK178" s="39">
        <f>IF(OR(AE178="",P178="",N178=""),"",IF(I178="Buy",AE178-P178,P178-AE178)*N178)</f>
        <v/>
      </c>
      <c r="AL178" s="39">
        <f>IF(OR(AJ178="",AK178=""),"",MAX(0,AJ178-AK178))</f>
        <v/>
      </c>
      <c r="AM178" s="39">
        <f>IF(AK178="","",(P178+AE178)*N178)</f>
        <v/>
      </c>
      <c r="AN178" s="55">
        <f>IF(AK178="","",BrokeragePerOrder*2*MAX(1,N(L178)))</f>
        <v/>
      </c>
      <c r="AO178" s="55">
        <f>IF(AK178="","",STTRate*IF(I178="Buy",AE178,P178)*N178)</f>
        <v/>
      </c>
      <c r="AP178" s="55">
        <f>IF(AK178="","",ExchRate*AM178)</f>
        <v/>
      </c>
      <c r="AQ178" s="55">
        <f>IF(AK178="","",SEBIRate*AM178)</f>
        <v/>
      </c>
      <c r="AR178" s="55">
        <f>IF(AK178="","",StampRate*IF(I178="Buy",P178,AE178)*N178)</f>
        <v/>
      </c>
      <c r="AS178" s="55">
        <f>IF(AK178="","",GSTRate*(AN178+AP178+AQ178))</f>
        <v/>
      </c>
      <c r="AT178" s="55">
        <f>IF(AK178="","",AN178+AO178+AP178+AQ178+AR178+AS178)</f>
        <v/>
      </c>
      <c r="AU178" s="39">
        <f>IF(AK178="","",AK178-AT178)</f>
        <v/>
      </c>
      <c r="AV178" s="56">
        <f>IF(AU178="","",AU178/IF(N(Z178)&gt;0,Z178,RiskPerTrade))</f>
        <v/>
      </c>
      <c r="AW178" s="31">
        <f>IF(AU178="","",AU178/Capital)</f>
        <v/>
      </c>
      <c r="AX178" s="37" t="n"/>
      <c r="AY178" s="37" t="n"/>
      <c r="AZ178" s="37" t="n"/>
      <c r="BA178" s="37" t="n"/>
      <c r="BB178" s="37" t="n"/>
      <c r="BC178" s="37" t="n"/>
      <c r="BD178" s="37" t="n"/>
      <c r="BE178" s="5">
        <f>IF(AU178="","",IF(AU178&gt;0,"Win",IF(AU178&lt;0,"Loss","BE")))</f>
        <v/>
      </c>
      <c r="BF178" s="5">
        <f>IF(O178="","",LOOKUP(O178,List_BucketStart,List_BucketLabel))</f>
        <v/>
      </c>
      <c r="BG178" s="57">
        <f>IF(B178="","",B178-WEEKDAY(B178,3))</f>
        <v/>
      </c>
      <c r="BH178" s="28">
        <f>IF(B178="","",COUNTIF($B$6:B178,B178))</f>
        <v/>
      </c>
      <c r="BI178" s="39">
        <f>IF(B178="","",SUMIFS($AU$6:AU178,$B$6:B178,B178)-N(AU178))</f>
        <v/>
      </c>
      <c r="BJ178" s="5">
        <f>IF(OR(B178="",E178=""),"",IF(AND(E178=0,I178="Sell",MAX(N(O178),N(AD178))&gt;ExpiryCutoff),"BREACH","OK"))</f>
        <v/>
      </c>
      <c r="BK178" s="5">
        <f>IF(B178="","",IF(OR(AC178&lt;&gt;"OK",BJ178="BREACH",BH178&gt;MaxTradesDay,BI178&lt;=-DailyLossLimit,OR(AF178="Panic",AF178="Revenge",AF178="Rule break")),"CHECK","OK"))</f>
        <v/>
      </c>
      <c r="BL178" s="39">
        <f>IF(AU178="","",SUM($AU$6:AU178))</f>
        <v/>
      </c>
      <c r="BM178" s="39">
        <f>IF(BL178="","",Capital+BL178)</f>
        <v/>
      </c>
      <c r="BN178" s="39">
        <f>IF(BM178="","",MAX(Capital,MAX($BM$6:BM178)))</f>
        <v/>
      </c>
      <c r="BO178" s="39">
        <f>IF(BM178="","",BN178-BM178)</f>
        <v/>
      </c>
      <c r="BP178" s="58">
        <f>IF(BO178="","",BO178/BN178)</f>
        <v/>
      </c>
      <c r="BQ178" s="28">
        <f>IF(AU178="","",IF(AU178&lt;0,N(BQ177)+1,0))</f>
        <v/>
      </c>
    </row>
    <row r="179">
      <c r="A179" s="28">
        <f>IF(B179="","",COUNT($B$6:B179))</f>
        <v/>
      </c>
      <c r="B179" s="27" t="n"/>
      <c r="C179" s="5">
        <f>IF(B179="","",TEXT(B179,"ddd"))</f>
        <v/>
      </c>
      <c r="D179" s="27" t="n"/>
      <c r="E179" s="28">
        <f>IF(OR(B179="",D179=""),"",MAX(0,NETWORKDAYS(B179,D179)-1))</f>
        <v/>
      </c>
      <c r="F179" s="37" t="n"/>
      <c r="G179" s="36" t="n"/>
      <c r="H179" s="37" t="n"/>
      <c r="I179" s="37" t="n"/>
      <c r="J179" s="37" t="n"/>
      <c r="K179" s="37" t="n"/>
      <c r="L179" s="36" t="n"/>
      <c r="M179" s="36" t="n"/>
      <c r="N179" s="33">
        <f>IF(M179="","",M179*LotSize)</f>
        <v/>
      </c>
      <c r="O179" s="51" t="n"/>
      <c r="P179" s="32" t="n"/>
      <c r="Q179" s="29" t="n"/>
      <c r="R179" s="30">
        <f>IF(OR(G179="",Q179="",H179=""),"",IF(H179="CE",G179-Q179,Q179-G179))</f>
        <v/>
      </c>
      <c r="S179" s="31">
        <f>IF(R179="","",R179/Q179)</f>
        <v/>
      </c>
      <c r="T179" s="38" t="n"/>
      <c r="U179" s="32" t="n"/>
      <c r="V179" s="52" t="n"/>
      <c r="W179" s="37" t="n"/>
      <c r="X179" s="32" t="n"/>
      <c r="Y179" s="32" t="n"/>
      <c r="Z179" s="39">
        <f>IF(OR(X179="",P179="",N179=""),"",ABS(X179-P179)*N179)</f>
        <v/>
      </c>
      <c r="AA179" s="53">
        <f>IF(OR(Z179="",Y179=""),"",IF(Z179=0,"",ABS(P179-Y179)*N179/Z179))</f>
        <v/>
      </c>
      <c r="AB179" s="54">
        <f>IF(Z179="","",Z179/Capital)</f>
        <v/>
      </c>
      <c r="AC179" s="5">
        <f>IF(B179="","",IF(X179="","NO SL",IF(OR(N(M179)&gt;MaxLots,N(AB179)&gt;RiskPct),"OVERSIZED","OK")))</f>
        <v/>
      </c>
      <c r="AD179" s="51" t="n"/>
      <c r="AE179" s="32" t="n"/>
      <c r="AF179" s="37" t="n"/>
      <c r="AG179" s="32" t="n"/>
      <c r="AH179" s="32" t="n"/>
      <c r="AI179" s="39">
        <f>IF(OR(AG179="",P179="",N179=""),"",ABS(AG179-P179)*N179)</f>
        <v/>
      </c>
      <c r="AJ179" s="39">
        <f>IF(OR(AH179="",P179="",N179=""),"",ABS(P179-AH179)*N179)</f>
        <v/>
      </c>
      <c r="AK179" s="39">
        <f>IF(OR(AE179="",P179="",N179=""),"",IF(I179="Buy",AE179-P179,P179-AE179)*N179)</f>
        <v/>
      </c>
      <c r="AL179" s="39">
        <f>IF(OR(AJ179="",AK179=""),"",MAX(0,AJ179-AK179))</f>
        <v/>
      </c>
      <c r="AM179" s="39">
        <f>IF(AK179="","",(P179+AE179)*N179)</f>
        <v/>
      </c>
      <c r="AN179" s="55">
        <f>IF(AK179="","",BrokeragePerOrder*2*MAX(1,N(L179)))</f>
        <v/>
      </c>
      <c r="AO179" s="55">
        <f>IF(AK179="","",STTRate*IF(I179="Buy",AE179,P179)*N179)</f>
        <v/>
      </c>
      <c r="AP179" s="55">
        <f>IF(AK179="","",ExchRate*AM179)</f>
        <v/>
      </c>
      <c r="AQ179" s="55">
        <f>IF(AK179="","",SEBIRate*AM179)</f>
        <v/>
      </c>
      <c r="AR179" s="55">
        <f>IF(AK179="","",StampRate*IF(I179="Buy",P179,AE179)*N179)</f>
        <v/>
      </c>
      <c r="AS179" s="55">
        <f>IF(AK179="","",GSTRate*(AN179+AP179+AQ179))</f>
        <v/>
      </c>
      <c r="AT179" s="55">
        <f>IF(AK179="","",AN179+AO179+AP179+AQ179+AR179+AS179)</f>
        <v/>
      </c>
      <c r="AU179" s="39">
        <f>IF(AK179="","",AK179-AT179)</f>
        <v/>
      </c>
      <c r="AV179" s="56">
        <f>IF(AU179="","",AU179/IF(N(Z179)&gt;0,Z179,RiskPerTrade))</f>
        <v/>
      </c>
      <c r="AW179" s="31">
        <f>IF(AU179="","",AU179/Capital)</f>
        <v/>
      </c>
      <c r="AX179" s="37" t="n"/>
      <c r="AY179" s="37" t="n"/>
      <c r="AZ179" s="37" t="n"/>
      <c r="BA179" s="37" t="n"/>
      <c r="BB179" s="37" t="n"/>
      <c r="BC179" s="37" t="n"/>
      <c r="BD179" s="37" t="n"/>
      <c r="BE179" s="5">
        <f>IF(AU179="","",IF(AU179&gt;0,"Win",IF(AU179&lt;0,"Loss","BE")))</f>
        <v/>
      </c>
      <c r="BF179" s="5">
        <f>IF(O179="","",LOOKUP(O179,List_BucketStart,List_BucketLabel))</f>
        <v/>
      </c>
      <c r="BG179" s="57">
        <f>IF(B179="","",B179-WEEKDAY(B179,3))</f>
        <v/>
      </c>
      <c r="BH179" s="28">
        <f>IF(B179="","",COUNTIF($B$6:B179,B179))</f>
        <v/>
      </c>
      <c r="BI179" s="39">
        <f>IF(B179="","",SUMIFS($AU$6:AU179,$B$6:B179,B179)-N(AU179))</f>
        <v/>
      </c>
      <c r="BJ179" s="5">
        <f>IF(OR(B179="",E179=""),"",IF(AND(E179=0,I179="Sell",MAX(N(O179),N(AD179))&gt;ExpiryCutoff),"BREACH","OK"))</f>
        <v/>
      </c>
      <c r="BK179" s="5">
        <f>IF(B179="","",IF(OR(AC179&lt;&gt;"OK",BJ179="BREACH",BH179&gt;MaxTradesDay,BI179&lt;=-DailyLossLimit,OR(AF179="Panic",AF179="Revenge",AF179="Rule break")),"CHECK","OK"))</f>
        <v/>
      </c>
      <c r="BL179" s="39">
        <f>IF(AU179="","",SUM($AU$6:AU179))</f>
        <v/>
      </c>
      <c r="BM179" s="39">
        <f>IF(BL179="","",Capital+BL179)</f>
        <v/>
      </c>
      <c r="BN179" s="39">
        <f>IF(BM179="","",MAX(Capital,MAX($BM$6:BM179)))</f>
        <v/>
      </c>
      <c r="BO179" s="39">
        <f>IF(BM179="","",BN179-BM179)</f>
        <v/>
      </c>
      <c r="BP179" s="58">
        <f>IF(BO179="","",BO179/BN179)</f>
        <v/>
      </c>
      <c r="BQ179" s="28">
        <f>IF(AU179="","",IF(AU179&lt;0,N(BQ178)+1,0))</f>
        <v/>
      </c>
    </row>
    <row r="180">
      <c r="A180" s="28">
        <f>IF(B180="","",COUNT($B$6:B180))</f>
        <v/>
      </c>
      <c r="B180" s="27" t="n"/>
      <c r="C180" s="5">
        <f>IF(B180="","",TEXT(B180,"ddd"))</f>
        <v/>
      </c>
      <c r="D180" s="27" t="n"/>
      <c r="E180" s="28">
        <f>IF(OR(B180="",D180=""),"",MAX(0,NETWORKDAYS(B180,D180)-1))</f>
        <v/>
      </c>
      <c r="F180" s="37" t="n"/>
      <c r="G180" s="36" t="n"/>
      <c r="H180" s="37" t="n"/>
      <c r="I180" s="37" t="n"/>
      <c r="J180" s="37" t="n"/>
      <c r="K180" s="37" t="n"/>
      <c r="L180" s="36" t="n"/>
      <c r="M180" s="36" t="n"/>
      <c r="N180" s="33">
        <f>IF(M180="","",M180*LotSize)</f>
        <v/>
      </c>
      <c r="O180" s="51" t="n"/>
      <c r="P180" s="32" t="n"/>
      <c r="Q180" s="29" t="n"/>
      <c r="R180" s="30">
        <f>IF(OR(G180="",Q180="",H180=""),"",IF(H180="CE",G180-Q180,Q180-G180))</f>
        <v/>
      </c>
      <c r="S180" s="31">
        <f>IF(R180="","",R180/Q180)</f>
        <v/>
      </c>
      <c r="T180" s="38" t="n"/>
      <c r="U180" s="32" t="n"/>
      <c r="V180" s="52" t="n"/>
      <c r="W180" s="37" t="n"/>
      <c r="X180" s="32" t="n"/>
      <c r="Y180" s="32" t="n"/>
      <c r="Z180" s="39">
        <f>IF(OR(X180="",P180="",N180=""),"",ABS(X180-P180)*N180)</f>
        <v/>
      </c>
      <c r="AA180" s="53">
        <f>IF(OR(Z180="",Y180=""),"",IF(Z180=0,"",ABS(P180-Y180)*N180/Z180))</f>
        <v/>
      </c>
      <c r="AB180" s="54">
        <f>IF(Z180="","",Z180/Capital)</f>
        <v/>
      </c>
      <c r="AC180" s="5">
        <f>IF(B180="","",IF(X180="","NO SL",IF(OR(N(M180)&gt;MaxLots,N(AB180)&gt;RiskPct),"OVERSIZED","OK")))</f>
        <v/>
      </c>
      <c r="AD180" s="51" t="n"/>
      <c r="AE180" s="32" t="n"/>
      <c r="AF180" s="37" t="n"/>
      <c r="AG180" s="32" t="n"/>
      <c r="AH180" s="32" t="n"/>
      <c r="AI180" s="39">
        <f>IF(OR(AG180="",P180="",N180=""),"",ABS(AG180-P180)*N180)</f>
        <v/>
      </c>
      <c r="AJ180" s="39">
        <f>IF(OR(AH180="",P180="",N180=""),"",ABS(P180-AH180)*N180)</f>
        <v/>
      </c>
      <c r="AK180" s="39">
        <f>IF(OR(AE180="",P180="",N180=""),"",IF(I180="Buy",AE180-P180,P180-AE180)*N180)</f>
        <v/>
      </c>
      <c r="AL180" s="39">
        <f>IF(OR(AJ180="",AK180=""),"",MAX(0,AJ180-AK180))</f>
        <v/>
      </c>
      <c r="AM180" s="39">
        <f>IF(AK180="","",(P180+AE180)*N180)</f>
        <v/>
      </c>
      <c r="AN180" s="55">
        <f>IF(AK180="","",BrokeragePerOrder*2*MAX(1,N(L180)))</f>
        <v/>
      </c>
      <c r="AO180" s="55">
        <f>IF(AK180="","",STTRate*IF(I180="Buy",AE180,P180)*N180)</f>
        <v/>
      </c>
      <c r="AP180" s="55">
        <f>IF(AK180="","",ExchRate*AM180)</f>
        <v/>
      </c>
      <c r="AQ180" s="55">
        <f>IF(AK180="","",SEBIRate*AM180)</f>
        <v/>
      </c>
      <c r="AR180" s="55">
        <f>IF(AK180="","",StampRate*IF(I180="Buy",P180,AE180)*N180)</f>
        <v/>
      </c>
      <c r="AS180" s="55">
        <f>IF(AK180="","",GSTRate*(AN180+AP180+AQ180))</f>
        <v/>
      </c>
      <c r="AT180" s="55">
        <f>IF(AK180="","",AN180+AO180+AP180+AQ180+AR180+AS180)</f>
        <v/>
      </c>
      <c r="AU180" s="39">
        <f>IF(AK180="","",AK180-AT180)</f>
        <v/>
      </c>
      <c r="AV180" s="56">
        <f>IF(AU180="","",AU180/IF(N(Z180)&gt;0,Z180,RiskPerTrade))</f>
        <v/>
      </c>
      <c r="AW180" s="31">
        <f>IF(AU180="","",AU180/Capital)</f>
        <v/>
      </c>
      <c r="AX180" s="37" t="n"/>
      <c r="AY180" s="37" t="n"/>
      <c r="AZ180" s="37" t="n"/>
      <c r="BA180" s="37" t="n"/>
      <c r="BB180" s="37" t="n"/>
      <c r="BC180" s="37" t="n"/>
      <c r="BD180" s="37" t="n"/>
      <c r="BE180" s="5">
        <f>IF(AU180="","",IF(AU180&gt;0,"Win",IF(AU180&lt;0,"Loss","BE")))</f>
        <v/>
      </c>
      <c r="BF180" s="5">
        <f>IF(O180="","",LOOKUP(O180,List_BucketStart,List_BucketLabel))</f>
        <v/>
      </c>
      <c r="BG180" s="57">
        <f>IF(B180="","",B180-WEEKDAY(B180,3))</f>
        <v/>
      </c>
      <c r="BH180" s="28">
        <f>IF(B180="","",COUNTIF($B$6:B180,B180))</f>
        <v/>
      </c>
      <c r="BI180" s="39">
        <f>IF(B180="","",SUMIFS($AU$6:AU180,$B$6:B180,B180)-N(AU180))</f>
        <v/>
      </c>
      <c r="BJ180" s="5">
        <f>IF(OR(B180="",E180=""),"",IF(AND(E180=0,I180="Sell",MAX(N(O180),N(AD180))&gt;ExpiryCutoff),"BREACH","OK"))</f>
        <v/>
      </c>
      <c r="BK180" s="5">
        <f>IF(B180="","",IF(OR(AC180&lt;&gt;"OK",BJ180="BREACH",BH180&gt;MaxTradesDay,BI180&lt;=-DailyLossLimit,OR(AF180="Panic",AF180="Revenge",AF180="Rule break")),"CHECK","OK"))</f>
        <v/>
      </c>
      <c r="BL180" s="39">
        <f>IF(AU180="","",SUM($AU$6:AU180))</f>
        <v/>
      </c>
      <c r="BM180" s="39">
        <f>IF(BL180="","",Capital+BL180)</f>
        <v/>
      </c>
      <c r="BN180" s="39">
        <f>IF(BM180="","",MAX(Capital,MAX($BM$6:BM180)))</f>
        <v/>
      </c>
      <c r="BO180" s="39">
        <f>IF(BM180="","",BN180-BM180)</f>
        <v/>
      </c>
      <c r="BP180" s="58">
        <f>IF(BO180="","",BO180/BN180)</f>
        <v/>
      </c>
      <c r="BQ180" s="28">
        <f>IF(AU180="","",IF(AU180&lt;0,N(BQ179)+1,0))</f>
        <v/>
      </c>
    </row>
    <row r="181">
      <c r="A181" s="28">
        <f>IF(B181="","",COUNT($B$6:B181))</f>
        <v/>
      </c>
      <c r="B181" s="27" t="n"/>
      <c r="C181" s="5">
        <f>IF(B181="","",TEXT(B181,"ddd"))</f>
        <v/>
      </c>
      <c r="D181" s="27" t="n"/>
      <c r="E181" s="28">
        <f>IF(OR(B181="",D181=""),"",MAX(0,NETWORKDAYS(B181,D181)-1))</f>
        <v/>
      </c>
      <c r="F181" s="37" t="n"/>
      <c r="G181" s="36" t="n"/>
      <c r="H181" s="37" t="n"/>
      <c r="I181" s="37" t="n"/>
      <c r="J181" s="37" t="n"/>
      <c r="K181" s="37" t="n"/>
      <c r="L181" s="36" t="n"/>
      <c r="M181" s="36" t="n"/>
      <c r="N181" s="33">
        <f>IF(M181="","",M181*LotSize)</f>
        <v/>
      </c>
      <c r="O181" s="51" t="n"/>
      <c r="P181" s="32" t="n"/>
      <c r="Q181" s="29" t="n"/>
      <c r="R181" s="30">
        <f>IF(OR(G181="",Q181="",H181=""),"",IF(H181="CE",G181-Q181,Q181-G181))</f>
        <v/>
      </c>
      <c r="S181" s="31">
        <f>IF(R181="","",R181/Q181)</f>
        <v/>
      </c>
      <c r="T181" s="38" t="n"/>
      <c r="U181" s="32" t="n"/>
      <c r="V181" s="52" t="n"/>
      <c r="W181" s="37" t="n"/>
      <c r="X181" s="32" t="n"/>
      <c r="Y181" s="32" t="n"/>
      <c r="Z181" s="39">
        <f>IF(OR(X181="",P181="",N181=""),"",ABS(X181-P181)*N181)</f>
        <v/>
      </c>
      <c r="AA181" s="53">
        <f>IF(OR(Z181="",Y181=""),"",IF(Z181=0,"",ABS(P181-Y181)*N181/Z181))</f>
        <v/>
      </c>
      <c r="AB181" s="54">
        <f>IF(Z181="","",Z181/Capital)</f>
        <v/>
      </c>
      <c r="AC181" s="5">
        <f>IF(B181="","",IF(X181="","NO SL",IF(OR(N(M181)&gt;MaxLots,N(AB181)&gt;RiskPct),"OVERSIZED","OK")))</f>
        <v/>
      </c>
      <c r="AD181" s="51" t="n"/>
      <c r="AE181" s="32" t="n"/>
      <c r="AF181" s="37" t="n"/>
      <c r="AG181" s="32" t="n"/>
      <c r="AH181" s="32" t="n"/>
      <c r="AI181" s="39">
        <f>IF(OR(AG181="",P181="",N181=""),"",ABS(AG181-P181)*N181)</f>
        <v/>
      </c>
      <c r="AJ181" s="39">
        <f>IF(OR(AH181="",P181="",N181=""),"",ABS(P181-AH181)*N181)</f>
        <v/>
      </c>
      <c r="AK181" s="39">
        <f>IF(OR(AE181="",P181="",N181=""),"",IF(I181="Buy",AE181-P181,P181-AE181)*N181)</f>
        <v/>
      </c>
      <c r="AL181" s="39">
        <f>IF(OR(AJ181="",AK181=""),"",MAX(0,AJ181-AK181))</f>
        <v/>
      </c>
      <c r="AM181" s="39">
        <f>IF(AK181="","",(P181+AE181)*N181)</f>
        <v/>
      </c>
      <c r="AN181" s="55">
        <f>IF(AK181="","",BrokeragePerOrder*2*MAX(1,N(L181)))</f>
        <v/>
      </c>
      <c r="AO181" s="55">
        <f>IF(AK181="","",STTRate*IF(I181="Buy",AE181,P181)*N181)</f>
        <v/>
      </c>
      <c r="AP181" s="55">
        <f>IF(AK181="","",ExchRate*AM181)</f>
        <v/>
      </c>
      <c r="AQ181" s="55">
        <f>IF(AK181="","",SEBIRate*AM181)</f>
        <v/>
      </c>
      <c r="AR181" s="55">
        <f>IF(AK181="","",StampRate*IF(I181="Buy",P181,AE181)*N181)</f>
        <v/>
      </c>
      <c r="AS181" s="55">
        <f>IF(AK181="","",GSTRate*(AN181+AP181+AQ181))</f>
        <v/>
      </c>
      <c r="AT181" s="55">
        <f>IF(AK181="","",AN181+AO181+AP181+AQ181+AR181+AS181)</f>
        <v/>
      </c>
      <c r="AU181" s="39">
        <f>IF(AK181="","",AK181-AT181)</f>
        <v/>
      </c>
      <c r="AV181" s="56">
        <f>IF(AU181="","",AU181/IF(N(Z181)&gt;0,Z181,RiskPerTrade))</f>
        <v/>
      </c>
      <c r="AW181" s="31">
        <f>IF(AU181="","",AU181/Capital)</f>
        <v/>
      </c>
      <c r="AX181" s="37" t="n"/>
      <c r="AY181" s="37" t="n"/>
      <c r="AZ181" s="37" t="n"/>
      <c r="BA181" s="37" t="n"/>
      <c r="BB181" s="37" t="n"/>
      <c r="BC181" s="37" t="n"/>
      <c r="BD181" s="37" t="n"/>
      <c r="BE181" s="5">
        <f>IF(AU181="","",IF(AU181&gt;0,"Win",IF(AU181&lt;0,"Loss","BE")))</f>
        <v/>
      </c>
      <c r="BF181" s="5">
        <f>IF(O181="","",LOOKUP(O181,List_BucketStart,List_BucketLabel))</f>
        <v/>
      </c>
      <c r="BG181" s="57">
        <f>IF(B181="","",B181-WEEKDAY(B181,3))</f>
        <v/>
      </c>
      <c r="BH181" s="28">
        <f>IF(B181="","",COUNTIF($B$6:B181,B181))</f>
        <v/>
      </c>
      <c r="BI181" s="39">
        <f>IF(B181="","",SUMIFS($AU$6:AU181,$B$6:B181,B181)-N(AU181))</f>
        <v/>
      </c>
      <c r="BJ181" s="5">
        <f>IF(OR(B181="",E181=""),"",IF(AND(E181=0,I181="Sell",MAX(N(O181),N(AD181))&gt;ExpiryCutoff),"BREACH","OK"))</f>
        <v/>
      </c>
      <c r="BK181" s="5">
        <f>IF(B181="","",IF(OR(AC181&lt;&gt;"OK",BJ181="BREACH",BH181&gt;MaxTradesDay,BI181&lt;=-DailyLossLimit,OR(AF181="Panic",AF181="Revenge",AF181="Rule break")),"CHECK","OK"))</f>
        <v/>
      </c>
      <c r="BL181" s="39">
        <f>IF(AU181="","",SUM($AU$6:AU181))</f>
        <v/>
      </c>
      <c r="BM181" s="39">
        <f>IF(BL181="","",Capital+BL181)</f>
        <v/>
      </c>
      <c r="BN181" s="39">
        <f>IF(BM181="","",MAX(Capital,MAX($BM$6:BM181)))</f>
        <v/>
      </c>
      <c r="BO181" s="39">
        <f>IF(BM181="","",BN181-BM181)</f>
        <v/>
      </c>
      <c r="BP181" s="58">
        <f>IF(BO181="","",BO181/BN181)</f>
        <v/>
      </c>
      <c r="BQ181" s="28">
        <f>IF(AU181="","",IF(AU181&lt;0,N(BQ180)+1,0))</f>
        <v/>
      </c>
    </row>
    <row r="182">
      <c r="A182" s="28">
        <f>IF(B182="","",COUNT($B$6:B182))</f>
        <v/>
      </c>
      <c r="B182" s="27" t="n"/>
      <c r="C182" s="5">
        <f>IF(B182="","",TEXT(B182,"ddd"))</f>
        <v/>
      </c>
      <c r="D182" s="27" t="n"/>
      <c r="E182" s="28">
        <f>IF(OR(B182="",D182=""),"",MAX(0,NETWORKDAYS(B182,D182)-1))</f>
        <v/>
      </c>
      <c r="F182" s="37" t="n"/>
      <c r="G182" s="36" t="n"/>
      <c r="H182" s="37" t="n"/>
      <c r="I182" s="37" t="n"/>
      <c r="J182" s="37" t="n"/>
      <c r="K182" s="37" t="n"/>
      <c r="L182" s="36" t="n"/>
      <c r="M182" s="36" t="n"/>
      <c r="N182" s="33">
        <f>IF(M182="","",M182*LotSize)</f>
        <v/>
      </c>
      <c r="O182" s="51" t="n"/>
      <c r="P182" s="32" t="n"/>
      <c r="Q182" s="29" t="n"/>
      <c r="R182" s="30">
        <f>IF(OR(G182="",Q182="",H182=""),"",IF(H182="CE",G182-Q182,Q182-G182))</f>
        <v/>
      </c>
      <c r="S182" s="31">
        <f>IF(R182="","",R182/Q182)</f>
        <v/>
      </c>
      <c r="T182" s="38" t="n"/>
      <c r="U182" s="32" t="n"/>
      <c r="V182" s="52" t="n"/>
      <c r="W182" s="37" t="n"/>
      <c r="X182" s="32" t="n"/>
      <c r="Y182" s="32" t="n"/>
      <c r="Z182" s="39">
        <f>IF(OR(X182="",P182="",N182=""),"",ABS(X182-P182)*N182)</f>
        <v/>
      </c>
      <c r="AA182" s="53">
        <f>IF(OR(Z182="",Y182=""),"",IF(Z182=0,"",ABS(P182-Y182)*N182/Z182))</f>
        <v/>
      </c>
      <c r="AB182" s="54">
        <f>IF(Z182="","",Z182/Capital)</f>
        <v/>
      </c>
      <c r="AC182" s="5">
        <f>IF(B182="","",IF(X182="","NO SL",IF(OR(N(M182)&gt;MaxLots,N(AB182)&gt;RiskPct),"OVERSIZED","OK")))</f>
        <v/>
      </c>
      <c r="AD182" s="51" t="n"/>
      <c r="AE182" s="32" t="n"/>
      <c r="AF182" s="37" t="n"/>
      <c r="AG182" s="32" t="n"/>
      <c r="AH182" s="32" t="n"/>
      <c r="AI182" s="39">
        <f>IF(OR(AG182="",P182="",N182=""),"",ABS(AG182-P182)*N182)</f>
        <v/>
      </c>
      <c r="AJ182" s="39">
        <f>IF(OR(AH182="",P182="",N182=""),"",ABS(P182-AH182)*N182)</f>
        <v/>
      </c>
      <c r="AK182" s="39">
        <f>IF(OR(AE182="",P182="",N182=""),"",IF(I182="Buy",AE182-P182,P182-AE182)*N182)</f>
        <v/>
      </c>
      <c r="AL182" s="39">
        <f>IF(OR(AJ182="",AK182=""),"",MAX(0,AJ182-AK182))</f>
        <v/>
      </c>
      <c r="AM182" s="39">
        <f>IF(AK182="","",(P182+AE182)*N182)</f>
        <v/>
      </c>
      <c r="AN182" s="55">
        <f>IF(AK182="","",BrokeragePerOrder*2*MAX(1,N(L182)))</f>
        <v/>
      </c>
      <c r="AO182" s="55">
        <f>IF(AK182="","",STTRate*IF(I182="Buy",AE182,P182)*N182)</f>
        <v/>
      </c>
      <c r="AP182" s="55">
        <f>IF(AK182="","",ExchRate*AM182)</f>
        <v/>
      </c>
      <c r="AQ182" s="55">
        <f>IF(AK182="","",SEBIRate*AM182)</f>
        <v/>
      </c>
      <c r="AR182" s="55">
        <f>IF(AK182="","",StampRate*IF(I182="Buy",P182,AE182)*N182)</f>
        <v/>
      </c>
      <c r="AS182" s="55">
        <f>IF(AK182="","",GSTRate*(AN182+AP182+AQ182))</f>
        <v/>
      </c>
      <c r="AT182" s="55">
        <f>IF(AK182="","",AN182+AO182+AP182+AQ182+AR182+AS182)</f>
        <v/>
      </c>
      <c r="AU182" s="39">
        <f>IF(AK182="","",AK182-AT182)</f>
        <v/>
      </c>
      <c r="AV182" s="56">
        <f>IF(AU182="","",AU182/IF(N(Z182)&gt;0,Z182,RiskPerTrade))</f>
        <v/>
      </c>
      <c r="AW182" s="31">
        <f>IF(AU182="","",AU182/Capital)</f>
        <v/>
      </c>
      <c r="AX182" s="37" t="n"/>
      <c r="AY182" s="37" t="n"/>
      <c r="AZ182" s="37" t="n"/>
      <c r="BA182" s="37" t="n"/>
      <c r="BB182" s="37" t="n"/>
      <c r="BC182" s="37" t="n"/>
      <c r="BD182" s="37" t="n"/>
      <c r="BE182" s="5">
        <f>IF(AU182="","",IF(AU182&gt;0,"Win",IF(AU182&lt;0,"Loss","BE")))</f>
        <v/>
      </c>
      <c r="BF182" s="5">
        <f>IF(O182="","",LOOKUP(O182,List_BucketStart,List_BucketLabel))</f>
        <v/>
      </c>
      <c r="BG182" s="57">
        <f>IF(B182="","",B182-WEEKDAY(B182,3))</f>
        <v/>
      </c>
      <c r="BH182" s="28">
        <f>IF(B182="","",COUNTIF($B$6:B182,B182))</f>
        <v/>
      </c>
      <c r="BI182" s="39">
        <f>IF(B182="","",SUMIFS($AU$6:AU182,$B$6:B182,B182)-N(AU182))</f>
        <v/>
      </c>
      <c r="BJ182" s="5">
        <f>IF(OR(B182="",E182=""),"",IF(AND(E182=0,I182="Sell",MAX(N(O182),N(AD182))&gt;ExpiryCutoff),"BREACH","OK"))</f>
        <v/>
      </c>
      <c r="BK182" s="5">
        <f>IF(B182="","",IF(OR(AC182&lt;&gt;"OK",BJ182="BREACH",BH182&gt;MaxTradesDay,BI182&lt;=-DailyLossLimit,OR(AF182="Panic",AF182="Revenge",AF182="Rule break")),"CHECK","OK"))</f>
        <v/>
      </c>
      <c r="BL182" s="39">
        <f>IF(AU182="","",SUM($AU$6:AU182))</f>
        <v/>
      </c>
      <c r="BM182" s="39">
        <f>IF(BL182="","",Capital+BL182)</f>
        <v/>
      </c>
      <c r="BN182" s="39">
        <f>IF(BM182="","",MAX(Capital,MAX($BM$6:BM182)))</f>
        <v/>
      </c>
      <c r="BO182" s="39">
        <f>IF(BM182="","",BN182-BM182)</f>
        <v/>
      </c>
      <c r="BP182" s="58">
        <f>IF(BO182="","",BO182/BN182)</f>
        <v/>
      </c>
      <c r="BQ182" s="28">
        <f>IF(AU182="","",IF(AU182&lt;0,N(BQ181)+1,0))</f>
        <v/>
      </c>
    </row>
    <row r="183">
      <c r="A183" s="28">
        <f>IF(B183="","",COUNT($B$6:B183))</f>
        <v/>
      </c>
      <c r="B183" s="27" t="n"/>
      <c r="C183" s="5">
        <f>IF(B183="","",TEXT(B183,"ddd"))</f>
        <v/>
      </c>
      <c r="D183" s="27" t="n"/>
      <c r="E183" s="28">
        <f>IF(OR(B183="",D183=""),"",MAX(0,NETWORKDAYS(B183,D183)-1))</f>
        <v/>
      </c>
      <c r="F183" s="37" t="n"/>
      <c r="G183" s="36" t="n"/>
      <c r="H183" s="37" t="n"/>
      <c r="I183" s="37" t="n"/>
      <c r="J183" s="37" t="n"/>
      <c r="K183" s="37" t="n"/>
      <c r="L183" s="36" t="n"/>
      <c r="M183" s="36" t="n"/>
      <c r="N183" s="33">
        <f>IF(M183="","",M183*LotSize)</f>
        <v/>
      </c>
      <c r="O183" s="51" t="n"/>
      <c r="P183" s="32" t="n"/>
      <c r="Q183" s="29" t="n"/>
      <c r="R183" s="30">
        <f>IF(OR(G183="",Q183="",H183=""),"",IF(H183="CE",G183-Q183,Q183-G183))</f>
        <v/>
      </c>
      <c r="S183" s="31">
        <f>IF(R183="","",R183/Q183)</f>
        <v/>
      </c>
      <c r="T183" s="38" t="n"/>
      <c r="U183" s="32" t="n"/>
      <c r="V183" s="52" t="n"/>
      <c r="W183" s="37" t="n"/>
      <c r="X183" s="32" t="n"/>
      <c r="Y183" s="32" t="n"/>
      <c r="Z183" s="39">
        <f>IF(OR(X183="",P183="",N183=""),"",ABS(X183-P183)*N183)</f>
        <v/>
      </c>
      <c r="AA183" s="53">
        <f>IF(OR(Z183="",Y183=""),"",IF(Z183=0,"",ABS(P183-Y183)*N183/Z183))</f>
        <v/>
      </c>
      <c r="AB183" s="54">
        <f>IF(Z183="","",Z183/Capital)</f>
        <v/>
      </c>
      <c r="AC183" s="5">
        <f>IF(B183="","",IF(X183="","NO SL",IF(OR(N(M183)&gt;MaxLots,N(AB183)&gt;RiskPct),"OVERSIZED","OK")))</f>
        <v/>
      </c>
      <c r="AD183" s="51" t="n"/>
      <c r="AE183" s="32" t="n"/>
      <c r="AF183" s="37" t="n"/>
      <c r="AG183" s="32" t="n"/>
      <c r="AH183" s="32" t="n"/>
      <c r="AI183" s="39">
        <f>IF(OR(AG183="",P183="",N183=""),"",ABS(AG183-P183)*N183)</f>
        <v/>
      </c>
      <c r="AJ183" s="39">
        <f>IF(OR(AH183="",P183="",N183=""),"",ABS(P183-AH183)*N183)</f>
        <v/>
      </c>
      <c r="AK183" s="39">
        <f>IF(OR(AE183="",P183="",N183=""),"",IF(I183="Buy",AE183-P183,P183-AE183)*N183)</f>
        <v/>
      </c>
      <c r="AL183" s="39">
        <f>IF(OR(AJ183="",AK183=""),"",MAX(0,AJ183-AK183))</f>
        <v/>
      </c>
      <c r="AM183" s="39">
        <f>IF(AK183="","",(P183+AE183)*N183)</f>
        <v/>
      </c>
      <c r="AN183" s="55">
        <f>IF(AK183="","",BrokeragePerOrder*2*MAX(1,N(L183)))</f>
        <v/>
      </c>
      <c r="AO183" s="55">
        <f>IF(AK183="","",STTRate*IF(I183="Buy",AE183,P183)*N183)</f>
        <v/>
      </c>
      <c r="AP183" s="55">
        <f>IF(AK183="","",ExchRate*AM183)</f>
        <v/>
      </c>
      <c r="AQ183" s="55">
        <f>IF(AK183="","",SEBIRate*AM183)</f>
        <v/>
      </c>
      <c r="AR183" s="55">
        <f>IF(AK183="","",StampRate*IF(I183="Buy",P183,AE183)*N183)</f>
        <v/>
      </c>
      <c r="AS183" s="55">
        <f>IF(AK183="","",GSTRate*(AN183+AP183+AQ183))</f>
        <v/>
      </c>
      <c r="AT183" s="55">
        <f>IF(AK183="","",AN183+AO183+AP183+AQ183+AR183+AS183)</f>
        <v/>
      </c>
      <c r="AU183" s="39">
        <f>IF(AK183="","",AK183-AT183)</f>
        <v/>
      </c>
      <c r="AV183" s="56">
        <f>IF(AU183="","",AU183/IF(N(Z183)&gt;0,Z183,RiskPerTrade))</f>
        <v/>
      </c>
      <c r="AW183" s="31">
        <f>IF(AU183="","",AU183/Capital)</f>
        <v/>
      </c>
      <c r="AX183" s="37" t="n"/>
      <c r="AY183" s="37" t="n"/>
      <c r="AZ183" s="37" t="n"/>
      <c r="BA183" s="37" t="n"/>
      <c r="BB183" s="37" t="n"/>
      <c r="BC183" s="37" t="n"/>
      <c r="BD183" s="37" t="n"/>
      <c r="BE183" s="5">
        <f>IF(AU183="","",IF(AU183&gt;0,"Win",IF(AU183&lt;0,"Loss","BE")))</f>
        <v/>
      </c>
      <c r="BF183" s="5">
        <f>IF(O183="","",LOOKUP(O183,List_BucketStart,List_BucketLabel))</f>
        <v/>
      </c>
      <c r="BG183" s="57">
        <f>IF(B183="","",B183-WEEKDAY(B183,3))</f>
        <v/>
      </c>
      <c r="BH183" s="28">
        <f>IF(B183="","",COUNTIF($B$6:B183,B183))</f>
        <v/>
      </c>
      <c r="BI183" s="39">
        <f>IF(B183="","",SUMIFS($AU$6:AU183,$B$6:B183,B183)-N(AU183))</f>
        <v/>
      </c>
      <c r="BJ183" s="5">
        <f>IF(OR(B183="",E183=""),"",IF(AND(E183=0,I183="Sell",MAX(N(O183),N(AD183))&gt;ExpiryCutoff),"BREACH","OK"))</f>
        <v/>
      </c>
      <c r="BK183" s="5">
        <f>IF(B183="","",IF(OR(AC183&lt;&gt;"OK",BJ183="BREACH",BH183&gt;MaxTradesDay,BI183&lt;=-DailyLossLimit,OR(AF183="Panic",AF183="Revenge",AF183="Rule break")),"CHECK","OK"))</f>
        <v/>
      </c>
      <c r="BL183" s="39">
        <f>IF(AU183="","",SUM($AU$6:AU183))</f>
        <v/>
      </c>
      <c r="BM183" s="39">
        <f>IF(BL183="","",Capital+BL183)</f>
        <v/>
      </c>
      <c r="BN183" s="39">
        <f>IF(BM183="","",MAX(Capital,MAX($BM$6:BM183)))</f>
        <v/>
      </c>
      <c r="BO183" s="39">
        <f>IF(BM183="","",BN183-BM183)</f>
        <v/>
      </c>
      <c r="BP183" s="58">
        <f>IF(BO183="","",BO183/BN183)</f>
        <v/>
      </c>
      <c r="BQ183" s="28">
        <f>IF(AU183="","",IF(AU183&lt;0,N(BQ182)+1,0))</f>
        <v/>
      </c>
    </row>
    <row r="184">
      <c r="A184" s="28">
        <f>IF(B184="","",COUNT($B$6:B184))</f>
        <v/>
      </c>
      <c r="B184" s="27" t="n"/>
      <c r="C184" s="5">
        <f>IF(B184="","",TEXT(B184,"ddd"))</f>
        <v/>
      </c>
      <c r="D184" s="27" t="n"/>
      <c r="E184" s="28">
        <f>IF(OR(B184="",D184=""),"",MAX(0,NETWORKDAYS(B184,D184)-1))</f>
        <v/>
      </c>
      <c r="F184" s="37" t="n"/>
      <c r="G184" s="36" t="n"/>
      <c r="H184" s="37" t="n"/>
      <c r="I184" s="37" t="n"/>
      <c r="J184" s="37" t="n"/>
      <c r="K184" s="37" t="n"/>
      <c r="L184" s="36" t="n"/>
      <c r="M184" s="36" t="n"/>
      <c r="N184" s="33">
        <f>IF(M184="","",M184*LotSize)</f>
        <v/>
      </c>
      <c r="O184" s="51" t="n"/>
      <c r="P184" s="32" t="n"/>
      <c r="Q184" s="29" t="n"/>
      <c r="R184" s="30">
        <f>IF(OR(G184="",Q184="",H184=""),"",IF(H184="CE",G184-Q184,Q184-G184))</f>
        <v/>
      </c>
      <c r="S184" s="31">
        <f>IF(R184="","",R184/Q184)</f>
        <v/>
      </c>
      <c r="T184" s="38" t="n"/>
      <c r="U184" s="32" t="n"/>
      <c r="V184" s="52" t="n"/>
      <c r="W184" s="37" t="n"/>
      <c r="X184" s="32" t="n"/>
      <c r="Y184" s="32" t="n"/>
      <c r="Z184" s="39">
        <f>IF(OR(X184="",P184="",N184=""),"",ABS(X184-P184)*N184)</f>
        <v/>
      </c>
      <c r="AA184" s="53">
        <f>IF(OR(Z184="",Y184=""),"",IF(Z184=0,"",ABS(P184-Y184)*N184/Z184))</f>
        <v/>
      </c>
      <c r="AB184" s="54">
        <f>IF(Z184="","",Z184/Capital)</f>
        <v/>
      </c>
      <c r="AC184" s="5">
        <f>IF(B184="","",IF(X184="","NO SL",IF(OR(N(M184)&gt;MaxLots,N(AB184)&gt;RiskPct),"OVERSIZED","OK")))</f>
        <v/>
      </c>
      <c r="AD184" s="51" t="n"/>
      <c r="AE184" s="32" t="n"/>
      <c r="AF184" s="37" t="n"/>
      <c r="AG184" s="32" t="n"/>
      <c r="AH184" s="32" t="n"/>
      <c r="AI184" s="39">
        <f>IF(OR(AG184="",P184="",N184=""),"",ABS(AG184-P184)*N184)</f>
        <v/>
      </c>
      <c r="AJ184" s="39">
        <f>IF(OR(AH184="",P184="",N184=""),"",ABS(P184-AH184)*N184)</f>
        <v/>
      </c>
      <c r="AK184" s="39">
        <f>IF(OR(AE184="",P184="",N184=""),"",IF(I184="Buy",AE184-P184,P184-AE184)*N184)</f>
        <v/>
      </c>
      <c r="AL184" s="39">
        <f>IF(OR(AJ184="",AK184=""),"",MAX(0,AJ184-AK184))</f>
        <v/>
      </c>
      <c r="AM184" s="39">
        <f>IF(AK184="","",(P184+AE184)*N184)</f>
        <v/>
      </c>
      <c r="AN184" s="55">
        <f>IF(AK184="","",BrokeragePerOrder*2*MAX(1,N(L184)))</f>
        <v/>
      </c>
      <c r="AO184" s="55">
        <f>IF(AK184="","",STTRate*IF(I184="Buy",AE184,P184)*N184)</f>
        <v/>
      </c>
      <c r="AP184" s="55">
        <f>IF(AK184="","",ExchRate*AM184)</f>
        <v/>
      </c>
      <c r="AQ184" s="55">
        <f>IF(AK184="","",SEBIRate*AM184)</f>
        <v/>
      </c>
      <c r="AR184" s="55">
        <f>IF(AK184="","",StampRate*IF(I184="Buy",P184,AE184)*N184)</f>
        <v/>
      </c>
      <c r="AS184" s="55">
        <f>IF(AK184="","",GSTRate*(AN184+AP184+AQ184))</f>
        <v/>
      </c>
      <c r="AT184" s="55">
        <f>IF(AK184="","",AN184+AO184+AP184+AQ184+AR184+AS184)</f>
        <v/>
      </c>
      <c r="AU184" s="39">
        <f>IF(AK184="","",AK184-AT184)</f>
        <v/>
      </c>
      <c r="AV184" s="56">
        <f>IF(AU184="","",AU184/IF(N(Z184)&gt;0,Z184,RiskPerTrade))</f>
        <v/>
      </c>
      <c r="AW184" s="31">
        <f>IF(AU184="","",AU184/Capital)</f>
        <v/>
      </c>
      <c r="AX184" s="37" t="n"/>
      <c r="AY184" s="37" t="n"/>
      <c r="AZ184" s="37" t="n"/>
      <c r="BA184" s="37" t="n"/>
      <c r="BB184" s="37" t="n"/>
      <c r="BC184" s="37" t="n"/>
      <c r="BD184" s="37" t="n"/>
      <c r="BE184" s="5">
        <f>IF(AU184="","",IF(AU184&gt;0,"Win",IF(AU184&lt;0,"Loss","BE")))</f>
        <v/>
      </c>
      <c r="BF184" s="5">
        <f>IF(O184="","",LOOKUP(O184,List_BucketStart,List_BucketLabel))</f>
        <v/>
      </c>
      <c r="BG184" s="57">
        <f>IF(B184="","",B184-WEEKDAY(B184,3))</f>
        <v/>
      </c>
      <c r="BH184" s="28">
        <f>IF(B184="","",COUNTIF($B$6:B184,B184))</f>
        <v/>
      </c>
      <c r="BI184" s="39">
        <f>IF(B184="","",SUMIFS($AU$6:AU184,$B$6:B184,B184)-N(AU184))</f>
        <v/>
      </c>
      <c r="BJ184" s="5">
        <f>IF(OR(B184="",E184=""),"",IF(AND(E184=0,I184="Sell",MAX(N(O184),N(AD184))&gt;ExpiryCutoff),"BREACH","OK"))</f>
        <v/>
      </c>
      <c r="BK184" s="5">
        <f>IF(B184="","",IF(OR(AC184&lt;&gt;"OK",BJ184="BREACH",BH184&gt;MaxTradesDay,BI184&lt;=-DailyLossLimit,OR(AF184="Panic",AF184="Revenge",AF184="Rule break")),"CHECK","OK"))</f>
        <v/>
      </c>
      <c r="BL184" s="39">
        <f>IF(AU184="","",SUM($AU$6:AU184))</f>
        <v/>
      </c>
      <c r="BM184" s="39">
        <f>IF(BL184="","",Capital+BL184)</f>
        <v/>
      </c>
      <c r="BN184" s="39">
        <f>IF(BM184="","",MAX(Capital,MAX($BM$6:BM184)))</f>
        <v/>
      </c>
      <c r="BO184" s="39">
        <f>IF(BM184="","",BN184-BM184)</f>
        <v/>
      </c>
      <c r="BP184" s="58">
        <f>IF(BO184="","",BO184/BN184)</f>
        <v/>
      </c>
      <c r="BQ184" s="28">
        <f>IF(AU184="","",IF(AU184&lt;0,N(BQ183)+1,0))</f>
        <v/>
      </c>
    </row>
    <row r="185">
      <c r="A185" s="28">
        <f>IF(B185="","",COUNT($B$6:B185))</f>
        <v/>
      </c>
      <c r="B185" s="27" t="n"/>
      <c r="C185" s="5">
        <f>IF(B185="","",TEXT(B185,"ddd"))</f>
        <v/>
      </c>
      <c r="D185" s="27" t="n"/>
      <c r="E185" s="28">
        <f>IF(OR(B185="",D185=""),"",MAX(0,NETWORKDAYS(B185,D185)-1))</f>
        <v/>
      </c>
      <c r="F185" s="37" t="n"/>
      <c r="G185" s="36" t="n"/>
      <c r="H185" s="37" t="n"/>
      <c r="I185" s="37" t="n"/>
      <c r="J185" s="37" t="n"/>
      <c r="K185" s="37" t="n"/>
      <c r="L185" s="36" t="n"/>
      <c r="M185" s="36" t="n"/>
      <c r="N185" s="33">
        <f>IF(M185="","",M185*LotSize)</f>
        <v/>
      </c>
      <c r="O185" s="51" t="n"/>
      <c r="P185" s="32" t="n"/>
      <c r="Q185" s="29" t="n"/>
      <c r="R185" s="30">
        <f>IF(OR(G185="",Q185="",H185=""),"",IF(H185="CE",G185-Q185,Q185-G185))</f>
        <v/>
      </c>
      <c r="S185" s="31">
        <f>IF(R185="","",R185/Q185)</f>
        <v/>
      </c>
      <c r="T185" s="38" t="n"/>
      <c r="U185" s="32" t="n"/>
      <c r="V185" s="52" t="n"/>
      <c r="W185" s="37" t="n"/>
      <c r="X185" s="32" t="n"/>
      <c r="Y185" s="32" t="n"/>
      <c r="Z185" s="39">
        <f>IF(OR(X185="",P185="",N185=""),"",ABS(X185-P185)*N185)</f>
        <v/>
      </c>
      <c r="AA185" s="53">
        <f>IF(OR(Z185="",Y185=""),"",IF(Z185=0,"",ABS(P185-Y185)*N185/Z185))</f>
        <v/>
      </c>
      <c r="AB185" s="54">
        <f>IF(Z185="","",Z185/Capital)</f>
        <v/>
      </c>
      <c r="AC185" s="5">
        <f>IF(B185="","",IF(X185="","NO SL",IF(OR(N(M185)&gt;MaxLots,N(AB185)&gt;RiskPct),"OVERSIZED","OK")))</f>
        <v/>
      </c>
      <c r="AD185" s="51" t="n"/>
      <c r="AE185" s="32" t="n"/>
      <c r="AF185" s="37" t="n"/>
      <c r="AG185" s="32" t="n"/>
      <c r="AH185" s="32" t="n"/>
      <c r="AI185" s="39">
        <f>IF(OR(AG185="",P185="",N185=""),"",ABS(AG185-P185)*N185)</f>
        <v/>
      </c>
      <c r="AJ185" s="39">
        <f>IF(OR(AH185="",P185="",N185=""),"",ABS(P185-AH185)*N185)</f>
        <v/>
      </c>
      <c r="AK185" s="39">
        <f>IF(OR(AE185="",P185="",N185=""),"",IF(I185="Buy",AE185-P185,P185-AE185)*N185)</f>
        <v/>
      </c>
      <c r="AL185" s="39">
        <f>IF(OR(AJ185="",AK185=""),"",MAX(0,AJ185-AK185))</f>
        <v/>
      </c>
      <c r="AM185" s="39">
        <f>IF(AK185="","",(P185+AE185)*N185)</f>
        <v/>
      </c>
      <c r="AN185" s="55">
        <f>IF(AK185="","",BrokeragePerOrder*2*MAX(1,N(L185)))</f>
        <v/>
      </c>
      <c r="AO185" s="55">
        <f>IF(AK185="","",STTRate*IF(I185="Buy",AE185,P185)*N185)</f>
        <v/>
      </c>
      <c r="AP185" s="55">
        <f>IF(AK185="","",ExchRate*AM185)</f>
        <v/>
      </c>
      <c r="AQ185" s="55">
        <f>IF(AK185="","",SEBIRate*AM185)</f>
        <v/>
      </c>
      <c r="AR185" s="55">
        <f>IF(AK185="","",StampRate*IF(I185="Buy",P185,AE185)*N185)</f>
        <v/>
      </c>
      <c r="AS185" s="55">
        <f>IF(AK185="","",GSTRate*(AN185+AP185+AQ185))</f>
        <v/>
      </c>
      <c r="AT185" s="55">
        <f>IF(AK185="","",AN185+AO185+AP185+AQ185+AR185+AS185)</f>
        <v/>
      </c>
      <c r="AU185" s="39">
        <f>IF(AK185="","",AK185-AT185)</f>
        <v/>
      </c>
      <c r="AV185" s="56">
        <f>IF(AU185="","",AU185/IF(N(Z185)&gt;0,Z185,RiskPerTrade))</f>
        <v/>
      </c>
      <c r="AW185" s="31">
        <f>IF(AU185="","",AU185/Capital)</f>
        <v/>
      </c>
      <c r="AX185" s="37" t="n"/>
      <c r="AY185" s="37" t="n"/>
      <c r="AZ185" s="37" t="n"/>
      <c r="BA185" s="37" t="n"/>
      <c r="BB185" s="37" t="n"/>
      <c r="BC185" s="37" t="n"/>
      <c r="BD185" s="37" t="n"/>
      <c r="BE185" s="5">
        <f>IF(AU185="","",IF(AU185&gt;0,"Win",IF(AU185&lt;0,"Loss","BE")))</f>
        <v/>
      </c>
      <c r="BF185" s="5">
        <f>IF(O185="","",LOOKUP(O185,List_BucketStart,List_BucketLabel))</f>
        <v/>
      </c>
      <c r="BG185" s="57">
        <f>IF(B185="","",B185-WEEKDAY(B185,3))</f>
        <v/>
      </c>
      <c r="BH185" s="28">
        <f>IF(B185="","",COUNTIF($B$6:B185,B185))</f>
        <v/>
      </c>
      <c r="BI185" s="39">
        <f>IF(B185="","",SUMIFS($AU$6:AU185,$B$6:B185,B185)-N(AU185))</f>
        <v/>
      </c>
      <c r="BJ185" s="5">
        <f>IF(OR(B185="",E185=""),"",IF(AND(E185=0,I185="Sell",MAX(N(O185),N(AD185))&gt;ExpiryCutoff),"BREACH","OK"))</f>
        <v/>
      </c>
      <c r="BK185" s="5">
        <f>IF(B185="","",IF(OR(AC185&lt;&gt;"OK",BJ185="BREACH",BH185&gt;MaxTradesDay,BI185&lt;=-DailyLossLimit,OR(AF185="Panic",AF185="Revenge",AF185="Rule break")),"CHECK","OK"))</f>
        <v/>
      </c>
      <c r="BL185" s="39">
        <f>IF(AU185="","",SUM($AU$6:AU185))</f>
        <v/>
      </c>
      <c r="BM185" s="39">
        <f>IF(BL185="","",Capital+BL185)</f>
        <v/>
      </c>
      <c r="BN185" s="39">
        <f>IF(BM185="","",MAX(Capital,MAX($BM$6:BM185)))</f>
        <v/>
      </c>
      <c r="BO185" s="39">
        <f>IF(BM185="","",BN185-BM185)</f>
        <v/>
      </c>
      <c r="BP185" s="58">
        <f>IF(BO185="","",BO185/BN185)</f>
        <v/>
      </c>
      <c r="BQ185" s="28">
        <f>IF(AU185="","",IF(AU185&lt;0,N(BQ184)+1,0))</f>
        <v/>
      </c>
    </row>
    <row r="186">
      <c r="A186" s="28">
        <f>IF(B186="","",COUNT($B$6:B186))</f>
        <v/>
      </c>
      <c r="B186" s="27" t="n"/>
      <c r="C186" s="5">
        <f>IF(B186="","",TEXT(B186,"ddd"))</f>
        <v/>
      </c>
      <c r="D186" s="27" t="n"/>
      <c r="E186" s="28">
        <f>IF(OR(B186="",D186=""),"",MAX(0,NETWORKDAYS(B186,D186)-1))</f>
        <v/>
      </c>
      <c r="F186" s="37" t="n"/>
      <c r="G186" s="36" t="n"/>
      <c r="H186" s="37" t="n"/>
      <c r="I186" s="37" t="n"/>
      <c r="J186" s="37" t="n"/>
      <c r="K186" s="37" t="n"/>
      <c r="L186" s="36" t="n"/>
      <c r="M186" s="36" t="n"/>
      <c r="N186" s="33">
        <f>IF(M186="","",M186*LotSize)</f>
        <v/>
      </c>
      <c r="O186" s="51" t="n"/>
      <c r="P186" s="32" t="n"/>
      <c r="Q186" s="29" t="n"/>
      <c r="R186" s="30">
        <f>IF(OR(G186="",Q186="",H186=""),"",IF(H186="CE",G186-Q186,Q186-G186))</f>
        <v/>
      </c>
      <c r="S186" s="31">
        <f>IF(R186="","",R186/Q186)</f>
        <v/>
      </c>
      <c r="T186" s="38" t="n"/>
      <c r="U186" s="32" t="n"/>
      <c r="V186" s="52" t="n"/>
      <c r="W186" s="37" t="n"/>
      <c r="X186" s="32" t="n"/>
      <c r="Y186" s="32" t="n"/>
      <c r="Z186" s="39">
        <f>IF(OR(X186="",P186="",N186=""),"",ABS(X186-P186)*N186)</f>
        <v/>
      </c>
      <c r="AA186" s="53">
        <f>IF(OR(Z186="",Y186=""),"",IF(Z186=0,"",ABS(P186-Y186)*N186/Z186))</f>
        <v/>
      </c>
      <c r="AB186" s="54">
        <f>IF(Z186="","",Z186/Capital)</f>
        <v/>
      </c>
      <c r="AC186" s="5">
        <f>IF(B186="","",IF(X186="","NO SL",IF(OR(N(M186)&gt;MaxLots,N(AB186)&gt;RiskPct),"OVERSIZED","OK")))</f>
        <v/>
      </c>
      <c r="AD186" s="51" t="n"/>
      <c r="AE186" s="32" t="n"/>
      <c r="AF186" s="37" t="n"/>
      <c r="AG186" s="32" t="n"/>
      <c r="AH186" s="32" t="n"/>
      <c r="AI186" s="39">
        <f>IF(OR(AG186="",P186="",N186=""),"",ABS(AG186-P186)*N186)</f>
        <v/>
      </c>
      <c r="AJ186" s="39">
        <f>IF(OR(AH186="",P186="",N186=""),"",ABS(P186-AH186)*N186)</f>
        <v/>
      </c>
      <c r="AK186" s="39">
        <f>IF(OR(AE186="",P186="",N186=""),"",IF(I186="Buy",AE186-P186,P186-AE186)*N186)</f>
        <v/>
      </c>
      <c r="AL186" s="39">
        <f>IF(OR(AJ186="",AK186=""),"",MAX(0,AJ186-AK186))</f>
        <v/>
      </c>
      <c r="AM186" s="39">
        <f>IF(AK186="","",(P186+AE186)*N186)</f>
        <v/>
      </c>
      <c r="AN186" s="55">
        <f>IF(AK186="","",BrokeragePerOrder*2*MAX(1,N(L186)))</f>
        <v/>
      </c>
      <c r="AO186" s="55">
        <f>IF(AK186="","",STTRate*IF(I186="Buy",AE186,P186)*N186)</f>
        <v/>
      </c>
      <c r="AP186" s="55">
        <f>IF(AK186="","",ExchRate*AM186)</f>
        <v/>
      </c>
      <c r="AQ186" s="55">
        <f>IF(AK186="","",SEBIRate*AM186)</f>
        <v/>
      </c>
      <c r="AR186" s="55">
        <f>IF(AK186="","",StampRate*IF(I186="Buy",P186,AE186)*N186)</f>
        <v/>
      </c>
      <c r="AS186" s="55">
        <f>IF(AK186="","",GSTRate*(AN186+AP186+AQ186))</f>
        <v/>
      </c>
      <c r="AT186" s="55">
        <f>IF(AK186="","",AN186+AO186+AP186+AQ186+AR186+AS186)</f>
        <v/>
      </c>
      <c r="AU186" s="39">
        <f>IF(AK186="","",AK186-AT186)</f>
        <v/>
      </c>
      <c r="AV186" s="56">
        <f>IF(AU186="","",AU186/IF(N(Z186)&gt;0,Z186,RiskPerTrade))</f>
        <v/>
      </c>
      <c r="AW186" s="31">
        <f>IF(AU186="","",AU186/Capital)</f>
        <v/>
      </c>
      <c r="AX186" s="37" t="n"/>
      <c r="AY186" s="37" t="n"/>
      <c r="AZ186" s="37" t="n"/>
      <c r="BA186" s="37" t="n"/>
      <c r="BB186" s="37" t="n"/>
      <c r="BC186" s="37" t="n"/>
      <c r="BD186" s="37" t="n"/>
      <c r="BE186" s="5">
        <f>IF(AU186="","",IF(AU186&gt;0,"Win",IF(AU186&lt;0,"Loss","BE")))</f>
        <v/>
      </c>
      <c r="BF186" s="5">
        <f>IF(O186="","",LOOKUP(O186,List_BucketStart,List_BucketLabel))</f>
        <v/>
      </c>
      <c r="BG186" s="57">
        <f>IF(B186="","",B186-WEEKDAY(B186,3))</f>
        <v/>
      </c>
      <c r="BH186" s="28">
        <f>IF(B186="","",COUNTIF($B$6:B186,B186))</f>
        <v/>
      </c>
      <c r="BI186" s="39">
        <f>IF(B186="","",SUMIFS($AU$6:AU186,$B$6:B186,B186)-N(AU186))</f>
        <v/>
      </c>
      <c r="BJ186" s="5">
        <f>IF(OR(B186="",E186=""),"",IF(AND(E186=0,I186="Sell",MAX(N(O186),N(AD186))&gt;ExpiryCutoff),"BREACH","OK"))</f>
        <v/>
      </c>
      <c r="BK186" s="5">
        <f>IF(B186="","",IF(OR(AC186&lt;&gt;"OK",BJ186="BREACH",BH186&gt;MaxTradesDay,BI186&lt;=-DailyLossLimit,OR(AF186="Panic",AF186="Revenge",AF186="Rule break")),"CHECK","OK"))</f>
        <v/>
      </c>
      <c r="BL186" s="39">
        <f>IF(AU186="","",SUM($AU$6:AU186))</f>
        <v/>
      </c>
      <c r="BM186" s="39">
        <f>IF(BL186="","",Capital+BL186)</f>
        <v/>
      </c>
      <c r="BN186" s="39">
        <f>IF(BM186="","",MAX(Capital,MAX($BM$6:BM186)))</f>
        <v/>
      </c>
      <c r="BO186" s="39">
        <f>IF(BM186="","",BN186-BM186)</f>
        <v/>
      </c>
      <c r="BP186" s="58">
        <f>IF(BO186="","",BO186/BN186)</f>
        <v/>
      </c>
      <c r="BQ186" s="28">
        <f>IF(AU186="","",IF(AU186&lt;0,N(BQ185)+1,0))</f>
        <v/>
      </c>
    </row>
    <row r="187">
      <c r="A187" s="28">
        <f>IF(B187="","",COUNT($B$6:B187))</f>
        <v/>
      </c>
      <c r="B187" s="27" t="n"/>
      <c r="C187" s="5">
        <f>IF(B187="","",TEXT(B187,"ddd"))</f>
        <v/>
      </c>
      <c r="D187" s="27" t="n"/>
      <c r="E187" s="28">
        <f>IF(OR(B187="",D187=""),"",MAX(0,NETWORKDAYS(B187,D187)-1))</f>
        <v/>
      </c>
      <c r="F187" s="37" t="n"/>
      <c r="G187" s="36" t="n"/>
      <c r="H187" s="37" t="n"/>
      <c r="I187" s="37" t="n"/>
      <c r="J187" s="37" t="n"/>
      <c r="K187" s="37" t="n"/>
      <c r="L187" s="36" t="n"/>
      <c r="M187" s="36" t="n"/>
      <c r="N187" s="33">
        <f>IF(M187="","",M187*LotSize)</f>
        <v/>
      </c>
      <c r="O187" s="51" t="n"/>
      <c r="P187" s="32" t="n"/>
      <c r="Q187" s="29" t="n"/>
      <c r="R187" s="30">
        <f>IF(OR(G187="",Q187="",H187=""),"",IF(H187="CE",G187-Q187,Q187-G187))</f>
        <v/>
      </c>
      <c r="S187" s="31">
        <f>IF(R187="","",R187/Q187)</f>
        <v/>
      </c>
      <c r="T187" s="38" t="n"/>
      <c r="U187" s="32" t="n"/>
      <c r="V187" s="52" t="n"/>
      <c r="W187" s="37" t="n"/>
      <c r="X187" s="32" t="n"/>
      <c r="Y187" s="32" t="n"/>
      <c r="Z187" s="39">
        <f>IF(OR(X187="",P187="",N187=""),"",ABS(X187-P187)*N187)</f>
        <v/>
      </c>
      <c r="AA187" s="53">
        <f>IF(OR(Z187="",Y187=""),"",IF(Z187=0,"",ABS(P187-Y187)*N187/Z187))</f>
        <v/>
      </c>
      <c r="AB187" s="54">
        <f>IF(Z187="","",Z187/Capital)</f>
        <v/>
      </c>
      <c r="AC187" s="5">
        <f>IF(B187="","",IF(X187="","NO SL",IF(OR(N(M187)&gt;MaxLots,N(AB187)&gt;RiskPct),"OVERSIZED","OK")))</f>
        <v/>
      </c>
      <c r="AD187" s="51" t="n"/>
      <c r="AE187" s="32" t="n"/>
      <c r="AF187" s="37" t="n"/>
      <c r="AG187" s="32" t="n"/>
      <c r="AH187" s="32" t="n"/>
      <c r="AI187" s="39">
        <f>IF(OR(AG187="",P187="",N187=""),"",ABS(AG187-P187)*N187)</f>
        <v/>
      </c>
      <c r="AJ187" s="39">
        <f>IF(OR(AH187="",P187="",N187=""),"",ABS(P187-AH187)*N187)</f>
        <v/>
      </c>
      <c r="AK187" s="39">
        <f>IF(OR(AE187="",P187="",N187=""),"",IF(I187="Buy",AE187-P187,P187-AE187)*N187)</f>
        <v/>
      </c>
      <c r="AL187" s="39">
        <f>IF(OR(AJ187="",AK187=""),"",MAX(0,AJ187-AK187))</f>
        <v/>
      </c>
      <c r="AM187" s="39">
        <f>IF(AK187="","",(P187+AE187)*N187)</f>
        <v/>
      </c>
      <c r="AN187" s="55">
        <f>IF(AK187="","",BrokeragePerOrder*2*MAX(1,N(L187)))</f>
        <v/>
      </c>
      <c r="AO187" s="55">
        <f>IF(AK187="","",STTRate*IF(I187="Buy",AE187,P187)*N187)</f>
        <v/>
      </c>
      <c r="AP187" s="55">
        <f>IF(AK187="","",ExchRate*AM187)</f>
        <v/>
      </c>
      <c r="AQ187" s="55">
        <f>IF(AK187="","",SEBIRate*AM187)</f>
        <v/>
      </c>
      <c r="AR187" s="55">
        <f>IF(AK187="","",StampRate*IF(I187="Buy",P187,AE187)*N187)</f>
        <v/>
      </c>
      <c r="AS187" s="55">
        <f>IF(AK187="","",GSTRate*(AN187+AP187+AQ187))</f>
        <v/>
      </c>
      <c r="AT187" s="55">
        <f>IF(AK187="","",AN187+AO187+AP187+AQ187+AR187+AS187)</f>
        <v/>
      </c>
      <c r="AU187" s="39">
        <f>IF(AK187="","",AK187-AT187)</f>
        <v/>
      </c>
      <c r="AV187" s="56">
        <f>IF(AU187="","",AU187/IF(N(Z187)&gt;0,Z187,RiskPerTrade))</f>
        <v/>
      </c>
      <c r="AW187" s="31">
        <f>IF(AU187="","",AU187/Capital)</f>
        <v/>
      </c>
      <c r="AX187" s="37" t="n"/>
      <c r="AY187" s="37" t="n"/>
      <c r="AZ187" s="37" t="n"/>
      <c r="BA187" s="37" t="n"/>
      <c r="BB187" s="37" t="n"/>
      <c r="BC187" s="37" t="n"/>
      <c r="BD187" s="37" t="n"/>
      <c r="BE187" s="5">
        <f>IF(AU187="","",IF(AU187&gt;0,"Win",IF(AU187&lt;0,"Loss","BE")))</f>
        <v/>
      </c>
      <c r="BF187" s="5">
        <f>IF(O187="","",LOOKUP(O187,List_BucketStart,List_BucketLabel))</f>
        <v/>
      </c>
      <c r="BG187" s="57">
        <f>IF(B187="","",B187-WEEKDAY(B187,3))</f>
        <v/>
      </c>
      <c r="BH187" s="28">
        <f>IF(B187="","",COUNTIF($B$6:B187,B187))</f>
        <v/>
      </c>
      <c r="BI187" s="39">
        <f>IF(B187="","",SUMIFS($AU$6:AU187,$B$6:B187,B187)-N(AU187))</f>
        <v/>
      </c>
      <c r="BJ187" s="5">
        <f>IF(OR(B187="",E187=""),"",IF(AND(E187=0,I187="Sell",MAX(N(O187),N(AD187))&gt;ExpiryCutoff),"BREACH","OK"))</f>
        <v/>
      </c>
      <c r="BK187" s="5">
        <f>IF(B187="","",IF(OR(AC187&lt;&gt;"OK",BJ187="BREACH",BH187&gt;MaxTradesDay,BI187&lt;=-DailyLossLimit,OR(AF187="Panic",AF187="Revenge",AF187="Rule break")),"CHECK","OK"))</f>
        <v/>
      </c>
      <c r="BL187" s="39">
        <f>IF(AU187="","",SUM($AU$6:AU187))</f>
        <v/>
      </c>
      <c r="BM187" s="39">
        <f>IF(BL187="","",Capital+BL187)</f>
        <v/>
      </c>
      <c r="BN187" s="39">
        <f>IF(BM187="","",MAX(Capital,MAX($BM$6:BM187)))</f>
        <v/>
      </c>
      <c r="BO187" s="39">
        <f>IF(BM187="","",BN187-BM187)</f>
        <v/>
      </c>
      <c r="BP187" s="58">
        <f>IF(BO187="","",BO187/BN187)</f>
        <v/>
      </c>
      <c r="BQ187" s="28">
        <f>IF(AU187="","",IF(AU187&lt;0,N(BQ186)+1,0))</f>
        <v/>
      </c>
    </row>
    <row r="188">
      <c r="A188" s="28">
        <f>IF(B188="","",COUNT($B$6:B188))</f>
        <v/>
      </c>
      <c r="B188" s="27" t="n"/>
      <c r="C188" s="5">
        <f>IF(B188="","",TEXT(B188,"ddd"))</f>
        <v/>
      </c>
      <c r="D188" s="27" t="n"/>
      <c r="E188" s="28">
        <f>IF(OR(B188="",D188=""),"",MAX(0,NETWORKDAYS(B188,D188)-1))</f>
        <v/>
      </c>
      <c r="F188" s="37" t="n"/>
      <c r="G188" s="36" t="n"/>
      <c r="H188" s="37" t="n"/>
      <c r="I188" s="37" t="n"/>
      <c r="J188" s="37" t="n"/>
      <c r="K188" s="37" t="n"/>
      <c r="L188" s="36" t="n"/>
      <c r="M188" s="36" t="n"/>
      <c r="N188" s="33">
        <f>IF(M188="","",M188*LotSize)</f>
        <v/>
      </c>
      <c r="O188" s="51" t="n"/>
      <c r="P188" s="32" t="n"/>
      <c r="Q188" s="29" t="n"/>
      <c r="R188" s="30">
        <f>IF(OR(G188="",Q188="",H188=""),"",IF(H188="CE",G188-Q188,Q188-G188))</f>
        <v/>
      </c>
      <c r="S188" s="31">
        <f>IF(R188="","",R188/Q188)</f>
        <v/>
      </c>
      <c r="T188" s="38" t="n"/>
      <c r="U188" s="32" t="n"/>
      <c r="V188" s="52" t="n"/>
      <c r="W188" s="37" t="n"/>
      <c r="X188" s="32" t="n"/>
      <c r="Y188" s="32" t="n"/>
      <c r="Z188" s="39">
        <f>IF(OR(X188="",P188="",N188=""),"",ABS(X188-P188)*N188)</f>
        <v/>
      </c>
      <c r="AA188" s="53">
        <f>IF(OR(Z188="",Y188=""),"",IF(Z188=0,"",ABS(P188-Y188)*N188/Z188))</f>
        <v/>
      </c>
      <c r="AB188" s="54">
        <f>IF(Z188="","",Z188/Capital)</f>
        <v/>
      </c>
      <c r="AC188" s="5">
        <f>IF(B188="","",IF(X188="","NO SL",IF(OR(N(M188)&gt;MaxLots,N(AB188)&gt;RiskPct),"OVERSIZED","OK")))</f>
        <v/>
      </c>
      <c r="AD188" s="51" t="n"/>
      <c r="AE188" s="32" t="n"/>
      <c r="AF188" s="37" t="n"/>
      <c r="AG188" s="32" t="n"/>
      <c r="AH188" s="32" t="n"/>
      <c r="AI188" s="39">
        <f>IF(OR(AG188="",P188="",N188=""),"",ABS(AG188-P188)*N188)</f>
        <v/>
      </c>
      <c r="AJ188" s="39">
        <f>IF(OR(AH188="",P188="",N188=""),"",ABS(P188-AH188)*N188)</f>
        <v/>
      </c>
      <c r="AK188" s="39">
        <f>IF(OR(AE188="",P188="",N188=""),"",IF(I188="Buy",AE188-P188,P188-AE188)*N188)</f>
        <v/>
      </c>
      <c r="AL188" s="39">
        <f>IF(OR(AJ188="",AK188=""),"",MAX(0,AJ188-AK188))</f>
        <v/>
      </c>
      <c r="AM188" s="39">
        <f>IF(AK188="","",(P188+AE188)*N188)</f>
        <v/>
      </c>
      <c r="AN188" s="55">
        <f>IF(AK188="","",BrokeragePerOrder*2*MAX(1,N(L188)))</f>
        <v/>
      </c>
      <c r="AO188" s="55">
        <f>IF(AK188="","",STTRate*IF(I188="Buy",AE188,P188)*N188)</f>
        <v/>
      </c>
      <c r="AP188" s="55">
        <f>IF(AK188="","",ExchRate*AM188)</f>
        <v/>
      </c>
      <c r="AQ188" s="55">
        <f>IF(AK188="","",SEBIRate*AM188)</f>
        <v/>
      </c>
      <c r="AR188" s="55">
        <f>IF(AK188="","",StampRate*IF(I188="Buy",P188,AE188)*N188)</f>
        <v/>
      </c>
      <c r="AS188" s="55">
        <f>IF(AK188="","",GSTRate*(AN188+AP188+AQ188))</f>
        <v/>
      </c>
      <c r="AT188" s="55">
        <f>IF(AK188="","",AN188+AO188+AP188+AQ188+AR188+AS188)</f>
        <v/>
      </c>
      <c r="AU188" s="39">
        <f>IF(AK188="","",AK188-AT188)</f>
        <v/>
      </c>
      <c r="AV188" s="56">
        <f>IF(AU188="","",AU188/IF(N(Z188)&gt;0,Z188,RiskPerTrade))</f>
        <v/>
      </c>
      <c r="AW188" s="31">
        <f>IF(AU188="","",AU188/Capital)</f>
        <v/>
      </c>
      <c r="AX188" s="37" t="n"/>
      <c r="AY188" s="37" t="n"/>
      <c r="AZ188" s="37" t="n"/>
      <c r="BA188" s="37" t="n"/>
      <c r="BB188" s="37" t="n"/>
      <c r="BC188" s="37" t="n"/>
      <c r="BD188" s="37" t="n"/>
      <c r="BE188" s="5">
        <f>IF(AU188="","",IF(AU188&gt;0,"Win",IF(AU188&lt;0,"Loss","BE")))</f>
        <v/>
      </c>
      <c r="BF188" s="5">
        <f>IF(O188="","",LOOKUP(O188,List_BucketStart,List_BucketLabel))</f>
        <v/>
      </c>
      <c r="BG188" s="57">
        <f>IF(B188="","",B188-WEEKDAY(B188,3))</f>
        <v/>
      </c>
      <c r="BH188" s="28">
        <f>IF(B188="","",COUNTIF($B$6:B188,B188))</f>
        <v/>
      </c>
      <c r="BI188" s="39">
        <f>IF(B188="","",SUMIFS($AU$6:AU188,$B$6:B188,B188)-N(AU188))</f>
        <v/>
      </c>
      <c r="BJ188" s="5">
        <f>IF(OR(B188="",E188=""),"",IF(AND(E188=0,I188="Sell",MAX(N(O188),N(AD188))&gt;ExpiryCutoff),"BREACH","OK"))</f>
        <v/>
      </c>
      <c r="BK188" s="5">
        <f>IF(B188="","",IF(OR(AC188&lt;&gt;"OK",BJ188="BREACH",BH188&gt;MaxTradesDay,BI188&lt;=-DailyLossLimit,OR(AF188="Panic",AF188="Revenge",AF188="Rule break")),"CHECK","OK"))</f>
        <v/>
      </c>
      <c r="BL188" s="39">
        <f>IF(AU188="","",SUM($AU$6:AU188))</f>
        <v/>
      </c>
      <c r="BM188" s="39">
        <f>IF(BL188="","",Capital+BL188)</f>
        <v/>
      </c>
      <c r="BN188" s="39">
        <f>IF(BM188="","",MAX(Capital,MAX($BM$6:BM188)))</f>
        <v/>
      </c>
      <c r="BO188" s="39">
        <f>IF(BM188="","",BN188-BM188)</f>
        <v/>
      </c>
      <c r="BP188" s="58">
        <f>IF(BO188="","",BO188/BN188)</f>
        <v/>
      </c>
      <c r="BQ188" s="28">
        <f>IF(AU188="","",IF(AU188&lt;0,N(BQ187)+1,0))</f>
        <v/>
      </c>
    </row>
    <row r="189">
      <c r="A189" s="28">
        <f>IF(B189="","",COUNT($B$6:B189))</f>
        <v/>
      </c>
      <c r="B189" s="27" t="n"/>
      <c r="C189" s="5">
        <f>IF(B189="","",TEXT(B189,"ddd"))</f>
        <v/>
      </c>
      <c r="D189" s="27" t="n"/>
      <c r="E189" s="28">
        <f>IF(OR(B189="",D189=""),"",MAX(0,NETWORKDAYS(B189,D189)-1))</f>
        <v/>
      </c>
      <c r="F189" s="37" t="n"/>
      <c r="G189" s="36" t="n"/>
      <c r="H189" s="37" t="n"/>
      <c r="I189" s="37" t="n"/>
      <c r="J189" s="37" t="n"/>
      <c r="K189" s="37" t="n"/>
      <c r="L189" s="36" t="n"/>
      <c r="M189" s="36" t="n"/>
      <c r="N189" s="33">
        <f>IF(M189="","",M189*LotSize)</f>
        <v/>
      </c>
      <c r="O189" s="51" t="n"/>
      <c r="P189" s="32" t="n"/>
      <c r="Q189" s="29" t="n"/>
      <c r="R189" s="30">
        <f>IF(OR(G189="",Q189="",H189=""),"",IF(H189="CE",G189-Q189,Q189-G189))</f>
        <v/>
      </c>
      <c r="S189" s="31">
        <f>IF(R189="","",R189/Q189)</f>
        <v/>
      </c>
      <c r="T189" s="38" t="n"/>
      <c r="U189" s="32" t="n"/>
      <c r="V189" s="52" t="n"/>
      <c r="W189" s="37" t="n"/>
      <c r="X189" s="32" t="n"/>
      <c r="Y189" s="32" t="n"/>
      <c r="Z189" s="39">
        <f>IF(OR(X189="",P189="",N189=""),"",ABS(X189-P189)*N189)</f>
        <v/>
      </c>
      <c r="AA189" s="53">
        <f>IF(OR(Z189="",Y189=""),"",IF(Z189=0,"",ABS(P189-Y189)*N189/Z189))</f>
        <v/>
      </c>
      <c r="AB189" s="54">
        <f>IF(Z189="","",Z189/Capital)</f>
        <v/>
      </c>
      <c r="AC189" s="5">
        <f>IF(B189="","",IF(X189="","NO SL",IF(OR(N(M189)&gt;MaxLots,N(AB189)&gt;RiskPct),"OVERSIZED","OK")))</f>
        <v/>
      </c>
      <c r="AD189" s="51" t="n"/>
      <c r="AE189" s="32" t="n"/>
      <c r="AF189" s="37" t="n"/>
      <c r="AG189" s="32" t="n"/>
      <c r="AH189" s="32" t="n"/>
      <c r="AI189" s="39">
        <f>IF(OR(AG189="",P189="",N189=""),"",ABS(AG189-P189)*N189)</f>
        <v/>
      </c>
      <c r="AJ189" s="39">
        <f>IF(OR(AH189="",P189="",N189=""),"",ABS(P189-AH189)*N189)</f>
        <v/>
      </c>
      <c r="AK189" s="39">
        <f>IF(OR(AE189="",P189="",N189=""),"",IF(I189="Buy",AE189-P189,P189-AE189)*N189)</f>
        <v/>
      </c>
      <c r="AL189" s="39">
        <f>IF(OR(AJ189="",AK189=""),"",MAX(0,AJ189-AK189))</f>
        <v/>
      </c>
      <c r="AM189" s="39">
        <f>IF(AK189="","",(P189+AE189)*N189)</f>
        <v/>
      </c>
      <c r="AN189" s="55">
        <f>IF(AK189="","",BrokeragePerOrder*2*MAX(1,N(L189)))</f>
        <v/>
      </c>
      <c r="AO189" s="55">
        <f>IF(AK189="","",STTRate*IF(I189="Buy",AE189,P189)*N189)</f>
        <v/>
      </c>
      <c r="AP189" s="55">
        <f>IF(AK189="","",ExchRate*AM189)</f>
        <v/>
      </c>
      <c r="AQ189" s="55">
        <f>IF(AK189="","",SEBIRate*AM189)</f>
        <v/>
      </c>
      <c r="AR189" s="55">
        <f>IF(AK189="","",StampRate*IF(I189="Buy",P189,AE189)*N189)</f>
        <v/>
      </c>
      <c r="AS189" s="55">
        <f>IF(AK189="","",GSTRate*(AN189+AP189+AQ189))</f>
        <v/>
      </c>
      <c r="AT189" s="55">
        <f>IF(AK189="","",AN189+AO189+AP189+AQ189+AR189+AS189)</f>
        <v/>
      </c>
      <c r="AU189" s="39">
        <f>IF(AK189="","",AK189-AT189)</f>
        <v/>
      </c>
      <c r="AV189" s="56">
        <f>IF(AU189="","",AU189/IF(N(Z189)&gt;0,Z189,RiskPerTrade))</f>
        <v/>
      </c>
      <c r="AW189" s="31">
        <f>IF(AU189="","",AU189/Capital)</f>
        <v/>
      </c>
      <c r="AX189" s="37" t="n"/>
      <c r="AY189" s="37" t="n"/>
      <c r="AZ189" s="37" t="n"/>
      <c r="BA189" s="37" t="n"/>
      <c r="BB189" s="37" t="n"/>
      <c r="BC189" s="37" t="n"/>
      <c r="BD189" s="37" t="n"/>
      <c r="BE189" s="5">
        <f>IF(AU189="","",IF(AU189&gt;0,"Win",IF(AU189&lt;0,"Loss","BE")))</f>
        <v/>
      </c>
      <c r="BF189" s="5">
        <f>IF(O189="","",LOOKUP(O189,List_BucketStart,List_BucketLabel))</f>
        <v/>
      </c>
      <c r="BG189" s="57">
        <f>IF(B189="","",B189-WEEKDAY(B189,3))</f>
        <v/>
      </c>
      <c r="BH189" s="28">
        <f>IF(B189="","",COUNTIF($B$6:B189,B189))</f>
        <v/>
      </c>
      <c r="BI189" s="39">
        <f>IF(B189="","",SUMIFS($AU$6:AU189,$B$6:B189,B189)-N(AU189))</f>
        <v/>
      </c>
      <c r="BJ189" s="5">
        <f>IF(OR(B189="",E189=""),"",IF(AND(E189=0,I189="Sell",MAX(N(O189),N(AD189))&gt;ExpiryCutoff),"BREACH","OK"))</f>
        <v/>
      </c>
      <c r="BK189" s="5">
        <f>IF(B189="","",IF(OR(AC189&lt;&gt;"OK",BJ189="BREACH",BH189&gt;MaxTradesDay,BI189&lt;=-DailyLossLimit,OR(AF189="Panic",AF189="Revenge",AF189="Rule break")),"CHECK","OK"))</f>
        <v/>
      </c>
      <c r="BL189" s="39">
        <f>IF(AU189="","",SUM($AU$6:AU189))</f>
        <v/>
      </c>
      <c r="BM189" s="39">
        <f>IF(BL189="","",Capital+BL189)</f>
        <v/>
      </c>
      <c r="BN189" s="39">
        <f>IF(BM189="","",MAX(Capital,MAX($BM$6:BM189)))</f>
        <v/>
      </c>
      <c r="BO189" s="39">
        <f>IF(BM189="","",BN189-BM189)</f>
        <v/>
      </c>
      <c r="BP189" s="58">
        <f>IF(BO189="","",BO189/BN189)</f>
        <v/>
      </c>
      <c r="BQ189" s="28">
        <f>IF(AU189="","",IF(AU189&lt;0,N(BQ188)+1,0))</f>
        <v/>
      </c>
    </row>
    <row r="190">
      <c r="A190" s="28">
        <f>IF(B190="","",COUNT($B$6:B190))</f>
        <v/>
      </c>
      <c r="B190" s="27" t="n"/>
      <c r="C190" s="5">
        <f>IF(B190="","",TEXT(B190,"ddd"))</f>
        <v/>
      </c>
      <c r="D190" s="27" t="n"/>
      <c r="E190" s="28">
        <f>IF(OR(B190="",D190=""),"",MAX(0,NETWORKDAYS(B190,D190)-1))</f>
        <v/>
      </c>
      <c r="F190" s="37" t="n"/>
      <c r="G190" s="36" t="n"/>
      <c r="H190" s="37" t="n"/>
      <c r="I190" s="37" t="n"/>
      <c r="J190" s="37" t="n"/>
      <c r="K190" s="37" t="n"/>
      <c r="L190" s="36" t="n"/>
      <c r="M190" s="36" t="n"/>
      <c r="N190" s="33">
        <f>IF(M190="","",M190*LotSize)</f>
        <v/>
      </c>
      <c r="O190" s="51" t="n"/>
      <c r="P190" s="32" t="n"/>
      <c r="Q190" s="29" t="n"/>
      <c r="R190" s="30">
        <f>IF(OR(G190="",Q190="",H190=""),"",IF(H190="CE",G190-Q190,Q190-G190))</f>
        <v/>
      </c>
      <c r="S190" s="31">
        <f>IF(R190="","",R190/Q190)</f>
        <v/>
      </c>
      <c r="T190" s="38" t="n"/>
      <c r="U190" s="32" t="n"/>
      <c r="V190" s="52" t="n"/>
      <c r="W190" s="37" t="n"/>
      <c r="X190" s="32" t="n"/>
      <c r="Y190" s="32" t="n"/>
      <c r="Z190" s="39">
        <f>IF(OR(X190="",P190="",N190=""),"",ABS(X190-P190)*N190)</f>
        <v/>
      </c>
      <c r="AA190" s="53">
        <f>IF(OR(Z190="",Y190=""),"",IF(Z190=0,"",ABS(P190-Y190)*N190/Z190))</f>
        <v/>
      </c>
      <c r="AB190" s="54">
        <f>IF(Z190="","",Z190/Capital)</f>
        <v/>
      </c>
      <c r="AC190" s="5">
        <f>IF(B190="","",IF(X190="","NO SL",IF(OR(N(M190)&gt;MaxLots,N(AB190)&gt;RiskPct),"OVERSIZED","OK")))</f>
        <v/>
      </c>
      <c r="AD190" s="51" t="n"/>
      <c r="AE190" s="32" t="n"/>
      <c r="AF190" s="37" t="n"/>
      <c r="AG190" s="32" t="n"/>
      <c r="AH190" s="32" t="n"/>
      <c r="AI190" s="39">
        <f>IF(OR(AG190="",P190="",N190=""),"",ABS(AG190-P190)*N190)</f>
        <v/>
      </c>
      <c r="AJ190" s="39">
        <f>IF(OR(AH190="",P190="",N190=""),"",ABS(P190-AH190)*N190)</f>
        <v/>
      </c>
      <c r="AK190" s="39">
        <f>IF(OR(AE190="",P190="",N190=""),"",IF(I190="Buy",AE190-P190,P190-AE190)*N190)</f>
        <v/>
      </c>
      <c r="AL190" s="39">
        <f>IF(OR(AJ190="",AK190=""),"",MAX(0,AJ190-AK190))</f>
        <v/>
      </c>
      <c r="AM190" s="39">
        <f>IF(AK190="","",(P190+AE190)*N190)</f>
        <v/>
      </c>
      <c r="AN190" s="55">
        <f>IF(AK190="","",BrokeragePerOrder*2*MAX(1,N(L190)))</f>
        <v/>
      </c>
      <c r="AO190" s="55">
        <f>IF(AK190="","",STTRate*IF(I190="Buy",AE190,P190)*N190)</f>
        <v/>
      </c>
      <c r="AP190" s="55">
        <f>IF(AK190="","",ExchRate*AM190)</f>
        <v/>
      </c>
      <c r="AQ190" s="55">
        <f>IF(AK190="","",SEBIRate*AM190)</f>
        <v/>
      </c>
      <c r="AR190" s="55">
        <f>IF(AK190="","",StampRate*IF(I190="Buy",P190,AE190)*N190)</f>
        <v/>
      </c>
      <c r="AS190" s="55">
        <f>IF(AK190="","",GSTRate*(AN190+AP190+AQ190))</f>
        <v/>
      </c>
      <c r="AT190" s="55">
        <f>IF(AK190="","",AN190+AO190+AP190+AQ190+AR190+AS190)</f>
        <v/>
      </c>
      <c r="AU190" s="39">
        <f>IF(AK190="","",AK190-AT190)</f>
        <v/>
      </c>
      <c r="AV190" s="56">
        <f>IF(AU190="","",AU190/IF(N(Z190)&gt;0,Z190,RiskPerTrade))</f>
        <v/>
      </c>
      <c r="AW190" s="31">
        <f>IF(AU190="","",AU190/Capital)</f>
        <v/>
      </c>
      <c r="AX190" s="37" t="n"/>
      <c r="AY190" s="37" t="n"/>
      <c r="AZ190" s="37" t="n"/>
      <c r="BA190" s="37" t="n"/>
      <c r="BB190" s="37" t="n"/>
      <c r="BC190" s="37" t="n"/>
      <c r="BD190" s="37" t="n"/>
      <c r="BE190" s="5">
        <f>IF(AU190="","",IF(AU190&gt;0,"Win",IF(AU190&lt;0,"Loss","BE")))</f>
        <v/>
      </c>
      <c r="BF190" s="5">
        <f>IF(O190="","",LOOKUP(O190,List_BucketStart,List_BucketLabel))</f>
        <v/>
      </c>
      <c r="BG190" s="57">
        <f>IF(B190="","",B190-WEEKDAY(B190,3))</f>
        <v/>
      </c>
      <c r="BH190" s="28">
        <f>IF(B190="","",COUNTIF($B$6:B190,B190))</f>
        <v/>
      </c>
      <c r="BI190" s="39">
        <f>IF(B190="","",SUMIFS($AU$6:AU190,$B$6:B190,B190)-N(AU190))</f>
        <v/>
      </c>
      <c r="BJ190" s="5">
        <f>IF(OR(B190="",E190=""),"",IF(AND(E190=0,I190="Sell",MAX(N(O190),N(AD190))&gt;ExpiryCutoff),"BREACH","OK"))</f>
        <v/>
      </c>
      <c r="BK190" s="5">
        <f>IF(B190="","",IF(OR(AC190&lt;&gt;"OK",BJ190="BREACH",BH190&gt;MaxTradesDay,BI190&lt;=-DailyLossLimit,OR(AF190="Panic",AF190="Revenge",AF190="Rule break")),"CHECK","OK"))</f>
        <v/>
      </c>
      <c r="BL190" s="39">
        <f>IF(AU190="","",SUM($AU$6:AU190))</f>
        <v/>
      </c>
      <c r="BM190" s="39">
        <f>IF(BL190="","",Capital+BL190)</f>
        <v/>
      </c>
      <c r="BN190" s="39">
        <f>IF(BM190="","",MAX(Capital,MAX($BM$6:BM190)))</f>
        <v/>
      </c>
      <c r="BO190" s="39">
        <f>IF(BM190="","",BN190-BM190)</f>
        <v/>
      </c>
      <c r="BP190" s="58">
        <f>IF(BO190="","",BO190/BN190)</f>
        <v/>
      </c>
      <c r="BQ190" s="28">
        <f>IF(AU190="","",IF(AU190&lt;0,N(BQ189)+1,0))</f>
        <v/>
      </c>
    </row>
    <row r="191">
      <c r="A191" s="28">
        <f>IF(B191="","",COUNT($B$6:B191))</f>
        <v/>
      </c>
      <c r="B191" s="27" t="n"/>
      <c r="C191" s="5">
        <f>IF(B191="","",TEXT(B191,"ddd"))</f>
        <v/>
      </c>
      <c r="D191" s="27" t="n"/>
      <c r="E191" s="28">
        <f>IF(OR(B191="",D191=""),"",MAX(0,NETWORKDAYS(B191,D191)-1))</f>
        <v/>
      </c>
      <c r="F191" s="37" t="n"/>
      <c r="G191" s="36" t="n"/>
      <c r="H191" s="37" t="n"/>
      <c r="I191" s="37" t="n"/>
      <c r="J191" s="37" t="n"/>
      <c r="K191" s="37" t="n"/>
      <c r="L191" s="36" t="n"/>
      <c r="M191" s="36" t="n"/>
      <c r="N191" s="33">
        <f>IF(M191="","",M191*LotSize)</f>
        <v/>
      </c>
      <c r="O191" s="51" t="n"/>
      <c r="P191" s="32" t="n"/>
      <c r="Q191" s="29" t="n"/>
      <c r="R191" s="30">
        <f>IF(OR(G191="",Q191="",H191=""),"",IF(H191="CE",G191-Q191,Q191-G191))</f>
        <v/>
      </c>
      <c r="S191" s="31">
        <f>IF(R191="","",R191/Q191)</f>
        <v/>
      </c>
      <c r="T191" s="38" t="n"/>
      <c r="U191" s="32" t="n"/>
      <c r="V191" s="52" t="n"/>
      <c r="W191" s="37" t="n"/>
      <c r="X191" s="32" t="n"/>
      <c r="Y191" s="32" t="n"/>
      <c r="Z191" s="39">
        <f>IF(OR(X191="",P191="",N191=""),"",ABS(X191-P191)*N191)</f>
        <v/>
      </c>
      <c r="AA191" s="53">
        <f>IF(OR(Z191="",Y191=""),"",IF(Z191=0,"",ABS(P191-Y191)*N191/Z191))</f>
        <v/>
      </c>
      <c r="AB191" s="54">
        <f>IF(Z191="","",Z191/Capital)</f>
        <v/>
      </c>
      <c r="AC191" s="5">
        <f>IF(B191="","",IF(X191="","NO SL",IF(OR(N(M191)&gt;MaxLots,N(AB191)&gt;RiskPct),"OVERSIZED","OK")))</f>
        <v/>
      </c>
      <c r="AD191" s="51" t="n"/>
      <c r="AE191" s="32" t="n"/>
      <c r="AF191" s="37" t="n"/>
      <c r="AG191" s="32" t="n"/>
      <c r="AH191" s="32" t="n"/>
      <c r="AI191" s="39">
        <f>IF(OR(AG191="",P191="",N191=""),"",ABS(AG191-P191)*N191)</f>
        <v/>
      </c>
      <c r="AJ191" s="39">
        <f>IF(OR(AH191="",P191="",N191=""),"",ABS(P191-AH191)*N191)</f>
        <v/>
      </c>
      <c r="AK191" s="39">
        <f>IF(OR(AE191="",P191="",N191=""),"",IF(I191="Buy",AE191-P191,P191-AE191)*N191)</f>
        <v/>
      </c>
      <c r="AL191" s="39">
        <f>IF(OR(AJ191="",AK191=""),"",MAX(0,AJ191-AK191))</f>
        <v/>
      </c>
      <c r="AM191" s="39">
        <f>IF(AK191="","",(P191+AE191)*N191)</f>
        <v/>
      </c>
      <c r="AN191" s="55">
        <f>IF(AK191="","",BrokeragePerOrder*2*MAX(1,N(L191)))</f>
        <v/>
      </c>
      <c r="AO191" s="55">
        <f>IF(AK191="","",STTRate*IF(I191="Buy",AE191,P191)*N191)</f>
        <v/>
      </c>
      <c r="AP191" s="55">
        <f>IF(AK191="","",ExchRate*AM191)</f>
        <v/>
      </c>
      <c r="AQ191" s="55">
        <f>IF(AK191="","",SEBIRate*AM191)</f>
        <v/>
      </c>
      <c r="AR191" s="55">
        <f>IF(AK191="","",StampRate*IF(I191="Buy",P191,AE191)*N191)</f>
        <v/>
      </c>
      <c r="AS191" s="55">
        <f>IF(AK191="","",GSTRate*(AN191+AP191+AQ191))</f>
        <v/>
      </c>
      <c r="AT191" s="55">
        <f>IF(AK191="","",AN191+AO191+AP191+AQ191+AR191+AS191)</f>
        <v/>
      </c>
      <c r="AU191" s="39">
        <f>IF(AK191="","",AK191-AT191)</f>
        <v/>
      </c>
      <c r="AV191" s="56">
        <f>IF(AU191="","",AU191/IF(N(Z191)&gt;0,Z191,RiskPerTrade))</f>
        <v/>
      </c>
      <c r="AW191" s="31">
        <f>IF(AU191="","",AU191/Capital)</f>
        <v/>
      </c>
      <c r="AX191" s="37" t="n"/>
      <c r="AY191" s="37" t="n"/>
      <c r="AZ191" s="37" t="n"/>
      <c r="BA191" s="37" t="n"/>
      <c r="BB191" s="37" t="n"/>
      <c r="BC191" s="37" t="n"/>
      <c r="BD191" s="37" t="n"/>
      <c r="BE191" s="5">
        <f>IF(AU191="","",IF(AU191&gt;0,"Win",IF(AU191&lt;0,"Loss","BE")))</f>
        <v/>
      </c>
      <c r="BF191" s="5">
        <f>IF(O191="","",LOOKUP(O191,List_BucketStart,List_BucketLabel))</f>
        <v/>
      </c>
      <c r="BG191" s="57">
        <f>IF(B191="","",B191-WEEKDAY(B191,3))</f>
        <v/>
      </c>
      <c r="BH191" s="28">
        <f>IF(B191="","",COUNTIF($B$6:B191,B191))</f>
        <v/>
      </c>
      <c r="BI191" s="39">
        <f>IF(B191="","",SUMIFS($AU$6:AU191,$B$6:B191,B191)-N(AU191))</f>
        <v/>
      </c>
      <c r="BJ191" s="5">
        <f>IF(OR(B191="",E191=""),"",IF(AND(E191=0,I191="Sell",MAX(N(O191),N(AD191))&gt;ExpiryCutoff),"BREACH","OK"))</f>
        <v/>
      </c>
      <c r="BK191" s="5">
        <f>IF(B191="","",IF(OR(AC191&lt;&gt;"OK",BJ191="BREACH",BH191&gt;MaxTradesDay,BI191&lt;=-DailyLossLimit,OR(AF191="Panic",AF191="Revenge",AF191="Rule break")),"CHECK","OK"))</f>
        <v/>
      </c>
      <c r="BL191" s="39">
        <f>IF(AU191="","",SUM($AU$6:AU191))</f>
        <v/>
      </c>
      <c r="BM191" s="39">
        <f>IF(BL191="","",Capital+BL191)</f>
        <v/>
      </c>
      <c r="BN191" s="39">
        <f>IF(BM191="","",MAX(Capital,MAX($BM$6:BM191)))</f>
        <v/>
      </c>
      <c r="BO191" s="39">
        <f>IF(BM191="","",BN191-BM191)</f>
        <v/>
      </c>
      <c r="BP191" s="58">
        <f>IF(BO191="","",BO191/BN191)</f>
        <v/>
      </c>
      <c r="BQ191" s="28">
        <f>IF(AU191="","",IF(AU191&lt;0,N(BQ190)+1,0))</f>
        <v/>
      </c>
    </row>
    <row r="192">
      <c r="A192" s="28">
        <f>IF(B192="","",COUNT($B$6:B192))</f>
        <v/>
      </c>
      <c r="B192" s="27" t="n"/>
      <c r="C192" s="5">
        <f>IF(B192="","",TEXT(B192,"ddd"))</f>
        <v/>
      </c>
      <c r="D192" s="27" t="n"/>
      <c r="E192" s="28">
        <f>IF(OR(B192="",D192=""),"",MAX(0,NETWORKDAYS(B192,D192)-1))</f>
        <v/>
      </c>
      <c r="F192" s="37" t="n"/>
      <c r="G192" s="36" t="n"/>
      <c r="H192" s="37" t="n"/>
      <c r="I192" s="37" t="n"/>
      <c r="J192" s="37" t="n"/>
      <c r="K192" s="37" t="n"/>
      <c r="L192" s="36" t="n"/>
      <c r="M192" s="36" t="n"/>
      <c r="N192" s="33">
        <f>IF(M192="","",M192*LotSize)</f>
        <v/>
      </c>
      <c r="O192" s="51" t="n"/>
      <c r="P192" s="32" t="n"/>
      <c r="Q192" s="29" t="n"/>
      <c r="R192" s="30">
        <f>IF(OR(G192="",Q192="",H192=""),"",IF(H192="CE",G192-Q192,Q192-G192))</f>
        <v/>
      </c>
      <c r="S192" s="31">
        <f>IF(R192="","",R192/Q192)</f>
        <v/>
      </c>
      <c r="T192" s="38" t="n"/>
      <c r="U192" s="32" t="n"/>
      <c r="V192" s="52" t="n"/>
      <c r="W192" s="37" t="n"/>
      <c r="X192" s="32" t="n"/>
      <c r="Y192" s="32" t="n"/>
      <c r="Z192" s="39">
        <f>IF(OR(X192="",P192="",N192=""),"",ABS(X192-P192)*N192)</f>
        <v/>
      </c>
      <c r="AA192" s="53">
        <f>IF(OR(Z192="",Y192=""),"",IF(Z192=0,"",ABS(P192-Y192)*N192/Z192))</f>
        <v/>
      </c>
      <c r="AB192" s="54">
        <f>IF(Z192="","",Z192/Capital)</f>
        <v/>
      </c>
      <c r="AC192" s="5">
        <f>IF(B192="","",IF(X192="","NO SL",IF(OR(N(M192)&gt;MaxLots,N(AB192)&gt;RiskPct),"OVERSIZED","OK")))</f>
        <v/>
      </c>
      <c r="AD192" s="51" t="n"/>
      <c r="AE192" s="32" t="n"/>
      <c r="AF192" s="37" t="n"/>
      <c r="AG192" s="32" t="n"/>
      <c r="AH192" s="32" t="n"/>
      <c r="AI192" s="39">
        <f>IF(OR(AG192="",P192="",N192=""),"",ABS(AG192-P192)*N192)</f>
        <v/>
      </c>
      <c r="AJ192" s="39">
        <f>IF(OR(AH192="",P192="",N192=""),"",ABS(P192-AH192)*N192)</f>
        <v/>
      </c>
      <c r="AK192" s="39">
        <f>IF(OR(AE192="",P192="",N192=""),"",IF(I192="Buy",AE192-P192,P192-AE192)*N192)</f>
        <v/>
      </c>
      <c r="AL192" s="39">
        <f>IF(OR(AJ192="",AK192=""),"",MAX(0,AJ192-AK192))</f>
        <v/>
      </c>
      <c r="AM192" s="39">
        <f>IF(AK192="","",(P192+AE192)*N192)</f>
        <v/>
      </c>
      <c r="AN192" s="55">
        <f>IF(AK192="","",BrokeragePerOrder*2*MAX(1,N(L192)))</f>
        <v/>
      </c>
      <c r="AO192" s="55">
        <f>IF(AK192="","",STTRate*IF(I192="Buy",AE192,P192)*N192)</f>
        <v/>
      </c>
      <c r="AP192" s="55">
        <f>IF(AK192="","",ExchRate*AM192)</f>
        <v/>
      </c>
      <c r="AQ192" s="55">
        <f>IF(AK192="","",SEBIRate*AM192)</f>
        <v/>
      </c>
      <c r="AR192" s="55">
        <f>IF(AK192="","",StampRate*IF(I192="Buy",P192,AE192)*N192)</f>
        <v/>
      </c>
      <c r="AS192" s="55">
        <f>IF(AK192="","",GSTRate*(AN192+AP192+AQ192))</f>
        <v/>
      </c>
      <c r="AT192" s="55">
        <f>IF(AK192="","",AN192+AO192+AP192+AQ192+AR192+AS192)</f>
        <v/>
      </c>
      <c r="AU192" s="39">
        <f>IF(AK192="","",AK192-AT192)</f>
        <v/>
      </c>
      <c r="AV192" s="56">
        <f>IF(AU192="","",AU192/IF(N(Z192)&gt;0,Z192,RiskPerTrade))</f>
        <v/>
      </c>
      <c r="AW192" s="31">
        <f>IF(AU192="","",AU192/Capital)</f>
        <v/>
      </c>
      <c r="AX192" s="37" t="n"/>
      <c r="AY192" s="37" t="n"/>
      <c r="AZ192" s="37" t="n"/>
      <c r="BA192" s="37" t="n"/>
      <c r="BB192" s="37" t="n"/>
      <c r="BC192" s="37" t="n"/>
      <c r="BD192" s="37" t="n"/>
      <c r="BE192" s="5">
        <f>IF(AU192="","",IF(AU192&gt;0,"Win",IF(AU192&lt;0,"Loss","BE")))</f>
        <v/>
      </c>
      <c r="BF192" s="5">
        <f>IF(O192="","",LOOKUP(O192,List_BucketStart,List_BucketLabel))</f>
        <v/>
      </c>
      <c r="BG192" s="57">
        <f>IF(B192="","",B192-WEEKDAY(B192,3))</f>
        <v/>
      </c>
      <c r="BH192" s="28">
        <f>IF(B192="","",COUNTIF($B$6:B192,B192))</f>
        <v/>
      </c>
      <c r="BI192" s="39">
        <f>IF(B192="","",SUMIFS($AU$6:AU192,$B$6:B192,B192)-N(AU192))</f>
        <v/>
      </c>
      <c r="BJ192" s="5">
        <f>IF(OR(B192="",E192=""),"",IF(AND(E192=0,I192="Sell",MAX(N(O192),N(AD192))&gt;ExpiryCutoff),"BREACH","OK"))</f>
        <v/>
      </c>
      <c r="BK192" s="5">
        <f>IF(B192="","",IF(OR(AC192&lt;&gt;"OK",BJ192="BREACH",BH192&gt;MaxTradesDay,BI192&lt;=-DailyLossLimit,OR(AF192="Panic",AF192="Revenge",AF192="Rule break")),"CHECK","OK"))</f>
        <v/>
      </c>
      <c r="BL192" s="39">
        <f>IF(AU192="","",SUM($AU$6:AU192))</f>
        <v/>
      </c>
      <c r="BM192" s="39">
        <f>IF(BL192="","",Capital+BL192)</f>
        <v/>
      </c>
      <c r="BN192" s="39">
        <f>IF(BM192="","",MAX(Capital,MAX($BM$6:BM192)))</f>
        <v/>
      </c>
      <c r="BO192" s="39">
        <f>IF(BM192="","",BN192-BM192)</f>
        <v/>
      </c>
      <c r="BP192" s="58">
        <f>IF(BO192="","",BO192/BN192)</f>
        <v/>
      </c>
      <c r="BQ192" s="28">
        <f>IF(AU192="","",IF(AU192&lt;0,N(BQ191)+1,0))</f>
        <v/>
      </c>
    </row>
    <row r="193">
      <c r="A193" s="28">
        <f>IF(B193="","",COUNT($B$6:B193))</f>
        <v/>
      </c>
      <c r="B193" s="27" t="n"/>
      <c r="C193" s="5">
        <f>IF(B193="","",TEXT(B193,"ddd"))</f>
        <v/>
      </c>
      <c r="D193" s="27" t="n"/>
      <c r="E193" s="28">
        <f>IF(OR(B193="",D193=""),"",MAX(0,NETWORKDAYS(B193,D193)-1))</f>
        <v/>
      </c>
      <c r="F193" s="37" t="n"/>
      <c r="G193" s="36" t="n"/>
      <c r="H193" s="37" t="n"/>
      <c r="I193" s="37" t="n"/>
      <c r="J193" s="37" t="n"/>
      <c r="K193" s="37" t="n"/>
      <c r="L193" s="36" t="n"/>
      <c r="M193" s="36" t="n"/>
      <c r="N193" s="33">
        <f>IF(M193="","",M193*LotSize)</f>
        <v/>
      </c>
      <c r="O193" s="51" t="n"/>
      <c r="P193" s="32" t="n"/>
      <c r="Q193" s="29" t="n"/>
      <c r="R193" s="30">
        <f>IF(OR(G193="",Q193="",H193=""),"",IF(H193="CE",G193-Q193,Q193-G193))</f>
        <v/>
      </c>
      <c r="S193" s="31">
        <f>IF(R193="","",R193/Q193)</f>
        <v/>
      </c>
      <c r="T193" s="38" t="n"/>
      <c r="U193" s="32" t="n"/>
      <c r="V193" s="52" t="n"/>
      <c r="W193" s="37" t="n"/>
      <c r="X193" s="32" t="n"/>
      <c r="Y193" s="32" t="n"/>
      <c r="Z193" s="39">
        <f>IF(OR(X193="",P193="",N193=""),"",ABS(X193-P193)*N193)</f>
        <v/>
      </c>
      <c r="AA193" s="53">
        <f>IF(OR(Z193="",Y193=""),"",IF(Z193=0,"",ABS(P193-Y193)*N193/Z193))</f>
        <v/>
      </c>
      <c r="AB193" s="54">
        <f>IF(Z193="","",Z193/Capital)</f>
        <v/>
      </c>
      <c r="AC193" s="5">
        <f>IF(B193="","",IF(X193="","NO SL",IF(OR(N(M193)&gt;MaxLots,N(AB193)&gt;RiskPct),"OVERSIZED","OK")))</f>
        <v/>
      </c>
      <c r="AD193" s="51" t="n"/>
      <c r="AE193" s="32" t="n"/>
      <c r="AF193" s="37" t="n"/>
      <c r="AG193" s="32" t="n"/>
      <c r="AH193" s="32" t="n"/>
      <c r="AI193" s="39">
        <f>IF(OR(AG193="",P193="",N193=""),"",ABS(AG193-P193)*N193)</f>
        <v/>
      </c>
      <c r="AJ193" s="39">
        <f>IF(OR(AH193="",P193="",N193=""),"",ABS(P193-AH193)*N193)</f>
        <v/>
      </c>
      <c r="AK193" s="39">
        <f>IF(OR(AE193="",P193="",N193=""),"",IF(I193="Buy",AE193-P193,P193-AE193)*N193)</f>
        <v/>
      </c>
      <c r="AL193" s="39">
        <f>IF(OR(AJ193="",AK193=""),"",MAX(0,AJ193-AK193))</f>
        <v/>
      </c>
      <c r="AM193" s="39">
        <f>IF(AK193="","",(P193+AE193)*N193)</f>
        <v/>
      </c>
      <c r="AN193" s="55">
        <f>IF(AK193="","",BrokeragePerOrder*2*MAX(1,N(L193)))</f>
        <v/>
      </c>
      <c r="AO193" s="55">
        <f>IF(AK193="","",STTRate*IF(I193="Buy",AE193,P193)*N193)</f>
        <v/>
      </c>
      <c r="AP193" s="55">
        <f>IF(AK193="","",ExchRate*AM193)</f>
        <v/>
      </c>
      <c r="AQ193" s="55">
        <f>IF(AK193="","",SEBIRate*AM193)</f>
        <v/>
      </c>
      <c r="AR193" s="55">
        <f>IF(AK193="","",StampRate*IF(I193="Buy",P193,AE193)*N193)</f>
        <v/>
      </c>
      <c r="AS193" s="55">
        <f>IF(AK193="","",GSTRate*(AN193+AP193+AQ193))</f>
        <v/>
      </c>
      <c r="AT193" s="55">
        <f>IF(AK193="","",AN193+AO193+AP193+AQ193+AR193+AS193)</f>
        <v/>
      </c>
      <c r="AU193" s="39">
        <f>IF(AK193="","",AK193-AT193)</f>
        <v/>
      </c>
      <c r="AV193" s="56">
        <f>IF(AU193="","",AU193/IF(N(Z193)&gt;0,Z193,RiskPerTrade))</f>
        <v/>
      </c>
      <c r="AW193" s="31">
        <f>IF(AU193="","",AU193/Capital)</f>
        <v/>
      </c>
      <c r="AX193" s="37" t="n"/>
      <c r="AY193" s="37" t="n"/>
      <c r="AZ193" s="37" t="n"/>
      <c r="BA193" s="37" t="n"/>
      <c r="BB193" s="37" t="n"/>
      <c r="BC193" s="37" t="n"/>
      <c r="BD193" s="37" t="n"/>
      <c r="BE193" s="5">
        <f>IF(AU193="","",IF(AU193&gt;0,"Win",IF(AU193&lt;0,"Loss","BE")))</f>
        <v/>
      </c>
      <c r="BF193" s="5">
        <f>IF(O193="","",LOOKUP(O193,List_BucketStart,List_BucketLabel))</f>
        <v/>
      </c>
      <c r="BG193" s="57">
        <f>IF(B193="","",B193-WEEKDAY(B193,3))</f>
        <v/>
      </c>
      <c r="BH193" s="28">
        <f>IF(B193="","",COUNTIF($B$6:B193,B193))</f>
        <v/>
      </c>
      <c r="BI193" s="39">
        <f>IF(B193="","",SUMIFS($AU$6:AU193,$B$6:B193,B193)-N(AU193))</f>
        <v/>
      </c>
      <c r="BJ193" s="5">
        <f>IF(OR(B193="",E193=""),"",IF(AND(E193=0,I193="Sell",MAX(N(O193),N(AD193))&gt;ExpiryCutoff),"BREACH","OK"))</f>
        <v/>
      </c>
      <c r="BK193" s="5">
        <f>IF(B193="","",IF(OR(AC193&lt;&gt;"OK",BJ193="BREACH",BH193&gt;MaxTradesDay,BI193&lt;=-DailyLossLimit,OR(AF193="Panic",AF193="Revenge",AF193="Rule break")),"CHECK","OK"))</f>
        <v/>
      </c>
      <c r="BL193" s="39">
        <f>IF(AU193="","",SUM($AU$6:AU193))</f>
        <v/>
      </c>
      <c r="BM193" s="39">
        <f>IF(BL193="","",Capital+BL193)</f>
        <v/>
      </c>
      <c r="BN193" s="39">
        <f>IF(BM193="","",MAX(Capital,MAX($BM$6:BM193)))</f>
        <v/>
      </c>
      <c r="BO193" s="39">
        <f>IF(BM193="","",BN193-BM193)</f>
        <v/>
      </c>
      <c r="BP193" s="58">
        <f>IF(BO193="","",BO193/BN193)</f>
        <v/>
      </c>
      <c r="BQ193" s="28">
        <f>IF(AU193="","",IF(AU193&lt;0,N(BQ192)+1,0))</f>
        <v/>
      </c>
    </row>
    <row r="194">
      <c r="A194" s="28">
        <f>IF(B194="","",COUNT($B$6:B194))</f>
        <v/>
      </c>
      <c r="B194" s="27" t="n"/>
      <c r="C194" s="5">
        <f>IF(B194="","",TEXT(B194,"ddd"))</f>
        <v/>
      </c>
      <c r="D194" s="27" t="n"/>
      <c r="E194" s="28">
        <f>IF(OR(B194="",D194=""),"",MAX(0,NETWORKDAYS(B194,D194)-1))</f>
        <v/>
      </c>
      <c r="F194" s="37" t="n"/>
      <c r="G194" s="36" t="n"/>
      <c r="H194" s="37" t="n"/>
      <c r="I194" s="37" t="n"/>
      <c r="J194" s="37" t="n"/>
      <c r="K194" s="37" t="n"/>
      <c r="L194" s="36" t="n"/>
      <c r="M194" s="36" t="n"/>
      <c r="N194" s="33">
        <f>IF(M194="","",M194*LotSize)</f>
        <v/>
      </c>
      <c r="O194" s="51" t="n"/>
      <c r="P194" s="32" t="n"/>
      <c r="Q194" s="29" t="n"/>
      <c r="R194" s="30">
        <f>IF(OR(G194="",Q194="",H194=""),"",IF(H194="CE",G194-Q194,Q194-G194))</f>
        <v/>
      </c>
      <c r="S194" s="31">
        <f>IF(R194="","",R194/Q194)</f>
        <v/>
      </c>
      <c r="T194" s="38" t="n"/>
      <c r="U194" s="32" t="n"/>
      <c r="V194" s="52" t="n"/>
      <c r="W194" s="37" t="n"/>
      <c r="X194" s="32" t="n"/>
      <c r="Y194" s="32" t="n"/>
      <c r="Z194" s="39">
        <f>IF(OR(X194="",P194="",N194=""),"",ABS(X194-P194)*N194)</f>
        <v/>
      </c>
      <c r="AA194" s="53">
        <f>IF(OR(Z194="",Y194=""),"",IF(Z194=0,"",ABS(P194-Y194)*N194/Z194))</f>
        <v/>
      </c>
      <c r="AB194" s="54">
        <f>IF(Z194="","",Z194/Capital)</f>
        <v/>
      </c>
      <c r="AC194" s="5">
        <f>IF(B194="","",IF(X194="","NO SL",IF(OR(N(M194)&gt;MaxLots,N(AB194)&gt;RiskPct),"OVERSIZED","OK")))</f>
        <v/>
      </c>
      <c r="AD194" s="51" t="n"/>
      <c r="AE194" s="32" t="n"/>
      <c r="AF194" s="37" t="n"/>
      <c r="AG194" s="32" t="n"/>
      <c r="AH194" s="32" t="n"/>
      <c r="AI194" s="39">
        <f>IF(OR(AG194="",P194="",N194=""),"",ABS(AG194-P194)*N194)</f>
        <v/>
      </c>
      <c r="AJ194" s="39">
        <f>IF(OR(AH194="",P194="",N194=""),"",ABS(P194-AH194)*N194)</f>
        <v/>
      </c>
      <c r="AK194" s="39">
        <f>IF(OR(AE194="",P194="",N194=""),"",IF(I194="Buy",AE194-P194,P194-AE194)*N194)</f>
        <v/>
      </c>
      <c r="AL194" s="39">
        <f>IF(OR(AJ194="",AK194=""),"",MAX(0,AJ194-AK194))</f>
        <v/>
      </c>
      <c r="AM194" s="39">
        <f>IF(AK194="","",(P194+AE194)*N194)</f>
        <v/>
      </c>
      <c r="AN194" s="55">
        <f>IF(AK194="","",BrokeragePerOrder*2*MAX(1,N(L194)))</f>
        <v/>
      </c>
      <c r="AO194" s="55">
        <f>IF(AK194="","",STTRate*IF(I194="Buy",AE194,P194)*N194)</f>
        <v/>
      </c>
      <c r="AP194" s="55">
        <f>IF(AK194="","",ExchRate*AM194)</f>
        <v/>
      </c>
      <c r="AQ194" s="55">
        <f>IF(AK194="","",SEBIRate*AM194)</f>
        <v/>
      </c>
      <c r="AR194" s="55">
        <f>IF(AK194="","",StampRate*IF(I194="Buy",P194,AE194)*N194)</f>
        <v/>
      </c>
      <c r="AS194" s="55">
        <f>IF(AK194="","",GSTRate*(AN194+AP194+AQ194))</f>
        <v/>
      </c>
      <c r="AT194" s="55">
        <f>IF(AK194="","",AN194+AO194+AP194+AQ194+AR194+AS194)</f>
        <v/>
      </c>
      <c r="AU194" s="39">
        <f>IF(AK194="","",AK194-AT194)</f>
        <v/>
      </c>
      <c r="AV194" s="56">
        <f>IF(AU194="","",AU194/IF(N(Z194)&gt;0,Z194,RiskPerTrade))</f>
        <v/>
      </c>
      <c r="AW194" s="31">
        <f>IF(AU194="","",AU194/Capital)</f>
        <v/>
      </c>
      <c r="AX194" s="37" t="n"/>
      <c r="AY194" s="37" t="n"/>
      <c r="AZ194" s="37" t="n"/>
      <c r="BA194" s="37" t="n"/>
      <c r="BB194" s="37" t="n"/>
      <c r="BC194" s="37" t="n"/>
      <c r="BD194" s="37" t="n"/>
      <c r="BE194" s="5">
        <f>IF(AU194="","",IF(AU194&gt;0,"Win",IF(AU194&lt;0,"Loss","BE")))</f>
        <v/>
      </c>
      <c r="BF194" s="5">
        <f>IF(O194="","",LOOKUP(O194,List_BucketStart,List_BucketLabel))</f>
        <v/>
      </c>
      <c r="BG194" s="57">
        <f>IF(B194="","",B194-WEEKDAY(B194,3))</f>
        <v/>
      </c>
      <c r="BH194" s="28">
        <f>IF(B194="","",COUNTIF($B$6:B194,B194))</f>
        <v/>
      </c>
      <c r="BI194" s="39">
        <f>IF(B194="","",SUMIFS($AU$6:AU194,$B$6:B194,B194)-N(AU194))</f>
        <v/>
      </c>
      <c r="BJ194" s="5">
        <f>IF(OR(B194="",E194=""),"",IF(AND(E194=0,I194="Sell",MAX(N(O194),N(AD194))&gt;ExpiryCutoff),"BREACH","OK"))</f>
        <v/>
      </c>
      <c r="BK194" s="5">
        <f>IF(B194="","",IF(OR(AC194&lt;&gt;"OK",BJ194="BREACH",BH194&gt;MaxTradesDay,BI194&lt;=-DailyLossLimit,OR(AF194="Panic",AF194="Revenge",AF194="Rule break")),"CHECK","OK"))</f>
        <v/>
      </c>
      <c r="BL194" s="39">
        <f>IF(AU194="","",SUM($AU$6:AU194))</f>
        <v/>
      </c>
      <c r="BM194" s="39">
        <f>IF(BL194="","",Capital+BL194)</f>
        <v/>
      </c>
      <c r="BN194" s="39">
        <f>IF(BM194="","",MAX(Capital,MAX($BM$6:BM194)))</f>
        <v/>
      </c>
      <c r="BO194" s="39">
        <f>IF(BM194="","",BN194-BM194)</f>
        <v/>
      </c>
      <c r="BP194" s="58">
        <f>IF(BO194="","",BO194/BN194)</f>
        <v/>
      </c>
      <c r="BQ194" s="28">
        <f>IF(AU194="","",IF(AU194&lt;0,N(BQ193)+1,0))</f>
        <v/>
      </c>
    </row>
    <row r="195">
      <c r="A195" s="28">
        <f>IF(B195="","",COUNT($B$6:B195))</f>
        <v/>
      </c>
      <c r="B195" s="27" t="n"/>
      <c r="C195" s="5">
        <f>IF(B195="","",TEXT(B195,"ddd"))</f>
        <v/>
      </c>
      <c r="D195" s="27" t="n"/>
      <c r="E195" s="28">
        <f>IF(OR(B195="",D195=""),"",MAX(0,NETWORKDAYS(B195,D195)-1))</f>
        <v/>
      </c>
      <c r="F195" s="37" t="n"/>
      <c r="G195" s="36" t="n"/>
      <c r="H195" s="37" t="n"/>
      <c r="I195" s="37" t="n"/>
      <c r="J195" s="37" t="n"/>
      <c r="K195" s="37" t="n"/>
      <c r="L195" s="36" t="n"/>
      <c r="M195" s="36" t="n"/>
      <c r="N195" s="33">
        <f>IF(M195="","",M195*LotSize)</f>
        <v/>
      </c>
      <c r="O195" s="51" t="n"/>
      <c r="P195" s="32" t="n"/>
      <c r="Q195" s="29" t="n"/>
      <c r="R195" s="30">
        <f>IF(OR(G195="",Q195="",H195=""),"",IF(H195="CE",G195-Q195,Q195-G195))</f>
        <v/>
      </c>
      <c r="S195" s="31">
        <f>IF(R195="","",R195/Q195)</f>
        <v/>
      </c>
      <c r="T195" s="38" t="n"/>
      <c r="U195" s="32" t="n"/>
      <c r="V195" s="52" t="n"/>
      <c r="W195" s="37" t="n"/>
      <c r="X195" s="32" t="n"/>
      <c r="Y195" s="32" t="n"/>
      <c r="Z195" s="39">
        <f>IF(OR(X195="",P195="",N195=""),"",ABS(X195-P195)*N195)</f>
        <v/>
      </c>
      <c r="AA195" s="53">
        <f>IF(OR(Z195="",Y195=""),"",IF(Z195=0,"",ABS(P195-Y195)*N195/Z195))</f>
        <v/>
      </c>
      <c r="AB195" s="54">
        <f>IF(Z195="","",Z195/Capital)</f>
        <v/>
      </c>
      <c r="AC195" s="5">
        <f>IF(B195="","",IF(X195="","NO SL",IF(OR(N(M195)&gt;MaxLots,N(AB195)&gt;RiskPct),"OVERSIZED","OK")))</f>
        <v/>
      </c>
      <c r="AD195" s="51" t="n"/>
      <c r="AE195" s="32" t="n"/>
      <c r="AF195" s="37" t="n"/>
      <c r="AG195" s="32" t="n"/>
      <c r="AH195" s="32" t="n"/>
      <c r="AI195" s="39">
        <f>IF(OR(AG195="",P195="",N195=""),"",ABS(AG195-P195)*N195)</f>
        <v/>
      </c>
      <c r="AJ195" s="39">
        <f>IF(OR(AH195="",P195="",N195=""),"",ABS(P195-AH195)*N195)</f>
        <v/>
      </c>
      <c r="AK195" s="39">
        <f>IF(OR(AE195="",P195="",N195=""),"",IF(I195="Buy",AE195-P195,P195-AE195)*N195)</f>
        <v/>
      </c>
      <c r="AL195" s="39">
        <f>IF(OR(AJ195="",AK195=""),"",MAX(0,AJ195-AK195))</f>
        <v/>
      </c>
      <c r="AM195" s="39">
        <f>IF(AK195="","",(P195+AE195)*N195)</f>
        <v/>
      </c>
      <c r="AN195" s="55">
        <f>IF(AK195="","",BrokeragePerOrder*2*MAX(1,N(L195)))</f>
        <v/>
      </c>
      <c r="AO195" s="55">
        <f>IF(AK195="","",STTRate*IF(I195="Buy",AE195,P195)*N195)</f>
        <v/>
      </c>
      <c r="AP195" s="55">
        <f>IF(AK195="","",ExchRate*AM195)</f>
        <v/>
      </c>
      <c r="AQ195" s="55">
        <f>IF(AK195="","",SEBIRate*AM195)</f>
        <v/>
      </c>
      <c r="AR195" s="55">
        <f>IF(AK195="","",StampRate*IF(I195="Buy",P195,AE195)*N195)</f>
        <v/>
      </c>
      <c r="AS195" s="55">
        <f>IF(AK195="","",GSTRate*(AN195+AP195+AQ195))</f>
        <v/>
      </c>
      <c r="AT195" s="55">
        <f>IF(AK195="","",AN195+AO195+AP195+AQ195+AR195+AS195)</f>
        <v/>
      </c>
      <c r="AU195" s="39">
        <f>IF(AK195="","",AK195-AT195)</f>
        <v/>
      </c>
      <c r="AV195" s="56">
        <f>IF(AU195="","",AU195/IF(N(Z195)&gt;0,Z195,RiskPerTrade))</f>
        <v/>
      </c>
      <c r="AW195" s="31">
        <f>IF(AU195="","",AU195/Capital)</f>
        <v/>
      </c>
      <c r="AX195" s="37" t="n"/>
      <c r="AY195" s="37" t="n"/>
      <c r="AZ195" s="37" t="n"/>
      <c r="BA195" s="37" t="n"/>
      <c r="BB195" s="37" t="n"/>
      <c r="BC195" s="37" t="n"/>
      <c r="BD195" s="37" t="n"/>
      <c r="BE195" s="5">
        <f>IF(AU195="","",IF(AU195&gt;0,"Win",IF(AU195&lt;0,"Loss","BE")))</f>
        <v/>
      </c>
      <c r="BF195" s="5">
        <f>IF(O195="","",LOOKUP(O195,List_BucketStart,List_BucketLabel))</f>
        <v/>
      </c>
      <c r="BG195" s="57">
        <f>IF(B195="","",B195-WEEKDAY(B195,3))</f>
        <v/>
      </c>
      <c r="BH195" s="28">
        <f>IF(B195="","",COUNTIF($B$6:B195,B195))</f>
        <v/>
      </c>
      <c r="BI195" s="39">
        <f>IF(B195="","",SUMIFS($AU$6:AU195,$B$6:B195,B195)-N(AU195))</f>
        <v/>
      </c>
      <c r="BJ195" s="5">
        <f>IF(OR(B195="",E195=""),"",IF(AND(E195=0,I195="Sell",MAX(N(O195),N(AD195))&gt;ExpiryCutoff),"BREACH","OK"))</f>
        <v/>
      </c>
      <c r="BK195" s="5">
        <f>IF(B195="","",IF(OR(AC195&lt;&gt;"OK",BJ195="BREACH",BH195&gt;MaxTradesDay,BI195&lt;=-DailyLossLimit,OR(AF195="Panic",AF195="Revenge",AF195="Rule break")),"CHECK","OK"))</f>
        <v/>
      </c>
      <c r="BL195" s="39">
        <f>IF(AU195="","",SUM($AU$6:AU195))</f>
        <v/>
      </c>
      <c r="BM195" s="39">
        <f>IF(BL195="","",Capital+BL195)</f>
        <v/>
      </c>
      <c r="BN195" s="39">
        <f>IF(BM195="","",MAX(Capital,MAX($BM$6:BM195)))</f>
        <v/>
      </c>
      <c r="BO195" s="39">
        <f>IF(BM195="","",BN195-BM195)</f>
        <v/>
      </c>
      <c r="BP195" s="58">
        <f>IF(BO195="","",BO195/BN195)</f>
        <v/>
      </c>
      <c r="BQ195" s="28">
        <f>IF(AU195="","",IF(AU195&lt;0,N(BQ194)+1,0))</f>
        <v/>
      </c>
    </row>
    <row r="196">
      <c r="A196" s="28">
        <f>IF(B196="","",COUNT($B$6:B196))</f>
        <v/>
      </c>
      <c r="B196" s="27" t="n"/>
      <c r="C196" s="5">
        <f>IF(B196="","",TEXT(B196,"ddd"))</f>
        <v/>
      </c>
      <c r="D196" s="27" t="n"/>
      <c r="E196" s="28">
        <f>IF(OR(B196="",D196=""),"",MAX(0,NETWORKDAYS(B196,D196)-1))</f>
        <v/>
      </c>
      <c r="F196" s="37" t="n"/>
      <c r="G196" s="36" t="n"/>
      <c r="H196" s="37" t="n"/>
      <c r="I196" s="37" t="n"/>
      <c r="J196" s="37" t="n"/>
      <c r="K196" s="37" t="n"/>
      <c r="L196" s="36" t="n"/>
      <c r="M196" s="36" t="n"/>
      <c r="N196" s="33">
        <f>IF(M196="","",M196*LotSize)</f>
        <v/>
      </c>
      <c r="O196" s="51" t="n"/>
      <c r="P196" s="32" t="n"/>
      <c r="Q196" s="29" t="n"/>
      <c r="R196" s="30">
        <f>IF(OR(G196="",Q196="",H196=""),"",IF(H196="CE",G196-Q196,Q196-G196))</f>
        <v/>
      </c>
      <c r="S196" s="31">
        <f>IF(R196="","",R196/Q196)</f>
        <v/>
      </c>
      <c r="T196" s="38" t="n"/>
      <c r="U196" s="32" t="n"/>
      <c r="V196" s="52" t="n"/>
      <c r="W196" s="37" t="n"/>
      <c r="X196" s="32" t="n"/>
      <c r="Y196" s="32" t="n"/>
      <c r="Z196" s="39">
        <f>IF(OR(X196="",P196="",N196=""),"",ABS(X196-P196)*N196)</f>
        <v/>
      </c>
      <c r="AA196" s="53">
        <f>IF(OR(Z196="",Y196=""),"",IF(Z196=0,"",ABS(P196-Y196)*N196/Z196))</f>
        <v/>
      </c>
      <c r="AB196" s="54">
        <f>IF(Z196="","",Z196/Capital)</f>
        <v/>
      </c>
      <c r="AC196" s="5">
        <f>IF(B196="","",IF(X196="","NO SL",IF(OR(N(M196)&gt;MaxLots,N(AB196)&gt;RiskPct),"OVERSIZED","OK")))</f>
        <v/>
      </c>
      <c r="AD196" s="51" t="n"/>
      <c r="AE196" s="32" t="n"/>
      <c r="AF196" s="37" t="n"/>
      <c r="AG196" s="32" t="n"/>
      <c r="AH196" s="32" t="n"/>
      <c r="AI196" s="39">
        <f>IF(OR(AG196="",P196="",N196=""),"",ABS(AG196-P196)*N196)</f>
        <v/>
      </c>
      <c r="AJ196" s="39">
        <f>IF(OR(AH196="",P196="",N196=""),"",ABS(P196-AH196)*N196)</f>
        <v/>
      </c>
      <c r="AK196" s="39">
        <f>IF(OR(AE196="",P196="",N196=""),"",IF(I196="Buy",AE196-P196,P196-AE196)*N196)</f>
        <v/>
      </c>
      <c r="AL196" s="39">
        <f>IF(OR(AJ196="",AK196=""),"",MAX(0,AJ196-AK196))</f>
        <v/>
      </c>
      <c r="AM196" s="39">
        <f>IF(AK196="","",(P196+AE196)*N196)</f>
        <v/>
      </c>
      <c r="AN196" s="55">
        <f>IF(AK196="","",BrokeragePerOrder*2*MAX(1,N(L196)))</f>
        <v/>
      </c>
      <c r="AO196" s="55">
        <f>IF(AK196="","",STTRate*IF(I196="Buy",AE196,P196)*N196)</f>
        <v/>
      </c>
      <c r="AP196" s="55">
        <f>IF(AK196="","",ExchRate*AM196)</f>
        <v/>
      </c>
      <c r="AQ196" s="55">
        <f>IF(AK196="","",SEBIRate*AM196)</f>
        <v/>
      </c>
      <c r="AR196" s="55">
        <f>IF(AK196="","",StampRate*IF(I196="Buy",P196,AE196)*N196)</f>
        <v/>
      </c>
      <c r="AS196" s="55">
        <f>IF(AK196="","",GSTRate*(AN196+AP196+AQ196))</f>
        <v/>
      </c>
      <c r="AT196" s="55">
        <f>IF(AK196="","",AN196+AO196+AP196+AQ196+AR196+AS196)</f>
        <v/>
      </c>
      <c r="AU196" s="39">
        <f>IF(AK196="","",AK196-AT196)</f>
        <v/>
      </c>
      <c r="AV196" s="56">
        <f>IF(AU196="","",AU196/IF(N(Z196)&gt;0,Z196,RiskPerTrade))</f>
        <v/>
      </c>
      <c r="AW196" s="31">
        <f>IF(AU196="","",AU196/Capital)</f>
        <v/>
      </c>
      <c r="AX196" s="37" t="n"/>
      <c r="AY196" s="37" t="n"/>
      <c r="AZ196" s="37" t="n"/>
      <c r="BA196" s="37" t="n"/>
      <c r="BB196" s="37" t="n"/>
      <c r="BC196" s="37" t="n"/>
      <c r="BD196" s="37" t="n"/>
      <c r="BE196" s="5">
        <f>IF(AU196="","",IF(AU196&gt;0,"Win",IF(AU196&lt;0,"Loss","BE")))</f>
        <v/>
      </c>
      <c r="BF196" s="5">
        <f>IF(O196="","",LOOKUP(O196,List_BucketStart,List_BucketLabel))</f>
        <v/>
      </c>
      <c r="BG196" s="57">
        <f>IF(B196="","",B196-WEEKDAY(B196,3))</f>
        <v/>
      </c>
      <c r="BH196" s="28">
        <f>IF(B196="","",COUNTIF($B$6:B196,B196))</f>
        <v/>
      </c>
      <c r="BI196" s="39">
        <f>IF(B196="","",SUMIFS($AU$6:AU196,$B$6:B196,B196)-N(AU196))</f>
        <v/>
      </c>
      <c r="BJ196" s="5">
        <f>IF(OR(B196="",E196=""),"",IF(AND(E196=0,I196="Sell",MAX(N(O196),N(AD196))&gt;ExpiryCutoff),"BREACH","OK"))</f>
        <v/>
      </c>
      <c r="BK196" s="5">
        <f>IF(B196="","",IF(OR(AC196&lt;&gt;"OK",BJ196="BREACH",BH196&gt;MaxTradesDay,BI196&lt;=-DailyLossLimit,OR(AF196="Panic",AF196="Revenge",AF196="Rule break")),"CHECK","OK"))</f>
        <v/>
      </c>
      <c r="BL196" s="39">
        <f>IF(AU196="","",SUM($AU$6:AU196))</f>
        <v/>
      </c>
      <c r="BM196" s="39">
        <f>IF(BL196="","",Capital+BL196)</f>
        <v/>
      </c>
      <c r="BN196" s="39">
        <f>IF(BM196="","",MAX(Capital,MAX($BM$6:BM196)))</f>
        <v/>
      </c>
      <c r="BO196" s="39">
        <f>IF(BM196="","",BN196-BM196)</f>
        <v/>
      </c>
      <c r="BP196" s="58">
        <f>IF(BO196="","",BO196/BN196)</f>
        <v/>
      </c>
      <c r="BQ196" s="28">
        <f>IF(AU196="","",IF(AU196&lt;0,N(BQ195)+1,0))</f>
        <v/>
      </c>
    </row>
    <row r="197">
      <c r="A197" s="28">
        <f>IF(B197="","",COUNT($B$6:B197))</f>
        <v/>
      </c>
      <c r="B197" s="27" t="n"/>
      <c r="C197" s="5">
        <f>IF(B197="","",TEXT(B197,"ddd"))</f>
        <v/>
      </c>
      <c r="D197" s="27" t="n"/>
      <c r="E197" s="28">
        <f>IF(OR(B197="",D197=""),"",MAX(0,NETWORKDAYS(B197,D197)-1))</f>
        <v/>
      </c>
      <c r="F197" s="37" t="n"/>
      <c r="G197" s="36" t="n"/>
      <c r="H197" s="37" t="n"/>
      <c r="I197" s="37" t="n"/>
      <c r="J197" s="37" t="n"/>
      <c r="K197" s="37" t="n"/>
      <c r="L197" s="36" t="n"/>
      <c r="M197" s="36" t="n"/>
      <c r="N197" s="33">
        <f>IF(M197="","",M197*LotSize)</f>
        <v/>
      </c>
      <c r="O197" s="51" t="n"/>
      <c r="P197" s="32" t="n"/>
      <c r="Q197" s="29" t="n"/>
      <c r="R197" s="30">
        <f>IF(OR(G197="",Q197="",H197=""),"",IF(H197="CE",G197-Q197,Q197-G197))</f>
        <v/>
      </c>
      <c r="S197" s="31">
        <f>IF(R197="","",R197/Q197)</f>
        <v/>
      </c>
      <c r="T197" s="38" t="n"/>
      <c r="U197" s="32" t="n"/>
      <c r="V197" s="52" t="n"/>
      <c r="W197" s="37" t="n"/>
      <c r="X197" s="32" t="n"/>
      <c r="Y197" s="32" t="n"/>
      <c r="Z197" s="39">
        <f>IF(OR(X197="",P197="",N197=""),"",ABS(X197-P197)*N197)</f>
        <v/>
      </c>
      <c r="AA197" s="53">
        <f>IF(OR(Z197="",Y197=""),"",IF(Z197=0,"",ABS(P197-Y197)*N197/Z197))</f>
        <v/>
      </c>
      <c r="AB197" s="54">
        <f>IF(Z197="","",Z197/Capital)</f>
        <v/>
      </c>
      <c r="AC197" s="5">
        <f>IF(B197="","",IF(X197="","NO SL",IF(OR(N(M197)&gt;MaxLots,N(AB197)&gt;RiskPct),"OVERSIZED","OK")))</f>
        <v/>
      </c>
      <c r="AD197" s="51" t="n"/>
      <c r="AE197" s="32" t="n"/>
      <c r="AF197" s="37" t="n"/>
      <c r="AG197" s="32" t="n"/>
      <c r="AH197" s="32" t="n"/>
      <c r="AI197" s="39">
        <f>IF(OR(AG197="",P197="",N197=""),"",ABS(AG197-P197)*N197)</f>
        <v/>
      </c>
      <c r="AJ197" s="39">
        <f>IF(OR(AH197="",P197="",N197=""),"",ABS(P197-AH197)*N197)</f>
        <v/>
      </c>
      <c r="AK197" s="39">
        <f>IF(OR(AE197="",P197="",N197=""),"",IF(I197="Buy",AE197-P197,P197-AE197)*N197)</f>
        <v/>
      </c>
      <c r="AL197" s="39">
        <f>IF(OR(AJ197="",AK197=""),"",MAX(0,AJ197-AK197))</f>
        <v/>
      </c>
      <c r="AM197" s="39">
        <f>IF(AK197="","",(P197+AE197)*N197)</f>
        <v/>
      </c>
      <c r="AN197" s="55">
        <f>IF(AK197="","",BrokeragePerOrder*2*MAX(1,N(L197)))</f>
        <v/>
      </c>
      <c r="AO197" s="55">
        <f>IF(AK197="","",STTRate*IF(I197="Buy",AE197,P197)*N197)</f>
        <v/>
      </c>
      <c r="AP197" s="55">
        <f>IF(AK197="","",ExchRate*AM197)</f>
        <v/>
      </c>
      <c r="AQ197" s="55">
        <f>IF(AK197="","",SEBIRate*AM197)</f>
        <v/>
      </c>
      <c r="AR197" s="55">
        <f>IF(AK197="","",StampRate*IF(I197="Buy",P197,AE197)*N197)</f>
        <v/>
      </c>
      <c r="AS197" s="55">
        <f>IF(AK197="","",GSTRate*(AN197+AP197+AQ197))</f>
        <v/>
      </c>
      <c r="AT197" s="55">
        <f>IF(AK197="","",AN197+AO197+AP197+AQ197+AR197+AS197)</f>
        <v/>
      </c>
      <c r="AU197" s="39">
        <f>IF(AK197="","",AK197-AT197)</f>
        <v/>
      </c>
      <c r="AV197" s="56">
        <f>IF(AU197="","",AU197/IF(N(Z197)&gt;0,Z197,RiskPerTrade))</f>
        <v/>
      </c>
      <c r="AW197" s="31">
        <f>IF(AU197="","",AU197/Capital)</f>
        <v/>
      </c>
      <c r="AX197" s="37" t="n"/>
      <c r="AY197" s="37" t="n"/>
      <c r="AZ197" s="37" t="n"/>
      <c r="BA197" s="37" t="n"/>
      <c r="BB197" s="37" t="n"/>
      <c r="BC197" s="37" t="n"/>
      <c r="BD197" s="37" t="n"/>
      <c r="BE197" s="5">
        <f>IF(AU197="","",IF(AU197&gt;0,"Win",IF(AU197&lt;0,"Loss","BE")))</f>
        <v/>
      </c>
      <c r="BF197" s="5">
        <f>IF(O197="","",LOOKUP(O197,List_BucketStart,List_BucketLabel))</f>
        <v/>
      </c>
      <c r="BG197" s="57">
        <f>IF(B197="","",B197-WEEKDAY(B197,3))</f>
        <v/>
      </c>
      <c r="BH197" s="28">
        <f>IF(B197="","",COUNTIF($B$6:B197,B197))</f>
        <v/>
      </c>
      <c r="BI197" s="39">
        <f>IF(B197="","",SUMIFS($AU$6:AU197,$B$6:B197,B197)-N(AU197))</f>
        <v/>
      </c>
      <c r="BJ197" s="5">
        <f>IF(OR(B197="",E197=""),"",IF(AND(E197=0,I197="Sell",MAX(N(O197),N(AD197))&gt;ExpiryCutoff),"BREACH","OK"))</f>
        <v/>
      </c>
      <c r="BK197" s="5">
        <f>IF(B197="","",IF(OR(AC197&lt;&gt;"OK",BJ197="BREACH",BH197&gt;MaxTradesDay,BI197&lt;=-DailyLossLimit,OR(AF197="Panic",AF197="Revenge",AF197="Rule break")),"CHECK","OK"))</f>
        <v/>
      </c>
      <c r="BL197" s="39">
        <f>IF(AU197="","",SUM($AU$6:AU197))</f>
        <v/>
      </c>
      <c r="BM197" s="39">
        <f>IF(BL197="","",Capital+BL197)</f>
        <v/>
      </c>
      <c r="BN197" s="39">
        <f>IF(BM197="","",MAX(Capital,MAX($BM$6:BM197)))</f>
        <v/>
      </c>
      <c r="BO197" s="39">
        <f>IF(BM197="","",BN197-BM197)</f>
        <v/>
      </c>
      <c r="BP197" s="58">
        <f>IF(BO197="","",BO197/BN197)</f>
        <v/>
      </c>
      <c r="BQ197" s="28">
        <f>IF(AU197="","",IF(AU197&lt;0,N(BQ196)+1,0))</f>
        <v/>
      </c>
    </row>
    <row r="198">
      <c r="A198" s="28">
        <f>IF(B198="","",COUNT($B$6:B198))</f>
        <v/>
      </c>
      <c r="B198" s="27" t="n"/>
      <c r="C198" s="5">
        <f>IF(B198="","",TEXT(B198,"ddd"))</f>
        <v/>
      </c>
      <c r="D198" s="27" t="n"/>
      <c r="E198" s="28">
        <f>IF(OR(B198="",D198=""),"",MAX(0,NETWORKDAYS(B198,D198)-1))</f>
        <v/>
      </c>
      <c r="F198" s="37" t="n"/>
      <c r="G198" s="36" t="n"/>
      <c r="H198" s="37" t="n"/>
      <c r="I198" s="37" t="n"/>
      <c r="J198" s="37" t="n"/>
      <c r="K198" s="37" t="n"/>
      <c r="L198" s="36" t="n"/>
      <c r="M198" s="36" t="n"/>
      <c r="N198" s="33">
        <f>IF(M198="","",M198*LotSize)</f>
        <v/>
      </c>
      <c r="O198" s="51" t="n"/>
      <c r="P198" s="32" t="n"/>
      <c r="Q198" s="29" t="n"/>
      <c r="R198" s="30">
        <f>IF(OR(G198="",Q198="",H198=""),"",IF(H198="CE",G198-Q198,Q198-G198))</f>
        <v/>
      </c>
      <c r="S198" s="31">
        <f>IF(R198="","",R198/Q198)</f>
        <v/>
      </c>
      <c r="T198" s="38" t="n"/>
      <c r="U198" s="32" t="n"/>
      <c r="V198" s="52" t="n"/>
      <c r="W198" s="37" t="n"/>
      <c r="X198" s="32" t="n"/>
      <c r="Y198" s="32" t="n"/>
      <c r="Z198" s="39">
        <f>IF(OR(X198="",P198="",N198=""),"",ABS(X198-P198)*N198)</f>
        <v/>
      </c>
      <c r="AA198" s="53">
        <f>IF(OR(Z198="",Y198=""),"",IF(Z198=0,"",ABS(P198-Y198)*N198/Z198))</f>
        <v/>
      </c>
      <c r="AB198" s="54">
        <f>IF(Z198="","",Z198/Capital)</f>
        <v/>
      </c>
      <c r="AC198" s="5">
        <f>IF(B198="","",IF(X198="","NO SL",IF(OR(N(M198)&gt;MaxLots,N(AB198)&gt;RiskPct),"OVERSIZED","OK")))</f>
        <v/>
      </c>
      <c r="AD198" s="51" t="n"/>
      <c r="AE198" s="32" t="n"/>
      <c r="AF198" s="37" t="n"/>
      <c r="AG198" s="32" t="n"/>
      <c r="AH198" s="32" t="n"/>
      <c r="AI198" s="39">
        <f>IF(OR(AG198="",P198="",N198=""),"",ABS(AG198-P198)*N198)</f>
        <v/>
      </c>
      <c r="AJ198" s="39">
        <f>IF(OR(AH198="",P198="",N198=""),"",ABS(P198-AH198)*N198)</f>
        <v/>
      </c>
      <c r="AK198" s="39">
        <f>IF(OR(AE198="",P198="",N198=""),"",IF(I198="Buy",AE198-P198,P198-AE198)*N198)</f>
        <v/>
      </c>
      <c r="AL198" s="39">
        <f>IF(OR(AJ198="",AK198=""),"",MAX(0,AJ198-AK198))</f>
        <v/>
      </c>
      <c r="AM198" s="39">
        <f>IF(AK198="","",(P198+AE198)*N198)</f>
        <v/>
      </c>
      <c r="AN198" s="55">
        <f>IF(AK198="","",BrokeragePerOrder*2*MAX(1,N(L198)))</f>
        <v/>
      </c>
      <c r="AO198" s="55">
        <f>IF(AK198="","",STTRate*IF(I198="Buy",AE198,P198)*N198)</f>
        <v/>
      </c>
      <c r="AP198" s="55">
        <f>IF(AK198="","",ExchRate*AM198)</f>
        <v/>
      </c>
      <c r="AQ198" s="55">
        <f>IF(AK198="","",SEBIRate*AM198)</f>
        <v/>
      </c>
      <c r="AR198" s="55">
        <f>IF(AK198="","",StampRate*IF(I198="Buy",P198,AE198)*N198)</f>
        <v/>
      </c>
      <c r="AS198" s="55">
        <f>IF(AK198="","",GSTRate*(AN198+AP198+AQ198))</f>
        <v/>
      </c>
      <c r="AT198" s="55">
        <f>IF(AK198="","",AN198+AO198+AP198+AQ198+AR198+AS198)</f>
        <v/>
      </c>
      <c r="AU198" s="39">
        <f>IF(AK198="","",AK198-AT198)</f>
        <v/>
      </c>
      <c r="AV198" s="56">
        <f>IF(AU198="","",AU198/IF(N(Z198)&gt;0,Z198,RiskPerTrade))</f>
        <v/>
      </c>
      <c r="AW198" s="31">
        <f>IF(AU198="","",AU198/Capital)</f>
        <v/>
      </c>
      <c r="AX198" s="37" t="n"/>
      <c r="AY198" s="37" t="n"/>
      <c r="AZ198" s="37" t="n"/>
      <c r="BA198" s="37" t="n"/>
      <c r="BB198" s="37" t="n"/>
      <c r="BC198" s="37" t="n"/>
      <c r="BD198" s="37" t="n"/>
      <c r="BE198" s="5">
        <f>IF(AU198="","",IF(AU198&gt;0,"Win",IF(AU198&lt;0,"Loss","BE")))</f>
        <v/>
      </c>
      <c r="BF198" s="5">
        <f>IF(O198="","",LOOKUP(O198,List_BucketStart,List_BucketLabel))</f>
        <v/>
      </c>
      <c r="BG198" s="57">
        <f>IF(B198="","",B198-WEEKDAY(B198,3))</f>
        <v/>
      </c>
      <c r="BH198" s="28">
        <f>IF(B198="","",COUNTIF($B$6:B198,B198))</f>
        <v/>
      </c>
      <c r="BI198" s="39">
        <f>IF(B198="","",SUMIFS($AU$6:AU198,$B$6:B198,B198)-N(AU198))</f>
        <v/>
      </c>
      <c r="BJ198" s="5">
        <f>IF(OR(B198="",E198=""),"",IF(AND(E198=0,I198="Sell",MAX(N(O198),N(AD198))&gt;ExpiryCutoff),"BREACH","OK"))</f>
        <v/>
      </c>
      <c r="BK198" s="5">
        <f>IF(B198="","",IF(OR(AC198&lt;&gt;"OK",BJ198="BREACH",BH198&gt;MaxTradesDay,BI198&lt;=-DailyLossLimit,OR(AF198="Panic",AF198="Revenge",AF198="Rule break")),"CHECK","OK"))</f>
        <v/>
      </c>
      <c r="BL198" s="39">
        <f>IF(AU198="","",SUM($AU$6:AU198))</f>
        <v/>
      </c>
      <c r="BM198" s="39">
        <f>IF(BL198="","",Capital+BL198)</f>
        <v/>
      </c>
      <c r="BN198" s="39">
        <f>IF(BM198="","",MAX(Capital,MAX($BM$6:BM198)))</f>
        <v/>
      </c>
      <c r="BO198" s="39">
        <f>IF(BM198="","",BN198-BM198)</f>
        <v/>
      </c>
      <c r="BP198" s="58">
        <f>IF(BO198="","",BO198/BN198)</f>
        <v/>
      </c>
      <c r="BQ198" s="28">
        <f>IF(AU198="","",IF(AU198&lt;0,N(BQ197)+1,0))</f>
        <v/>
      </c>
    </row>
    <row r="199">
      <c r="A199" s="28">
        <f>IF(B199="","",COUNT($B$6:B199))</f>
        <v/>
      </c>
      <c r="B199" s="27" t="n"/>
      <c r="C199" s="5">
        <f>IF(B199="","",TEXT(B199,"ddd"))</f>
        <v/>
      </c>
      <c r="D199" s="27" t="n"/>
      <c r="E199" s="28">
        <f>IF(OR(B199="",D199=""),"",MAX(0,NETWORKDAYS(B199,D199)-1))</f>
        <v/>
      </c>
      <c r="F199" s="37" t="n"/>
      <c r="G199" s="36" t="n"/>
      <c r="H199" s="37" t="n"/>
      <c r="I199" s="37" t="n"/>
      <c r="J199" s="37" t="n"/>
      <c r="K199" s="37" t="n"/>
      <c r="L199" s="36" t="n"/>
      <c r="M199" s="36" t="n"/>
      <c r="N199" s="33">
        <f>IF(M199="","",M199*LotSize)</f>
        <v/>
      </c>
      <c r="O199" s="51" t="n"/>
      <c r="P199" s="32" t="n"/>
      <c r="Q199" s="29" t="n"/>
      <c r="R199" s="30">
        <f>IF(OR(G199="",Q199="",H199=""),"",IF(H199="CE",G199-Q199,Q199-G199))</f>
        <v/>
      </c>
      <c r="S199" s="31">
        <f>IF(R199="","",R199/Q199)</f>
        <v/>
      </c>
      <c r="T199" s="38" t="n"/>
      <c r="U199" s="32" t="n"/>
      <c r="V199" s="52" t="n"/>
      <c r="W199" s="37" t="n"/>
      <c r="X199" s="32" t="n"/>
      <c r="Y199" s="32" t="n"/>
      <c r="Z199" s="39">
        <f>IF(OR(X199="",P199="",N199=""),"",ABS(X199-P199)*N199)</f>
        <v/>
      </c>
      <c r="AA199" s="53">
        <f>IF(OR(Z199="",Y199=""),"",IF(Z199=0,"",ABS(P199-Y199)*N199/Z199))</f>
        <v/>
      </c>
      <c r="AB199" s="54">
        <f>IF(Z199="","",Z199/Capital)</f>
        <v/>
      </c>
      <c r="AC199" s="5">
        <f>IF(B199="","",IF(X199="","NO SL",IF(OR(N(M199)&gt;MaxLots,N(AB199)&gt;RiskPct),"OVERSIZED","OK")))</f>
        <v/>
      </c>
      <c r="AD199" s="51" t="n"/>
      <c r="AE199" s="32" t="n"/>
      <c r="AF199" s="37" t="n"/>
      <c r="AG199" s="32" t="n"/>
      <c r="AH199" s="32" t="n"/>
      <c r="AI199" s="39">
        <f>IF(OR(AG199="",P199="",N199=""),"",ABS(AG199-P199)*N199)</f>
        <v/>
      </c>
      <c r="AJ199" s="39">
        <f>IF(OR(AH199="",P199="",N199=""),"",ABS(P199-AH199)*N199)</f>
        <v/>
      </c>
      <c r="AK199" s="39">
        <f>IF(OR(AE199="",P199="",N199=""),"",IF(I199="Buy",AE199-P199,P199-AE199)*N199)</f>
        <v/>
      </c>
      <c r="AL199" s="39">
        <f>IF(OR(AJ199="",AK199=""),"",MAX(0,AJ199-AK199))</f>
        <v/>
      </c>
      <c r="AM199" s="39">
        <f>IF(AK199="","",(P199+AE199)*N199)</f>
        <v/>
      </c>
      <c r="AN199" s="55">
        <f>IF(AK199="","",BrokeragePerOrder*2*MAX(1,N(L199)))</f>
        <v/>
      </c>
      <c r="AO199" s="55">
        <f>IF(AK199="","",STTRate*IF(I199="Buy",AE199,P199)*N199)</f>
        <v/>
      </c>
      <c r="AP199" s="55">
        <f>IF(AK199="","",ExchRate*AM199)</f>
        <v/>
      </c>
      <c r="AQ199" s="55">
        <f>IF(AK199="","",SEBIRate*AM199)</f>
        <v/>
      </c>
      <c r="AR199" s="55">
        <f>IF(AK199="","",StampRate*IF(I199="Buy",P199,AE199)*N199)</f>
        <v/>
      </c>
      <c r="AS199" s="55">
        <f>IF(AK199="","",GSTRate*(AN199+AP199+AQ199))</f>
        <v/>
      </c>
      <c r="AT199" s="55">
        <f>IF(AK199="","",AN199+AO199+AP199+AQ199+AR199+AS199)</f>
        <v/>
      </c>
      <c r="AU199" s="39">
        <f>IF(AK199="","",AK199-AT199)</f>
        <v/>
      </c>
      <c r="AV199" s="56">
        <f>IF(AU199="","",AU199/IF(N(Z199)&gt;0,Z199,RiskPerTrade))</f>
        <v/>
      </c>
      <c r="AW199" s="31">
        <f>IF(AU199="","",AU199/Capital)</f>
        <v/>
      </c>
      <c r="AX199" s="37" t="n"/>
      <c r="AY199" s="37" t="n"/>
      <c r="AZ199" s="37" t="n"/>
      <c r="BA199" s="37" t="n"/>
      <c r="BB199" s="37" t="n"/>
      <c r="BC199" s="37" t="n"/>
      <c r="BD199" s="37" t="n"/>
      <c r="BE199" s="5">
        <f>IF(AU199="","",IF(AU199&gt;0,"Win",IF(AU199&lt;0,"Loss","BE")))</f>
        <v/>
      </c>
      <c r="BF199" s="5">
        <f>IF(O199="","",LOOKUP(O199,List_BucketStart,List_BucketLabel))</f>
        <v/>
      </c>
      <c r="BG199" s="57">
        <f>IF(B199="","",B199-WEEKDAY(B199,3))</f>
        <v/>
      </c>
      <c r="BH199" s="28">
        <f>IF(B199="","",COUNTIF($B$6:B199,B199))</f>
        <v/>
      </c>
      <c r="BI199" s="39">
        <f>IF(B199="","",SUMIFS($AU$6:AU199,$B$6:B199,B199)-N(AU199))</f>
        <v/>
      </c>
      <c r="BJ199" s="5">
        <f>IF(OR(B199="",E199=""),"",IF(AND(E199=0,I199="Sell",MAX(N(O199),N(AD199))&gt;ExpiryCutoff),"BREACH","OK"))</f>
        <v/>
      </c>
      <c r="BK199" s="5">
        <f>IF(B199="","",IF(OR(AC199&lt;&gt;"OK",BJ199="BREACH",BH199&gt;MaxTradesDay,BI199&lt;=-DailyLossLimit,OR(AF199="Panic",AF199="Revenge",AF199="Rule break")),"CHECK","OK"))</f>
        <v/>
      </c>
      <c r="BL199" s="39">
        <f>IF(AU199="","",SUM($AU$6:AU199))</f>
        <v/>
      </c>
      <c r="BM199" s="39">
        <f>IF(BL199="","",Capital+BL199)</f>
        <v/>
      </c>
      <c r="BN199" s="39">
        <f>IF(BM199="","",MAX(Capital,MAX($BM$6:BM199)))</f>
        <v/>
      </c>
      <c r="BO199" s="39">
        <f>IF(BM199="","",BN199-BM199)</f>
        <v/>
      </c>
      <c r="BP199" s="58">
        <f>IF(BO199="","",BO199/BN199)</f>
        <v/>
      </c>
      <c r="BQ199" s="28">
        <f>IF(AU199="","",IF(AU199&lt;0,N(BQ198)+1,0))</f>
        <v/>
      </c>
    </row>
    <row r="200">
      <c r="A200" s="28">
        <f>IF(B200="","",COUNT($B$6:B200))</f>
        <v/>
      </c>
      <c r="B200" s="27" t="n"/>
      <c r="C200" s="5">
        <f>IF(B200="","",TEXT(B200,"ddd"))</f>
        <v/>
      </c>
      <c r="D200" s="27" t="n"/>
      <c r="E200" s="28">
        <f>IF(OR(B200="",D200=""),"",MAX(0,NETWORKDAYS(B200,D200)-1))</f>
        <v/>
      </c>
      <c r="F200" s="37" t="n"/>
      <c r="G200" s="36" t="n"/>
      <c r="H200" s="37" t="n"/>
      <c r="I200" s="37" t="n"/>
      <c r="J200" s="37" t="n"/>
      <c r="K200" s="37" t="n"/>
      <c r="L200" s="36" t="n"/>
      <c r="M200" s="36" t="n"/>
      <c r="N200" s="33">
        <f>IF(M200="","",M200*LotSize)</f>
        <v/>
      </c>
      <c r="O200" s="51" t="n"/>
      <c r="P200" s="32" t="n"/>
      <c r="Q200" s="29" t="n"/>
      <c r="R200" s="30">
        <f>IF(OR(G200="",Q200="",H200=""),"",IF(H200="CE",G200-Q200,Q200-G200))</f>
        <v/>
      </c>
      <c r="S200" s="31">
        <f>IF(R200="","",R200/Q200)</f>
        <v/>
      </c>
      <c r="T200" s="38" t="n"/>
      <c r="U200" s="32" t="n"/>
      <c r="V200" s="52" t="n"/>
      <c r="W200" s="37" t="n"/>
      <c r="X200" s="32" t="n"/>
      <c r="Y200" s="32" t="n"/>
      <c r="Z200" s="39">
        <f>IF(OR(X200="",P200="",N200=""),"",ABS(X200-P200)*N200)</f>
        <v/>
      </c>
      <c r="AA200" s="53">
        <f>IF(OR(Z200="",Y200=""),"",IF(Z200=0,"",ABS(P200-Y200)*N200/Z200))</f>
        <v/>
      </c>
      <c r="AB200" s="54">
        <f>IF(Z200="","",Z200/Capital)</f>
        <v/>
      </c>
      <c r="AC200" s="5">
        <f>IF(B200="","",IF(X200="","NO SL",IF(OR(N(M200)&gt;MaxLots,N(AB200)&gt;RiskPct),"OVERSIZED","OK")))</f>
        <v/>
      </c>
      <c r="AD200" s="51" t="n"/>
      <c r="AE200" s="32" t="n"/>
      <c r="AF200" s="37" t="n"/>
      <c r="AG200" s="32" t="n"/>
      <c r="AH200" s="32" t="n"/>
      <c r="AI200" s="39">
        <f>IF(OR(AG200="",P200="",N200=""),"",ABS(AG200-P200)*N200)</f>
        <v/>
      </c>
      <c r="AJ200" s="39">
        <f>IF(OR(AH200="",P200="",N200=""),"",ABS(P200-AH200)*N200)</f>
        <v/>
      </c>
      <c r="AK200" s="39">
        <f>IF(OR(AE200="",P200="",N200=""),"",IF(I200="Buy",AE200-P200,P200-AE200)*N200)</f>
        <v/>
      </c>
      <c r="AL200" s="39">
        <f>IF(OR(AJ200="",AK200=""),"",MAX(0,AJ200-AK200))</f>
        <v/>
      </c>
      <c r="AM200" s="39">
        <f>IF(AK200="","",(P200+AE200)*N200)</f>
        <v/>
      </c>
      <c r="AN200" s="55">
        <f>IF(AK200="","",BrokeragePerOrder*2*MAX(1,N(L200)))</f>
        <v/>
      </c>
      <c r="AO200" s="55">
        <f>IF(AK200="","",STTRate*IF(I200="Buy",AE200,P200)*N200)</f>
        <v/>
      </c>
      <c r="AP200" s="55">
        <f>IF(AK200="","",ExchRate*AM200)</f>
        <v/>
      </c>
      <c r="AQ200" s="55">
        <f>IF(AK200="","",SEBIRate*AM200)</f>
        <v/>
      </c>
      <c r="AR200" s="55">
        <f>IF(AK200="","",StampRate*IF(I200="Buy",P200,AE200)*N200)</f>
        <v/>
      </c>
      <c r="AS200" s="55">
        <f>IF(AK200="","",GSTRate*(AN200+AP200+AQ200))</f>
        <v/>
      </c>
      <c r="AT200" s="55">
        <f>IF(AK200="","",AN200+AO200+AP200+AQ200+AR200+AS200)</f>
        <v/>
      </c>
      <c r="AU200" s="39">
        <f>IF(AK200="","",AK200-AT200)</f>
        <v/>
      </c>
      <c r="AV200" s="56">
        <f>IF(AU200="","",AU200/IF(N(Z200)&gt;0,Z200,RiskPerTrade))</f>
        <v/>
      </c>
      <c r="AW200" s="31">
        <f>IF(AU200="","",AU200/Capital)</f>
        <v/>
      </c>
      <c r="AX200" s="37" t="n"/>
      <c r="AY200" s="37" t="n"/>
      <c r="AZ200" s="37" t="n"/>
      <c r="BA200" s="37" t="n"/>
      <c r="BB200" s="37" t="n"/>
      <c r="BC200" s="37" t="n"/>
      <c r="BD200" s="37" t="n"/>
      <c r="BE200" s="5">
        <f>IF(AU200="","",IF(AU200&gt;0,"Win",IF(AU200&lt;0,"Loss","BE")))</f>
        <v/>
      </c>
      <c r="BF200" s="5">
        <f>IF(O200="","",LOOKUP(O200,List_BucketStart,List_BucketLabel))</f>
        <v/>
      </c>
      <c r="BG200" s="57">
        <f>IF(B200="","",B200-WEEKDAY(B200,3))</f>
        <v/>
      </c>
      <c r="BH200" s="28">
        <f>IF(B200="","",COUNTIF($B$6:B200,B200))</f>
        <v/>
      </c>
      <c r="BI200" s="39">
        <f>IF(B200="","",SUMIFS($AU$6:AU200,$B$6:B200,B200)-N(AU200))</f>
        <v/>
      </c>
      <c r="BJ200" s="5">
        <f>IF(OR(B200="",E200=""),"",IF(AND(E200=0,I200="Sell",MAX(N(O200),N(AD200))&gt;ExpiryCutoff),"BREACH","OK"))</f>
        <v/>
      </c>
      <c r="BK200" s="5">
        <f>IF(B200="","",IF(OR(AC200&lt;&gt;"OK",BJ200="BREACH",BH200&gt;MaxTradesDay,BI200&lt;=-DailyLossLimit,OR(AF200="Panic",AF200="Revenge",AF200="Rule break")),"CHECK","OK"))</f>
        <v/>
      </c>
      <c r="BL200" s="39">
        <f>IF(AU200="","",SUM($AU$6:AU200))</f>
        <v/>
      </c>
      <c r="BM200" s="39">
        <f>IF(BL200="","",Capital+BL200)</f>
        <v/>
      </c>
      <c r="BN200" s="39">
        <f>IF(BM200="","",MAX(Capital,MAX($BM$6:BM200)))</f>
        <v/>
      </c>
      <c r="BO200" s="39">
        <f>IF(BM200="","",BN200-BM200)</f>
        <v/>
      </c>
      <c r="BP200" s="58">
        <f>IF(BO200="","",BO200/BN200)</f>
        <v/>
      </c>
      <c r="BQ200" s="28">
        <f>IF(AU200="","",IF(AU200&lt;0,N(BQ199)+1,0))</f>
        <v/>
      </c>
    </row>
    <row r="201">
      <c r="A201" s="28">
        <f>IF(B201="","",COUNT($B$6:B201))</f>
        <v/>
      </c>
      <c r="B201" s="27" t="n"/>
      <c r="C201" s="5">
        <f>IF(B201="","",TEXT(B201,"ddd"))</f>
        <v/>
      </c>
      <c r="D201" s="27" t="n"/>
      <c r="E201" s="28">
        <f>IF(OR(B201="",D201=""),"",MAX(0,NETWORKDAYS(B201,D201)-1))</f>
        <v/>
      </c>
      <c r="F201" s="37" t="n"/>
      <c r="G201" s="36" t="n"/>
      <c r="H201" s="37" t="n"/>
      <c r="I201" s="37" t="n"/>
      <c r="J201" s="37" t="n"/>
      <c r="K201" s="37" t="n"/>
      <c r="L201" s="36" t="n"/>
      <c r="M201" s="36" t="n"/>
      <c r="N201" s="33">
        <f>IF(M201="","",M201*LotSize)</f>
        <v/>
      </c>
      <c r="O201" s="51" t="n"/>
      <c r="P201" s="32" t="n"/>
      <c r="Q201" s="29" t="n"/>
      <c r="R201" s="30">
        <f>IF(OR(G201="",Q201="",H201=""),"",IF(H201="CE",G201-Q201,Q201-G201))</f>
        <v/>
      </c>
      <c r="S201" s="31">
        <f>IF(R201="","",R201/Q201)</f>
        <v/>
      </c>
      <c r="T201" s="38" t="n"/>
      <c r="U201" s="32" t="n"/>
      <c r="V201" s="52" t="n"/>
      <c r="W201" s="37" t="n"/>
      <c r="X201" s="32" t="n"/>
      <c r="Y201" s="32" t="n"/>
      <c r="Z201" s="39">
        <f>IF(OR(X201="",P201="",N201=""),"",ABS(X201-P201)*N201)</f>
        <v/>
      </c>
      <c r="AA201" s="53">
        <f>IF(OR(Z201="",Y201=""),"",IF(Z201=0,"",ABS(P201-Y201)*N201/Z201))</f>
        <v/>
      </c>
      <c r="AB201" s="54">
        <f>IF(Z201="","",Z201/Capital)</f>
        <v/>
      </c>
      <c r="AC201" s="5">
        <f>IF(B201="","",IF(X201="","NO SL",IF(OR(N(M201)&gt;MaxLots,N(AB201)&gt;RiskPct),"OVERSIZED","OK")))</f>
        <v/>
      </c>
      <c r="AD201" s="51" t="n"/>
      <c r="AE201" s="32" t="n"/>
      <c r="AF201" s="37" t="n"/>
      <c r="AG201" s="32" t="n"/>
      <c r="AH201" s="32" t="n"/>
      <c r="AI201" s="39">
        <f>IF(OR(AG201="",P201="",N201=""),"",ABS(AG201-P201)*N201)</f>
        <v/>
      </c>
      <c r="AJ201" s="39">
        <f>IF(OR(AH201="",P201="",N201=""),"",ABS(P201-AH201)*N201)</f>
        <v/>
      </c>
      <c r="AK201" s="39">
        <f>IF(OR(AE201="",P201="",N201=""),"",IF(I201="Buy",AE201-P201,P201-AE201)*N201)</f>
        <v/>
      </c>
      <c r="AL201" s="39">
        <f>IF(OR(AJ201="",AK201=""),"",MAX(0,AJ201-AK201))</f>
        <v/>
      </c>
      <c r="AM201" s="39">
        <f>IF(AK201="","",(P201+AE201)*N201)</f>
        <v/>
      </c>
      <c r="AN201" s="55">
        <f>IF(AK201="","",BrokeragePerOrder*2*MAX(1,N(L201)))</f>
        <v/>
      </c>
      <c r="AO201" s="55">
        <f>IF(AK201="","",STTRate*IF(I201="Buy",AE201,P201)*N201)</f>
        <v/>
      </c>
      <c r="AP201" s="55">
        <f>IF(AK201="","",ExchRate*AM201)</f>
        <v/>
      </c>
      <c r="AQ201" s="55">
        <f>IF(AK201="","",SEBIRate*AM201)</f>
        <v/>
      </c>
      <c r="AR201" s="55">
        <f>IF(AK201="","",StampRate*IF(I201="Buy",P201,AE201)*N201)</f>
        <v/>
      </c>
      <c r="AS201" s="55">
        <f>IF(AK201="","",GSTRate*(AN201+AP201+AQ201))</f>
        <v/>
      </c>
      <c r="AT201" s="55">
        <f>IF(AK201="","",AN201+AO201+AP201+AQ201+AR201+AS201)</f>
        <v/>
      </c>
      <c r="AU201" s="39">
        <f>IF(AK201="","",AK201-AT201)</f>
        <v/>
      </c>
      <c r="AV201" s="56">
        <f>IF(AU201="","",AU201/IF(N(Z201)&gt;0,Z201,RiskPerTrade))</f>
        <v/>
      </c>
      <c r="AW201" s="31">
        <f>IF(AU201="","",AU201/Capital)</f>
        <v/>
      </c>
      <c r="AX201" s="37" t="n"/>
      <c r="AY201" s="37" t="n"/>
      <c r="AZ201" s="37" t="n"/>
      <c r="BA201" s="37" t="n"/>
      <c r="BB201" s="37" t="n"/>
      <c r="BC201" s="37" t="n"/>
      <c r="BD201" s="37" t="n"/>
      <c r="BE201" s="5">
        <f>IF(AU201="","",IF(AU201&gt;0,"Win",IF(AU201&lt;0,"Loss","BE")))</f>
        <v/>
      </c>
      <c r="BF201" s="5">
        <f>IF(O201="","",LOOKUP(O201,List_BucketStart,List_BucketLabel))</f>
        <v/>
      </c>
      <c r="BG201" s="57">
        <f>IF(B201="","",B201-WEEKDAY(B201,3))</f>
        <v/>
      </c>
      <c r="BH201" s="28">
        <f>IF(B201="","",COUNTIF($B$6:B201,B201))</f>
        <v/>
      </c>
      <c r="BI201" s="39">
        <f>IF(B201="","",SUMIFS($AU$6:AU201,$B$6:B201,B201)-N(AU201))</f>
        <v/>
      </c>
      <c r="BJ201" s="5">
        <f>IF(OR(B201="",E201=""),"",IF(AND(E201=0,I201="Sell",MAX(N(O201),N(AD201))&gt;ExpiryCutoff),"BREACH","OK"))</f>
        <v/>
      </c>
      <c r="BK201" s="5">
        <f>IF(B201="","",IF(OR(AC201&lt;&gt;"OK",BJ201="BREACH",BH201&gt;MaxTradesDay,BI201&lt;=-DailyLossLimit,OR(AF201="Panic",AF201="Revenge",AF201="Rule break")),"CHECK","OK"))</f>
        <v/>
      </c>
      <c r="BL201" s="39">
        <f>IF(AU201="","",SUM($AU$6:AU201))</f>
        <v/>
      </c>
      <c r="BM201" s="39">
        <f>IF(BL201="","",Capital+BL201)</f>
        <v/>
      </c>
      <c r="BN201" s="39">
        <f>IF(BM201="","",MAX(Capital,MAX($BM$6:BM201)))</f>
        <v/>
      </c>
      <c r="BO201" s="39">
        <f>IF(BM201="","",BN201-BM201)</f>
        <v/>
      </c>
      <c r="BP201" s="58">
        <f>IF(BO201="","",BO201/BN201)</f>
        <v/>
      </c>
      <c r="BQ201" s="28">
        <f>IF(AU201="","",IF(AU201&lt;0,N(BQ200)+1,0))</f>
        <v/>
      </c>
    </row>
    <row r="202">
      <c r="A202" s="28">
        <f>IF(B202="","",COUNT($B$6:B202))</f>
        <v/>
      </c>
      <c r="B202" s="27" t="n"/>
      <c r="C202" s="5">
        <f>IF(B202="","",TEXT(B202,"ddd"))</f>
        <v/>
      </c>
      <c r="D202" s="27" t="n"/>
      <c r="E202" s="28">
        <f>IF(OR(B202="",D202=""),"",MAX(0,NETWORKDAYS(B202,D202)-1))</f>
        <v/>
      </c>
      <c r="F202" s="37" t="n"/>
      <c r="G202" s="36" t="n"/>
      <c r="H202" s="37" t="n"/>
      <c r="I202" s="37" t="n"/>
      <c r="J202" s="37" t="n"/>
      <c r="K202" s="37" t="n"/>
      <c r="L202" s="36" t="n"/>
      <c r="M202" s="36" t="n"/>
      <c r="N202" s="33">
        <f>IF(M202="","",M202*LotSize)</f>
        <v/>
      </c>
      <c r="O202" s="51" t="n"/>
      <c r="P202" s="32" t="n"/>
      <c r="Q202" s="29" t="n"/>
      <c r="R202" s="30">
        <f>IF(OR(G202="",Q202="",H202=""),"",IF(H202="CE",G202-Q202,Q202-G202))</f>
        <v/>
      </c>
      <c r="S202" s="31">
        <f>IF(R202="","",R202/Q202)</f>
        <v/>
      </c>
      <c r="T202" s="38" t="n"/>
      <c r="U202" s="32" t="n"/>
      <c r="V202" s="52" t="n"/>
      <c r="W202" s="37" t="n"/>
      <c r="X202" s="32" t="n"/>
      <c r="Y202" s="32" t="n"/>
      <c r="Z202" s="39">
        <f>IF(OR(X202="",P202="",N202=""),"",ABS(X202-P202)*N202)</f>
        <v/>
      </c>
      <c r="AA202" s="53">
        <f>IF(OR(Z202="",Y202=""),"",IF(Z202=0,"",ABS(P202-Y202)*N202/Z202))</f>
        <v/>
      </c>
      <c r="AB202" s="54">
        <f>IF(Z202="","",Z202/Capital)</f>
        <v/>
      </c>
      <c r="AC202" s="5">
        <f>IF(B202="","",IF(X202="","NO SL",IF(OR(N(M202)&gt;MaxLots,N(AB202)&gt;RiskPct),"OVERSIZED","OK")))</f>
        <v/>
      </c>
      <c r="AD202" s="51" t="n"/>
      <c r="AE202" s="32" t="n"/>
      <c r="AF202" s="37" t="n"/>
      <c r="AG202" s="32" t="n"/>
      <c r="AH202" s="32" t="n"/>
      <c r="AI202" s="39">
        <f>IF(OR(AG202="",P202="",N202=""),"",ABS(AG202-P202)*N202)</f>
        <v/>
      </c>
      <c r="AJ202" s="39">
        <f>IF(OR(AH202="",P202="",N202=""),"",ABS(P202-AH202)*N202)</f>
        <v/>
      </c>
      <c r="AK202" s="39">
        <f>IF(OR(AE202="",P202="",N202=""),"",IF(I202="Buy",AE202-P202,P202-AE202)*N202)</f>
        <v/>
      </c>
      <c r="AL202" s="39">
        <f>IF(OR(AJ202="",AK202=""),"",MAX(0,AJ202-AK202))</f>
        <v/>
      </c>
      <c r="AM202" s="39">
        <f>IF(AK202="","",(P202+AE202)*N202)</f>
        <v/>
      </c>
      <c r="AN202" s="55">
        <f>IF(AK202="","",BrokeragePerOrder*2*MAX(1,N(L202)))</f>
        <v/>
      </c>
      <c r="AO202" s="55">
        <f>IF(AK202="","",STTRate*IF(I202="Buy",AE202,P202)*N202)</f>
        <v/>
      </c>
      <c r="AP202" s="55">
        <f>IF(AK202="","",ExchRate*AM202)</f>
        <v/>
      </c>
      <c r="AQ202" s="55">
        <f>IF(AK202="","",SEBIRate*AM202)</f>
        <v/>
      </c>
      <c r="AR202" s="55">
        <f>IF(AK202="","",StampRate*IF(I202="Buy",P202,AE202)*N202)</f>
        <v/>
      </c>
      <c r="AS202" s="55">
        <f>IF(AK202="","",GSTRate*(AN202+AP202+AQ202))</f>
        <v/>
      </c>
      <c r="AT202" s="55">
        <f>IF(AK202="","",AN202+AO202+AP202+AQ202+AR202+AS202)</f>
        <v/>
      </c>
      <c r="AU202" s="39">
        <f>IF(AK202="","",AK202-AT202)</f>
        <v/>
      </c>
      <c r="AV202" s="56">
        <f>IF(AU202="","",AU202/IF(N(Z202)&gt;0,Z202,RiskPerTrade))</f>
        <v/>
      </c>
      <c r="AW202" s="31">
        <f>IF(AU202="","",AU202/Capital)</f>
        <v/>
      </c>
      <c r="AX202" s="37" t="n"/>
      <c r="AY202" s="37" t="n"/>
      <c r="AZ202" s="37" t="n"/>
      <c r="BA202" s="37" t="n"/>
      <c r="BB202" s="37" t="n"/>
      <c r="BC202" s="37" t="n"/>
      <c r="BD202" s="37" t="n"/>
      <c r="BE202" s="5">
        <f>IF(AU202="","",IF(AU202&gt;0,"Win",IF(AU202&lt;0,"Loss","BE")))</f>
        <v/>
      </c>
      <c r="BF202" s="5">
        <f>IF(O202="","",LOOKUP(O202,List_BucketStart,List_BucketLabel))</f>
        <v/>
      </c>
      <c r="BG202" s="57">
        <f>IF(B202="","",B202-WEEKDAY(B202,3))</f>
        <v/>
      </c>
      <c r="BH202" s="28">
        <f>IF(B202="","",COUNTIF($B$6:B202,B202))</f>
        <v/>
      </c>
      <c r="BI202" s="39">
        <f>IF(B202="","",SUMIFS($AU$6:AU202,$B$6:B202,B202)-N(AU202))</f>
        <v/>
      </c>
      <c r="BJ202" s="5">
        <f>IF(OR(B202="",E202=""),"",IF(AND(E202=0,I202="Sell",MAX(N(O202),N(AD202))&gt;ExpiryCutoff),"BREACH","OK"))</f>
        <v/>
      </c>
      <c r="BK202" s="5">
        <f>IF(B202="","",IF(OR(AC202&lt;&gt;"OK",BJ202="BREACH",BH202&gt;MaxTradesDay,BI202&lt;=-DailyLossLimit,OR(AF202="Panic",AF202="Revenge",AF202="Rule break")),"CHECK","OK"))</f>
        <v/>
      </c>
      <c r="BL202" s="39">
        <f>IF(AU202="","",SUM($AU$6:AU202))</f>
        <v/>
      </c>
      <c r="BM202" s="39">
        <f>IF(BL202="","",Capital+BL202)</f>
        <v/>
      </c>
      <c r="BN202" s="39">
        <f>IF(BM202="","",MAX(Capital,MAX($BM$6:BM202)))</f>
        <v/>
      </c>
      <c r="BO202" s="39">
        <f>IF(BM202="","",BN202-BM202)</f>
        <v/>
      </c>
      <c r="BP202" s="58">
        <f>IF(BO202="","",BO202/BN202)</f>
        <v/>
      </c>
      <c r="BQ202" s="28">
        <f>IF(AU202="","",IF(AU202&lt;0,N(BQ201)+1,0))</f>
        <v/>
      </c>
    </row>
    <row r="203">
      <c r="A203" s="28">
        <f>IF(B203="","",COUNT($B$6:B203))</f>
        <v/>
      </c>
      <c r="B203" s="27" t="n"/>
      <c r="C203" s="5">
        <f>IF(B203="","",TEXT(B203,"ddd"))</f>
        <v/>
      </c>
      <c r="D203" s="27" t="n"/>
      <c r="E203" s="28">
        <f>IF(OR(B203="",D203=""),"",MAX(0,NETWORKDAYS(B203,D203)-1))</f>
        <v/>
      </c>
      <c r="F203" s="37" t="n"/>
      <c r="G203" s="36" t="n"/>
      <c r="H203" s="37" t="n"/>
      <c r="I203" s="37" t="n"/>
      <c r="J203" s="37" t="n"/>
      <c r="K203" s="37" t="n"/>
      <c r="L203" s="36" t="n"/>
      <c r="M203" s="36" t="n"/>
      <c r="N203" s="33">
        <f>IF(M203="","",M203*LotSize)</f>
        <v/>
      </c>
      <c r="O203" s="51" t="n"/>
      <c r="P203" s="32" t="n"/>
      <c r="Q203" s="29" t="n"/>
      <c r="R203" s="30">
        <f>IF(OR(G203="",Q203="",H203=""),"",IF(H203="CE",G203-Q203,Q203-G203))</f>
        <v/>
      </c>
      <c r="S203" s="31">
        <f>IF(R203="","",R203/Q203)</f>
        <v/>
      </c>
      <c r="T203" s="38" t="n"/>
      <c r="U203" s="32" t="n"/>
      <c r="V203" s="52" t="n"/>
      <c r="W203" s="37" t="n"/>
      <c r="X203" s="32" t="n"/>
      <c r="Y203" s="32" t="n"/>
      <c r="Z203" s="39">
        <f>IF(OR(X203="",P203="",N203=""),"",ABS(X203-P203)*N203)</f>
        <v/>
      </c>
      <c r="AA203" s="53">
        <f>IF(OR(Z203="",Y203=""),"",IF(Z203=0,"",ABS(P203-Y203)*N203/Z203))</f>
        <v/>
      </c>
      <c r="AB203" s="54">
        <f>IF(Z203="","",Z203/Capital)</f>
        <v/>
      </c>
      <c r="AC203" s="5">
        <f>IF(B203="","",IF(X203="","NO SL",IF(OR(N(M203)&gt;MaxLots,N(AB203)&gt;RiskPct),"OVERSIZED","OK")))</f>
        <v/>
      </c>
      <c r="AD203" s="51" t="n"/>
      <c r="AE203" s="32" t="n"/>
      <c r="AF203" s="37" t="n"/>
      <c r="AG203" s="32" t="n"/>
      <c r="AH203" s="32" t="n"/>
      <c r="AI203" s="39">
        <f>IF(OR(AG203="",P203="",N203=""),"",ABS(AG203-P203)*N203)</f>
        <v/>
      </c>
      <c r="AJ203" s="39">
        <f>IF(OR(AH203="",P203="",N203=""),"",ABS(P203-AH203)*N203)</f>
        <v/>
      </c>
      <c r="AK203" s="39">
        <f>IF(OR(AE203="",P203="",N203=""),"",IF(I203="Buy",AE203-P203,P203-AE203)*N203)</f>
        <v/>
      </c>
      <c r="AL203" s="39">
        <f>IF(OR(AJ203="",AK203=""),"",MAX(0,AJ203-AK203))</f>
        <v/>
      </c>
      <c r="AM203" s="39">
        <f>IF(AK203="","",(P203+AE203)*N203)</f>
        <v/>
      </c>
      <c r="AN203" s="55">
        <f>IF(AK203="","",BrokeragePerOrder*2*MAX(1,N(L203)))</f>
        <v/>
      </c>
      <c r="AO203" s="55">
        <f>IF(AK203="","",STTRate*IF(I203="Buy",AE203,P203)*N203)</f>
        <v/>
      </c>
      <c r="AP203" s="55">
        <f>IF(AK203="","",ExchRate*AM203)</f>
        <v/>
      </c>
      <c r="AQ203" s="55">
        <f>IF(AK203="","",SEBIRate*AM203)</f>
        <v/>
      </c>
      <c r="AR203" s="55">
        <f>IF(AK203="","",StampRate*IF(I203="Buy",P203,AE203)*N203)</f>
        <v/>
      </c>
      <c r="AS203" s="55">
        <f>IF(AK203="","",GSTRate*(AN203+AP203+AQ203))</f>
        <v/>
      </c>
      <c r="AT203" s="55">
        <f>IF(AK203="","",AN203+AO203+AP203+AQ203+AR203+AS203)</f>
        <v/>
      </c>
      <c r="AU203" s="39">
        <f>IF(AK203="","",AK203-AT203)</f>
        <v/>
      </c>
      <c r="AV203" s="56">
        <f>IF(AU203="","",AU203/IF(N(Z203)&gt;0,Z203,RiskPerTrade))</f>
        <v/>
      </c>
      <c r="AW203" s="31">
        <f>IF(AU203="","",AU203/Capital)</f>
        <v/>
      </c>
      <c r="AX203" s="37" t="n"/>
      <c r="AY203" s="37" t="n"/>
      <c r="AZ203" s="37" t="n"/>
      <c r="BA203" s="37" t="n"/>
      <c r="BB203" s="37" t="n"/>
      <c r="BC203" s="37" t="n"/>
      <c r="BD203" s="37" t="n"/>
      <c r="BE203" s="5">
        <f>IF(AU203="","",IF(AU203&gt;0,"Win",IF(AU203&lt;0,"Loss","BE")))</f>
        <v/>
      </c>
      <c r="BF203" s="5">
        <f>IF(O203="","",LOOKUP(O203,List_BucketStart,List_BucketLabel))</f>
        <v/>
      </c>
      <c r="BG203" s="57">
        <f>IF(B203="","",B203-WEEKDAY(B203,3))</f>
        <v/>
      </c>
      <c r="BH203" s="28">
        <f>IF(B203="","",COUNTIF($B$6:B203,B203))</f>
        <v/>
      </c>
      <c r="BI203" s="39">
        <f>IF(B203="","",SUMIFS($AU$6:AU203,$B$6:B203,B203)-N(AU203))</f>
        <v/>
      </c>
      <c r="BJ203" s="5">
        <f>IF(OR(B203="",E203=""),"",IF(AND(E203=0,I203="Sell",MAX(N(O203),N(AD203))&gt;ExpiryCutoff),"BREACH","OK"))</f>
        <v/>
      </c>
      <c r="BK203" s="5">
        <f>IF(B203="","",IF(OR(AC203&lt;&gt;"OK",BJ203="BREACH",BH203&gt;MaxTradesDay,BI203&lt;=-DailyLossLimit,OR(AF203="Panic",AF203="Revenge",AF203="Rule break")),"CHECK","OK"))</f>
        <v/>
      </c>
      <c r="BL203" s="39">
        <f>IF(AU203="","",SUM($AU$6:AU203))</f>
        <v/>
      </c>
      <c r="BM203" s="39">
        <f>IF(BL203="","",Capital+BL203)</f>
        <v/>
      </c>
      <c r="BN203" s="39">
        <f>IF(BM203="","",MAX(Capital,MAX($BM$6:BM203)))</f>
        <v/>
      </c>
      <c r="BO203" s="39">
        <f>IF(BM203="","",BN203-BM203)</f>
        <v/>
      </c>
      <c r="BP203" s="58">
        <f>IF(BO203="","",BO203/BN203)</f>
        <v/>
      </c>
      <c r="BQ203" s="28">
        <f>IF(AU203="","",IF(AU203&lt;0,N(BQ202)+1,0))</f>
        <v/>
      </c>
    </row>
    <row r="204">
      <c r="A204" s="28">
        <f>IF(B204="","",COUNT($B$6:B204))</f>
        <v/>
      </c>
      <c r="B204" s="27" t="n"/>
      <c r="C204" s="5">
        <f>IF(B204="","",TEXT(B204,"ddd"))</f>
        <v/>
      </c>
      <c r="D204" s="27" t="n"/>
      <c r="E204" s="28">
        <f>IF(OR(B204="",D204=""),"",MAX(0,NETWORKDAYS(B204,D204)-1))</f>
        <v/>
      </c>
      <c r="F204" s="37" t="n"/>
      <c r="G204" s="36" t="n"/>
      <c r="H204" s="37" t="n"/>
      <c r="I204" s="37" t="n"/>
      <c r="J204" s="37" t="n"/>
      <c r="K204" s="37" t="n"/>
      <c r="L204" s="36" t="n"/>
      <c r="M204" s="36" t="n"/>
      <c r="N204" s="33">
        <f>IF(M204="","",M204*LotSize)</f>
        <v/>
      </c>
      <c r="O204" s="51" t="n"/>
      <c r="P204" s="32" t="n"/>
      <c r="Q204" s="29" t="n"/>
      <c r="R204" s="30">
        <f>IF(OR(G204="",Q204="",H204=""),"",IF(H204="CE",G204-Q204,Q204-G204))</f>
        <v/>
      </c>
      <c r="S204" s="31">
        <f>IF(R204="","",R204/Q204)</f>
        <v/>
      </c>
      <c r="T204" s="38" t="n"/>
      <c r="U204" s="32" t="n"/>
      <c r="V204" s="52" t="n"/>
      <c r="W204" s="37" t="n"/>
      <c r="X204" s="32" t="n"/>
      <c r="Y204" s="32" t="n"/>
      <c r="Z204" s="39">
        <f>IF(OR(X204="",P204="",N204=""),"",ABS(X204-P204)*N204)</f>
        <v/>
      </c>
      <c r="AA204" s="53">
        <f>IF(OR(Z204="",Y204=""),"",IF(Z204=0,"",ABS(P204-Y204)*N204/Z204))</f>
        <v/>
      </c>
      <c r="AB204" s="54">
        <f>IF(Z204="","",Z204/Capital)</f>
        <v/>
      </c>
      <c r="AC204" s="5">
        <f>IF(B204="","",IF(X204="","NO SL",IF(OR(N(M204)&gt;MaxLots,N(AB204)&gt;RiskPct),"OVERSIZED","OK")))</f>
        <v/>
      </c>
      <c r="AD204" s="51" t="n"/>
      <c r="AE204" s="32" t="n"/>
      <c r="AF204" s="37" t="n"/>
      <c r="AG204" s="32" t="n"/>
      <c r="AH204" s="32" t="n"/>
      <c r="AI204" s="39">
        <f>IF(OR(AG204="",P204="",N204=""),"",ABS(AG204-P204)*N204)</f>
        <v/>
      </c>
      <c r="AJ204" s="39">
        <f>IF(OR(AH204="",P204="",N204=""),"",ABS(P204-AH204)*N204)</f>
        <v/>
      </c>
      <c r="AK204" s="39">
        <f>IF(OR(AE204="",P204="",N204=""),"",IF(I204="Buy",AE204-P204,P204-AE204)*N204)</f>
        <v/>
      </c>
      <c r="AL204" s="39">
        <f>IF(OR(AJ204="",AK204=""),"",MAX(0,AJ204-AK204))</f>
        <v/>
      </c>
      <c r="AM204" s="39">
        <f>IF(AK204="","",(P204+AE204)*N204)</f>
        <v/>
      </c>
      <c r="AN204" s="55">
        <f>IF(AK204="","",BrokeragePerOrder*2*MAX(1,N(L204)))</f>
        <v/>
      </c>
      <c r="AO204" s="55">
        <f>IF(AK204="","",STTRate*IF(I204="Buy",AE204,P204)*N204)</f>
        <v/>
      </c>
      <c r="AP204" s="55">
        <f>IF(AK204="","",ExchRate*AM204)</f>
        <v/>
      </c>
      <c r="AQ204" s="55">
        <f>IF(AK204="","",SEBIRate*AM204)</f>
        <v/>
      </c>
      <c r="AR204" s="55">
        <f>IF(AK204="","",StampRate*IF(I204="Buy",P204,AE204)*N204)</f>
        <v/>
      </c>
      <c r="AS204" s="55">
        <f>IF(AK204="","",GSTRate*(AN204+AP204+AQ204))</f>
        <v/>
      </c>
      <c r="AT204" s="55">
        <f>IF(AK204="","",AN204+AO204+AP204+AQ204+AR204+AS204)</f>
        <v/>
      </c>
      <c r="AU204" s="39">
        <f>IF(AK204="","",AK204-AT204)</f>
        <v/>
      </c>
      <c r="AV204" s="56">
        <f>IF(AU204="","",AU204/IF(N(Z204)&gt;0,Z204,RiskPerTrade))</f>
        <v/>
      </c>
      <c r="AW204" s="31">
        <f>IF(AU204="","",AU204/Capital)</f>
        <v/>
      </c>
      <c r="AX204" s="37" t="n"/>
      <c r="AY204" s="37" t="n"/>
      <c r="AZ204" s="37" t="n"/>
      <c r="BA204" s="37" t="n"/>
      <c r="BB204" s="37" t="n"/>
      <c r="BC204" s="37" t="n"/>
      <c r="BD204" s="37" t="n"/>
      <c r="BE204" s="5">
        <f>IF(AU204="","",IF(AU204&gt;0,"Win",IF(AU204&lt;0,"Loss","BE")))</f>
        <v/>
      </c>
      <c r="BF204" s="5">
        <f>IF(O204="","",LOOKUP(O204,List_BucketStart,List_BucketLabel))</f>
        <v/>
      </c>
      <c r="BG204" s="57">
        <f>IF(B204="","",B204-WEEKDAY(B204,3))</f>
        <v/>
      </c>
      <c r="BH204" s="28">
        <f>IF(B204="","",COUNTIF($B$6:B204,B204))</f>
        <v/>
      </c>
      <c r="BI204" s="39">
        <f>IF(B204="","",SUMIFS($AU$6:AU204,$B$6:B204,B204)-N(AU204))</f>
        <v/>
      </c>
      <c r="BJ204" s="5">
        <f>IF(OR(B204="",E204=""),"",IF(AND(E204=0,I204="Sell",MAX(N(O204),N(AD204))&gt;ExpiryCutoff),"BREACH","OK"))</f>
        <v/>
      </c>
      <c r="BK204" s="5">
        <f>IF(B204="","",IF(OR(AC204&lt;&gt;"OK",BJ204="BREACH",BH204&gt;MaxTradesDay,BI204&lt;=-DailyLossLimit,OR(AF204="Panic",AF204="Revenge",AF204="Rule break")),"CHECK","OK"))</f>
        <v/>
      </c>
      <c r="BL204" s="39">
        <f>IF(AU204="","",SUM($AU$6:AU204))</f>
        <v/>
      </c>
      <c r="BM204" s="39">
        <f>IF(BL204="","",Capital+BL204)</f>
        <v/>
      </c>
      <c r="BN204" s="39">
        <f>IF(BM204="","",MAX(Capital,MAX($BM$6:BM204)))</f>
        <v/>
      </c>
      <c r="BO204" s="39">
        <f>IF(BM204="","",BN204-BM204)</f>
        <v/>
      </c>
      <c r="BP204" s="58">
        <f>IF(BO204="","",BO204/BN204)</f>
        <v/>
      </c>
      <c r="BQ204" s="28">
        <f>IF(AU204="","",IF(AU204&lt;0,N(BQ203)+1,0))</f>
        <v/>
      </c>
    </row>
    <row r="205">
      <c r="A205" s="28">
        <f>IF(B205="","",COUNT($B$6:B205))</f>
        <v/>
      </c>
      <c r="B205" s="27" t="n"/>
      <c r="C205" s="5">
        <f>IF(B205="","",TEXT(B205,"ddd"))</f>
        <v/>
      </c>
      <c r="D205" s="27" t="n"/>
      <c r="E205" s="28">
        <f>IF(OR(B205="",D205=""),"",MAX(0,NETWORKDAYS(B205,D205)-1))</f>
        <v/>
      </c>
      <c r="F205" s="37" t="n"/>
      <c r="G205" s="36" t="n"/>
      <c r="H205" s="37" t="n"/>
      <c r="I205" s="37" t="n"/>
      <c r="J205" s="37" t="n"/>
      <c r="K205" s="37" t="n"/>
      <c r="L205" s="36" t="n"/>
      <c r="M205" s="36" t="n"/>
      <c r="N205" s="33">
        <f>IF(M205="","",M205*LotSize)</f>
        <v/>
      </c>
      <c r="O205" s="51" t="n"/>
      <c r="P205" s="32" t="n"/>
      <c r="Q205" s="29" t="n"/>
      <c r="R205" s="30">
        <f>IF(OR(G205="",Q205="",H205=""),"",IF(H205="CE",G205-Q205,Q205-G205))</f>
        <v/>
      </c>
      <c r="S205" s="31">
        <f>IF(R205="","",R205/Q205)</f>
        <v/>
      </c>
      <c r="T205" s="38" t="n"/>
      <c r="U205" s="32" t="n"/>
      <c r="V205" s="52" t="n"/>
      <c r="W205" s="37" t="n"/>
      <c r="X205" s="32" t="n"/>
      <c r="Y205" s="32" t="n"/>
      <c r="Z205" s="39">
        <f>IF(OR(X205="",P205="",N205=""),"",ABS(X205-P205)*N205)</f>
        <v/>
      </c>
      <c r="AA205" s="53">
        <f>IF(OR(Z205="",Y205=""),"",IF(Z205=0,"",ABS(P205-Y205)*N205/Z205))</f>
        <v/>
      </c>
      <c r="AB205" s="54">
        <f>IF(Z205="","",Z205/Capital)</f>
        <v/>
      </c>
      <c r="AC205" s="5">
        <f>IF(B205="","",IF(X205="","NO SL",IF(OR(N(M205)&gt;MaxLots,N(AB205)&gt;RiskPct),"OVERSIZED","OK")))</f>
        <v/>
      </c>
      <c r="AD205" s="51" t="n"/>
      <c r="AE205" s="32" t="n"/>
      <c r="AF205" s="37" t="n"/>
      <c r="AG205" s="32" t="n"/>
      <c r="AH205" s="32" t="n"/>
      <c r="AI205" s="39">
        <f>IF(OR(AG205="",P205="",N205=""),"",ABS(AG205-P205)*N205)</f>
        <v/>
      </c>
      <c r="AJ205" s="39">
        <f>IF(OR(AH205="",P205="",N205=""),"",ABS(P205-AH205)*N205)</f>
        <v/>
      </c>
      <c r="AK205" s="39">
        <f>IF(OR(AE205="",P205="",N205=""),"",IF(I205="Buy",AE205-P205,P205-AE205)*N205)</f>
        <v/>
      </c>
      <c r="AL205" s="39">
        <f>IF(OR(AJ205="",AK205=""),"",MAX(0,AJ205-AK205))</f>
        <v/>
      </c>
      <c r="AM205" s="39">
        <f>IF(AK205="","",(P205+AE205)*N205)</f>
        <v/>
      </c>
      <c r="AN205" s="55">
        <f>IF(AK205="","",BrokeragePerOrder*2*MAX(1,N(L205)))</f>
        <v/>
      </c>
      <c r="AO205" s="55">
        <f>IF(AK205="","",STTRate*IF(I205="Buy",AE205,P205)*N205)</f>
        <v/>
      </c>
      <c r="AP205" s="55">
        <f>IF(AK205="","",ExchRate*AM205)</f>
        <v/>
      </c>
      <c r="AQ205" s="55">
        <f>IF(AK205="","",SEBIRate*AM205)</f>
        <v/>
      </c>
      <c r="AR205" s="55">
        <f>IF(AK205="","",StampRate*IF(I205="Buy",P205,AE205)*N205)</f>
        <v/>
      </c>
      <c r="AS205" s="55">
        <f>IF(AK205="","",GSTRate*(AN205+AP205+AQ205))</f>
        <v/>
      </c>
      <c r="AT205" s="55">
        <f>IF(AK205="","",AN205+AO205+AP205+AQ205+AR205+AS205)</f>
        <v/>
      </c>
      <c r="AU205" s="39">
        <f>IF(AK205="","",AK205-AT205)</f>
        <v/>
      </c>
      <c r="AV205" s="56">
        <f>IF(AU205="","",AU205/IF(N(Z205)&gt;0,Z205,RiskPerTrade))</f>
        <v/>
      </c>
      <c r="AW205" s="31">
        <f>IF(AU205="","",AU205/Capital)</f>
        <v/>
      </c>
      <c r="AX205" s="37" t="n"/>
      <c r="AY205" s="37" t="n"/>
      <c r="AZ205" s="37" t="n"/>
      <c r="BA205" s="37" t="n"/>
      <c r="BB205" s="37" t="n"/>
      <c r="BC205" s="37" t="n"/>
      <c r="BD205" s="37" t="n"/>
      <c r="BE205" s="5">
        <f>IF(AU205="","",IF(AU205&gt;0,"Win",IF(AU205&lt;0,"Loss","BE")))</f>
        <v/>
      </c>
      <c r="BF205" s="5">
        <f>IF(O205="","",LOOKUP(O205,List_BucketStart,List_BucketLabel))</f>
        <v/>
      </c>
      <c r="BG205" s="57">
        <f>IF(B205="","",B205-WEEKDAY(B205,3))</f>
        <v/>
      </c>
      <c r="BH205" s="28">
        <f>IF(B205="","",COUNTIF($B$6:B205,B205))</f>
        <v/>
      </c>
      <c r="BI205" s="39">
        <f>IF(B205="","",SUMIFS($AU$6:AU205,$B$6:B205,B205)-N(AU205))</f>
        <v/>
      </c>
      <c r="BJ205" s="5">
        <f>IF(OR(B205="",E205=""),"",IF(AND(E205=0,I205="Sell",MAX(N(O205),N(AD205))&gt;ExpiryCutoff),"BREACH","OK"))</f>
        <v/>
      </c>
      <c r="BK205" s="5">
        <f>IF(B205="","",IF(OR(AC205&lt;&gt;"OK",BJ205="BREACH",BH205&gt;MaxTradesDay,BI205&lt;=-DailyLossLimit,OR(AF205="Panic",AF205="Revenge",AF205="Rule break")),"CHECK","OK"))</f>
        <v/>
      </c>
      <c r="BL205" s="39">
        <f>IF(AU205="","",SUM($AU$6:AU205))</f>
        <v/>
      </c>
      <c r="BM205" s="39">
        <f>IF(BL205="","",Capital+BL205)</f>
        <v/>
      </c>
      <c r="BN205" s="39">
        <f>IF(BM205="","",MAX(Capital,MAX($BM$6:BM205)))</f>
        <v/>
      </c>
      <c r="BO205" s="39">
        <f>IF(BM205="","",BN205-BM205)</f>
        <v/>
      </c>
      <c r="BP205" s="58">
        <f>IF(BO205="","",BO205/BN205)</f>
        <v/>
      </c>
      <c r="BQ205" s="28">
        <f>IF(AU205="","",IF(AU205&lt;0,N(BQ204)+1,0))</f>
        <v/>
      </c>
    </row>
    <row r="206">
      <c r="A206" s="28">
        <f>IF(B206="","",COUNT($B$6:B206))</f>
        <v/>
      </c>
      <c r="B206" s="27" t="n"/>
      <c r="C206" s="5">
        <f>IF(B206="","",TEXT(B206,"ddd"))</f>
        <v/>
      </c>
      <c r="D206" s="27" t="n"/>
      <c r="E206" s="28">
        <f>IF(OR(B206="",D206=""),"",MAX(0,NETWORKDAYS(B206,D206)-1))</f>
        <v/>
      </c>
      <c r="F206" s="37" t="n"/>
      <c r="G206" s="36" t="n"/>
      <c r="H206" s="37" t="n"/>
      <c r="I206" s="37" t="n"/>
      <c r="J206" s="37" t="n"/>
      <c r="K206" s="37" t="n"/>
      <c r="L206" s="36" t="n"/>
      <c r="M206" s="36" t="n"/>
      <c r="N206" s="33">
        <f>IF(M206="","",M206*LotSize)</f>
        <v/>
      </c>
      <c r="O206" s="51" t="n"/>
      <c r="P206" s="32" t="n"/>
      <c r="Q206" s="29" t="n"/>
      <c r="R206" s="30">
        <f>IF(OR(G206="",Q206="",H206=""),"",IF(H206="CE",G206-Q206,Q206-G206))</f>
        <v/>
      </c>
      <c r="S206" s="31">
        <f>IF(R206="","",R206/Q206)</f>
        <v/>
      </c>
      <c r="T206" s="38" t="n"/>
      <c r="U206" s="32" t="n"/>
      <c r="V206" s="52" t="n"/>
      <c r="W206" s="37" t="n"/>
      <c r="X206" s="32" t="n"/>
      <c r="Y206" s="32" t="n"/>
      <c r="Z206" s="39">
        <f>IF(OR(X206="",P206="",N206=""),"",ABS(X206-P206)*N206)</f>
        <v/>
      </c>
      <c r="AA206" s="53">
        <f>IF(OR(Z206="",Y206=""),"",IF(Z206=0,"",ABS(P206-Y206)*N206/Z206))</f>
        <v/>
      </c>
      <c r="AB206" s="54">
        <f>IF(Z206="","",Z206/Capital)</f>
        <v/>
      </c>
      <c r="AC206" s="5">
        <f>IF(B206="","",IF(X206="","NO SL",IF(OR(N(M206)&gt;MaxLots,N(AB206)&gt;RiskPct),"OVERSIZED","OK")))</f>
        <v/>
      </c>
      <c r="AD206" s="51" t="n"/>
      <c r="AE206" s="32" t="n"/>
      <c r="AF206" s="37" t="n"/>
      <c r="AG206" s="32" t="n"/>
      <c r="AH206" s="32" t="n"/>
      <c r="AI206" s="39">
        <f>IF(OR(AG206="",P206="",N206=""),"",ABS(AG206-P206)*N206)</f>
        <v/>
      </c>
      <c r="AJ206" s="39">
        <f>IF(OR(AH206="",P206="",N206=""),"",ABS(P206-AH206)*N206)</f>
        <v/>
      </c>
      <c r="AK206" s="39">
        <f>IF(OR(AE206="",P206="",N206=""),"",IF(I206="Buy",AE206-P206,P206-AE206)*N206)</f>
        <v/>
      </c>
      <c r="AL206" s="39">
        <f>IF(OR(AJ206="",AK206=""),"",MAX(0,AJ206-AK206))</f>
        <v/>
      </c>
      <c r="AM206" s="39">
        <f>IF(AK206="","",(P206+AE206)*N206)</f>
        <v/>
      </c>
      <c r="AN206" s="55">
        <f>IF(AK206="","",BrokeragePerOrder*2*MAX(1,N(L206)))</f>
        <v/>
      </c>
      <c r="AO206" s="55">
        <f>IF(AK206="","",STTRate*IF(I206="Buy",AE206,P206)*N206)</f>
        <v/>
      </c>
      <c r="AP206" s="55">
        <f>IF(AK206="","",ExchRate*AM206)</f>
        <v/>
      </c>
      <c r="AQ206" s="55">
        <f>IF(AK206="","",SEBIRate*AM206)</f>
        <v/>
      </c>
      <c r="AR206" s="55">
        <f>IF(AK206="","",StampRate*IF(I206="Buy",P206,AE206)*N206)</f>
        <v/>
      </c>
      <c r="AS206" s="55">
        <f>IF(AK206="","",GSTRate*(AN206+AP206+AQ206))</f>
        <v/>
      </c>
      <c r="AT206" s="55">
        <f>IF(AK206="","",AN206+AO206+AP206+AQ206+AR206+AS206)</f>
        <v/>
      </c>
      <c r="AU206" s="39">
        <f>IF(AK206="","",AK206-AT206)</f>
        <v/>
      </c>
      <c r="AV206" s="56">
        <f>IF(AU206="","",AU206/IF(N(Z206)&gt;0,Z206,RiskPerTrade))</f>
        <v/>
      </c>
      <c r="AW206" s="31">
        <f>IF(AU206="","",AU206/Capital)</f>
        <v/>
      </c>
      <c r="AX206" s="37" t="n"/>
      <c r="AY206" s="37" t="n"/>
      <c r="AZ206" s="37" t="n"/>
      <c r="BA206" s="37" t="n"/>
      <c r="BB206" s="37" t="n"/>
      <c r="BC206" s="37" t="n"/>
      <c r="BD206" s="37" t="n"/>
      <c r="BE206" s="5">
        <f>IF(AU206="","",IF(AU206&gt;0,"Win",IF(AU206&lt;0,"Loss","BE")))</f>
        <v/>
      </c>
      <c r="BF206" s="5">
        <f>IF(O206="","",LOOKUP(O206,List_BucketStart,List_BucketLabel))</f>
        <v/>
      </c>
      <c r="BG206" s="57">
        <f>IF(B206="","",B206-WEEKDAY(B206,3))</f>
        <v/>
      </c>
      <c r="BH206" s="28">
        <f>IF(B206="","",COUNTIF($B$6:B206,B206))</f>
        <v/>
      </c>
      <c r="BI206" s="39">
        <f>IF(B206="","",SUMIFS($AU$6:AU206,$B$6:B206,B206)-N(AU206))</f>
        <v/>
      </c>
      <c r="BJ206" s="5">
        <f>IF(OR(B206="",E206=""),"",IF(AND(E206=0,I206="Sell",MAX(N(O206),N(AD206))&gt;ExpiryCutoff),"BREACH","OK"))</f>
        <v/>
      </c>
      <c r="BK206" s="5">
        <f>IF(B206="","",IF(OR(AC206&lt;&gt;"OK",BJ206="BREACH",BH206&gt;MaxTradesDay,BI206&lt;=-DailyLossLimit,OR(AF206="Panic",AF206="Revenge",AF206="Rule break")),"CHECK","OK"))</f>
        <v/>
      </c>
      <c r="BL206" s="39">
        <f>IF(AU206="","",SUM($AU$6:AU206))</f>
        <v/>
      </c>
      <c r="BM206" s="39">
        <f>IF(BL206="","",Capital+BL206)</f>
        <v/>
      </c>
      <c r="BN206" s="39">
        <f>IF(BM206="","",MAX(Capital,MAX($BM$6:BM206)))</f>
        <v/>
      </c>
      <c r="BO206" s="39">
        <f>IF(BM206="","",BN206-BM206)</f>
        <v/>
      </c>
      <c r="BP206" s="58">
        <f>IF(BO206="","",BO206/BN206)</f>
        <v/>
      </c>
      <c r="BQ206" s="28">
        <f>IF(AU206="","",IF(AU206&lt;0,N(BQ205)+1,0))</f>
        <v/>
      </c>
    </row>
    <row r="207">
      <c r="A207" s="28">
        <f>IF(B207="","",COUNT($B$6:B207))</f>
        <v/>
      </c>
      <c r="B207" s="27" t="n"/>
      <c r="C207" s="5">
        <f>IF(B207="","",TEXT(B207,"ddd"))</f>
        <v/>
      </c>
      <c r="D207" s="27" t="n"/>
      <c r="E207" s="28">
        <f>IF(OR(B207="",D207=""),"",MAX(0,NETWORKDAYS(B207,D207)-1))</f>
        <v/>
      </c>
      <c r="F207" s="37" t="n"/>
      <c r="G207" s="36" t="n"/>
      <c r="H207" s="37" t="n"/>
      <c r="I207" s="37" t="n"/>
      <c r="J207" s="37" t="n"/>
      <c r="K207" s="37" t="n"/>
      <c r="L207" s="36" t="n"/>
      <c r="M207" s="36" t="n"/>
      <c r="N207" s="33">
        <f>IF(M207="","",M207*LotSize)</f>
        <v/>
      </c>
      <c r="O207" s="51" t="n"/>
      <c r="P207" s="32" t="n"/>
      <c r="Q207" s="29" t="n"/>
      <c r="R207" s="30">
        <f>IF(OR(G207="",Q207="",H207=""),"",IF(H207="CE",G207-Q207,Q207-G207))</f>
        <v/>
      </c>
      <c r="S207" s="31">
        <f>IF(R207="","",R207/Q207)</f>
        <v/>
      </c>
      <c r="T207" s="38" t="n"/>
      <c r="U207" s="32" t="n"/>
      <c r="V207" s="52" t="n"/>
      <c r="W207" s="37" t="n"/>
      <c r="X207" s="32" t="n"/>
      <c r="Y207" s="32" t="n"/>
      <c r="Z207" s="39">
        <f>IF(OR(X207="",P207="",N207=""),"",ABS(X207-P207)*N207)</f>
        <v/>
      </c>
      <c r="AA207" s="53">
        <f>IF(OR(Z207="",Y207=""),"",IF(Z207=0,"",ABS(P207-Y207)*N207/Z207))</f>
        <v/>
      </c>
      <c r="AB207" s="54">
        <f>IF(Z207="","",Z207/Capital)</f>
        <v/>
      </c>
      <c r="AC207" s="5">
        <f>IF(B207="","",IF(X207="","NO SL",IF(OR(N(M207)&gt;MaxLots,N(AB207)&gt;RiskPct),"OVERSIZED","OK")))</f>
        <v/>
      </c>
      <c r="AD207" s="51" t="n"/>
      <c r="AE207" s="32" t="n"/>
      <c r="AF207" s="37" t="n"/>
      <c r="AG207" s="32" t="n"/>
      <c r="AH207" s="32" t="n"/>
      <c r="AI207" s="39">
        <f>IF(OR(AG207="",P207="",N207=""),"",ABS(AG207-P207)*N207)</f>
        <v/>
      </c>
      <c r="AJ207" s="39">
        <f>IF(OR(AH207="",P207="",N207=""),"",ABS(P207-AH207)*N207)</f>
        <v/>
      </c>
      <c r="AK207" s="39">
        <f>IF(OR(AE207="",P207="",N207=""),"",IF(I207="Buy",AE207-P207,P207-AE207)*N207)</f>
        <v/>
      </c>
      <c r="AL207" s="39">
        <f>IF(OR(AJ207="",AK207=""),"",MAX(0,AJ207-AK207))</f>
        <v/>
      </c>
      <c r="AM207" s="39">
        <f>IF(AK207="","",(P207+AE207)*N207)</f>
        <v/>
      </c>
      <c r="AN207" s="55">
        <f>IF(AK207="","",BrokeragePerOrder*2*MAX(1,N(L207)))</f>
        <v/>
      </c>
      <c r="AO207" s="55">
        <f>IF(AK207="","",STTRate*IF(I207="Buy",AE207,P207)*N207)</f>
        <v/>
      </c>
      <c r="AP207" s="55">
        <f>IF(AK207="","",ExchRate*AM207)</f>
        <v/>
      </c>
      <c r="AQ207" s="55">
        <f>IF(AK207="","",SEBIRate*AM207)</f>
        <v/>
      </c>
      <c r="AR207" s="55">
        <f>IF(AK207="","",StampRate*IF(I207="Buy",P207,AE207)*N207)</f>
        <v/>
      </c>
      <c r="AS207" s="55">
        <f>IF(AK207="","",GSTRate*(AN207+AP207+AQ207))</f>
        <v/>
      </c>
      <c r="AT207" s="55">
        <f>IF(AK207="","",AN207+AO207+AP207+AQ207+AR207+AS207)</f>
        <v/>
      </c>
      <c r="AU207" s="39">
        <f>IF(AK207="","",AK207-AT207)</f>
        <v/>
      </c>
      <c r="AV207" s="56">
        <f>IF(AU207="","",AU207/IF(N(Z207)&gt;0,Z207,RiskPerTrade))</f>
        <v/>
      </c>
      <c r="AW207" s="31">
        <f>IF(AU207="","",AU207/Capital)</f>
        <v/>
      </c>
      <c r="AX207" s="37" t="n"/>
      <c r="AY207" s="37" t="n"/>
      <c r="AZ207" s="37" t="n"/>
      <c r="BA207" s="37" t="n"/>
      <c r="BB207" s="37" t="n"/>
      <c r="BC207" s="37" t="n"/>
      <c r="BD207" s="37" t="n"/>
      <c r="BE207" s="5">
        <f>IF(AU207="","",IF(AU207&gt;0,"Win",IF(AU207&lt;0,"Loss","BE")))</f>
        <v/>
      </c>
      <c r="BF207" s="5">
        <f>IF(O207="","",LOOKUP(O207,List_BucketStart,List_BucketLabel))</f>
        <v/>
      </c>
      <c r="BG207" s="57">
        <f>IF(B207="","",B207-WEEKDAY(B207,3))</f>
        <v/>
      </c>
      <c r="BH207" s="28">
        <f>IF(B207="","",COUNTIF($B$6:B207,B207))</f>
        <v/>
      </c>
      <c r="BI207" s="39">
        <f>IF(B207="","",SUMIFS($AU$6:AU207,$B$6:B207,B207)-N(AU207))</f>
        <v/>
      </c>
      <c r="BJ207" s="5">
        <f>IF(OR(B207="",E207=""),"",IF(AND(E207=0,I207="Sell",MAX(N(O207),N(AD207))&gt;ExpiryCutoff),"BREACH","OK"))</f>
        <v/>
      </c>
      <c r="BK207" s="5">
        <f>IF(B207="","",IF(OR(AC207&lt;&gt;"OK",BJ207="BREACH",BH207&gt;MaxTradesDay,BI207&lt;=-DailyLossLimit,OR(AF207="Panic",AF207="Revenge",AF207="Rule break")),"CHECK","OK"))</f>
        <v/>
      </c>
      <c r="BL207" s="39">
        <f>IF(AU207="","",SUM($AU$6:AU207))</f>
        <v/>
      </c>
      <c r="BM207" s="39">
        <f>IF(BL207="","",Capital+BL207)</f>
        <v/>
      </c>
      <c r="BN207" s="39">
        <f>IF(BM207="","",MAX(Capital,MAX($BM$6:BM207)))</f>
        <v/>
      </c>
      <c r="BO207" s="39">
        <f>IF(BM207="","",BN207-BM207)</f>
        <v/>
      </c>
      <c r="BP207" s="58">
        <f>IF(BO207="","",BO207/BN207)</f>
        <v/>
      </c>
      <c r="BQ207" s="28">
        <f>IF(AU207="","",IF(AU207&lt;0,N(BQ206)+1,0))</f>
        <v/>
      </c>
    </row>
    <row r="208">
      <c r="A208" s="28">
        <f>IF(B208="","",COUNT($B$6:B208))</f>
        <v/>
      </c>
      <c r="B208" s="27" t="n"/>
      <c r="C208" s="5">
        <f>IF(B208="","",TEXT(B208,"ddd"))</f>
        <v/>
      </c>
      <c r="D208" s="27" t="n"/>
      <c r="E208" s="28">
        <f>IF(OR(B208="",D208=""),"",MAX(0,NETWORKDAYS(B208,D208)-1))</f>
        <v/>
      </c>
      <c r="F208" s="37" t="n"/>
      <c r="G208" s="36" t="n"/>
      <c r="H208" s="37" t="n"/>
      <c r="I208" s="37" t="n"/>
      <c r="J208" s="37" t="n"/>
      <c r="K208" s="37" t="n"/>
      <c r="L208" s="36" t="n"/>
      <c r="M208" s="36" t="n"/>
      <c r="N208" s="33">
        <f>IF(M208="","",M208*LotSize)</f>
        <v/>
      </c>
      <c r="O208" s="51" t="n"/>
      <c r="P208" s="32" t="n"/>
      <c r="Q208" s="29" t="n"/>
      <c r="R208" s="30">
        <f>IF(OR(G208="",Q208="",H208=""),"",IF(H208="CE",G208-Q208,Q208-G208))</f>
        <v/>
      </c>
      <c r="S208" s="31">
        <f>IF(R208="","",R208/Q208)</f>
        <v/>
      </c>
      <c r="T208" s="38" t="n"/>
      <c r="U208" s="32" t="n"/>
      <c r="V208" s="52" t="n"/>
      <c r="W208" s="37" t="n"/>
      <c r="X208" s="32" t="n"/>
      <c r="Y208" s="32" t="n"/>
      <c r="Z208" s="39">
        <f>IF(OR(X208="",P208="",N208=""),"",ABS(X208-P208)*N208)</f>
        <v/>
      </c>
      <c r="AA208" s="53">
        <f>IF(OR(Z208="",Y208=""),"",IF(Z208=0,"",ABS(P208-Y208)*N208/Z208))</f>
        <v/>
      </c>
      <c r="AB208" s="54">
        <f>IF(Z208="","",Z208/Capital)</f>
        <v/>
      </c>
      <c r="AC208" s="5">
        <f>IF(B208="","",IF(X208="","NO SL",IF(OR(N(M208)&gt;MaxLots,N(AB208)&gt;RiskPct),"OVERSIZED","OK")))</f>
        <v/>
      </c>
      <c r="AD208" s="51" t="n"/>
      <c r="AE208" s="32" t="n"/>
      <c r="AF208" s="37" t="n"/>
      <c r="AG208" s="32" t="n"/>
      <c r="AH208" s="32" t="n"/>
      <c r="AI208" s="39">
        <f>IF(OR(AG208="",P208="",N208=""),"",ABS(AG208-P208)*N208)</f>
        <v/>
      </c>
      <c r="AJ208" s="39">
        <f>IF(OR(AH208="",P208="",N208=""),"",ABS(P208-AH208)*N208)</f>
        <v/>
      </c>
      <c r="AK208" s="39">
        <f>IF(OR(AE208="",P208="",N208=""),"",IF(I208="Buy",AE208-P208,P208-AE208)*N208)</f>
        <v/>
      </c>
      <c r="AL208" s="39">
        <f>IF(OR(AJ208="",AK208=""),"",MAX(0,AJ208-AK208))</f>
        <v/>
      </c>
      <c r="AM208" s="39">
        <f>IF(AK208="","",(P208+AE208)*N208)</f>
        <v/>
      </c>
      <c r="AN208" s="55">
        <f>IF(AK208="","",BrokeragePerOrder*2*MAX(1,N(L208)))</f>
        <v/>
      </c>
      <c r="AO208" s="55">
        <f>IF(AK208="","",STTRate*IF(I208="Buy",AE208,P208)*N208)</f>
        <v/>
      </c>
      <c r="AP208" s="55">
        <f>IF(AK208="","",ExchRate*AM208)</f>
        <v/>
      </c>
      <c r="AQ208" s="55">
        <f>IF(AK208="","",SEBIRate*AM208)</f>
        <v/>
      </c>
      <c r="AR208" s="55">
        <f>IF(AK208="","",StampRate*IF(I208="Buy",P208,AE208)*N208)</f>
        <v/>
      </c>
      <c r="AS208" s="55">
        <f>IF(AK208="","",GSTRate*(AN208+AP208+AQ208))</f>
        <v/>
      </c>
      <c r="AT208" s="55">
        <f>IF(AK208="","",AN208+AO208+AP208+AQ208+AR208+AS208)</f>
        <v/>
      </c>
      <c r="AU208" s="39">
        <f>IF(AK208="","",AK208-AT208)</f>
        <v/>
      </c>
      <c r="AV208" s="56">
        <f>IF(AU208="","",AU208/IF(N(Z208)&gt;0,Z208,RiskPerTrade))</f>
        <v/>
      </c>
      <c r="AW208" s="31">
        <f>IF(AU208="","",AU208/Capital)</f>
        <v/>
      </c>
      <c r="AX208" s="37" t="n"/>
      <c r="AY208" s="37" t="n"/>
      <c r="AZ208" s="37" t="n"/>
      <c r="BA208" s="37" t="n"/>
      <c r="BB208" s="37" t="n"/>
      <c r="BC208" s="37" t="n"/>
      <c r="BD208" s="37" t="n"/>
      <c r="BE208" s="5">
        <f>IF(AU208="","",IF(AU208&gt;0,"Win",IF(AU208&lt;0,"Loss","BE")))</f>
        <v/>
      </c>
      <c r="BF208" s="5">
        <f>IF(O208="","",LOOKUP(O208,List_BucketStart,List_BucketLabel))</f>
        <v/>
      </c>
      <c r="BG208" s="57">
        <f>IF(B208="","",B208-WEEKDAY(B208,3))</f>
        <v/>
      </c>
      <c r="BH208" s="28">
        <f>IF(B208="","",COUNTIF($B$6:B208,B208))</f>
        <v/>
      </c>
      <c r="BI208" s="39">
        <f>IF(B208="","",SUMIFS($AU$6:AU208,$B$6:B208,B208)-N(AU208))</f>
        <v/>
      </c>
      <c r="BJ208" s="5">
        <f>IF(OR(B208="",E208=""),"",IF(AND(E208=0,I208="Sell",MAX(N(O208),N(AD208))&gt;ExpiryCutoff),"BREACH","OK"))</f>
        <v/>
      </c>
      <c r="BK208" s="5">
        <f>IF(B208="","",IF(OR(AC208&lt;&gt;"OK",BJ208="BREACH",BH208&gt;MaxTradesDay,BI208&lt;=-DailyLossLimit,OR(AF208="Panic",AF208="Revenge",AF208="Rule break")),"CHECK","OK"))</f>
        <v/>
      </c>
      <c r="BL208" s="39">
        <f>IF(AU208="","",SUM($AU$6:AU208))</f>
        <v/>
      </c>
      <c r="BM208" s="39">
        <f>IF(BL208="","",Capital+BL208)</f>
        <v/>
      </c>
      <c r="BN208" s="39">
        <f>IF(BM208="","",MAX(Capital,MAX($BM$6:BM208)))</f>
        <v/>
      </c>
      <c r="BO208" s="39">
        <f>IF(BM208="","",BN208-BM208)</f>
        <v/>
      </c>
      <c r="BP208" s="58">
        <f>IF(BO208="","",BO208/BN208)</f>
        <v/>
      </c>
      <c r="BQ208" s="28">
        <f>IF(AU208="","",IF(AU208&lt;0,N(BQ207)+1,0))</f>
        <v/>
      </c>
    </row>
    <row r="209">
      <c r="A209" s="28">
        <f>IF(B209="","",COUNT($B$6:B209))</f>
        <v/>
      </c>
      <c r="B209" s="27" t="n"/>
      <c r="C209" s="5">
        <f>IF(B209="","",TEXT(B209,"ddd"))</f>
        <v/>
      </c>
      <c r="D209" s="27" t="n"/>
      <c r="E209" s="28">
        <f>IF(OR(B209="",D209=""),"",MAX(0,NETWORKDAYS(B209,D209)-1))</f>
        <v/>
      </c>
      <c r="F209" s="37" t="n"/>
      <c r="G209" s="36" t="n"/>
      <c r="H209" s="37" t="n"/>
      <c r="I209" s="37" t="n"/>
      <c r="J209" s="37" t="n"/>
      <c r="K209" s="37" t="n"/>
      <c r="L209" s="36" t="n"/>
      <c r="M209" s="36" t="n"/>
      <c r="N209" s="33">
        <f>IF(M209="","",M209*LotSize)</f>
        <v/>
      </c>
      <c r="O209" s="51" t="n"/>
      <c r="P209" s="32" t="n"/>
      <c r="Q209" s="29" t="n"/>
      <c r="R209" s="30">
        <f>IF(OR(G209="",Q209="",H209=""),"",IF(H209="CE",G209-Q209,Q209-G209))</f>
        <v/>
      </c>
      <c r="S209" s="31">
        <f>IF(R209="","",R209/Q209)</f>
        <v/>
      </c>
      <c r="T209" s="38" t="n"/>
      <c r="U209" s="32" t="n"/>
      <c r="V209" s="52" t="n"/>
      <c r="W209" s="37" t="n"/>
      <c r="X209" s="32" t="n"/>
      <c r="Y209" s="32" t="n"/>
      <c r="Z209" s="39">
        <f>IF(OR(X209="",P209="",N209=""),"",ABS(X209-P209)*N209)</f>
        <v/>
      </c>
      <c r="AA209" s="53">
        <f>IF(OR(Z209="",Y209=""),"",IF(Z209=0,"",ABS(P209-Y209)*N209/Z209))</f>
        <v/>
      </c>
      <c r="AB209" s="54">
        <f>IF(Z209="","",Z209/Capital)</f>
        <v/>
      </c>
      <c r="AC209" s="5">
        <f>IF(B209="","",IF(X209="","NO SL",IF(OR(N(M209)&gt;MaxLots,N(AB209)&gt;RiskPct),"OVERSIZED","OK")))</f>
        <v/>
      </c>
      <c r="AD209" s="51" t="n"/>
      <c r="AE209" s="32" t="n"/>
      <c r="AF209" s="37" t="n"/>
      <c r="AG209" s="32" t="n"/>
      <c r="AH209" s="32" t="n"/>
      <c r="AI209" s="39">
        <f>IF(OR(AG209="",P209="",N209=""),"",ABS(AG209-P209)*N209)</f>
        <v/>
      </c>
      <c r="AJ209" s="39">
        <f>IF(OR(AH209="",P209="",N209=""),"",ABS(P209-AH209)*N209)</f>
        <v/>
      </c>
      <c r="AK209" s="39">
        <f>IF(OR(AE209="",P209="",N209=""),"",IF(I209="Buy",AE209-P209,P209-AE209)*N209)</f>
        <v/>
      </c>
      <c r="AL209" s="39">
        <f>IF(OR(AJ209="",AK209=""),"",MAX(0,AJ209-AK209))</f>
        <v/>
      </c>
      <c r="AM209" s="39">
        <f>IF(AK209="","",(P209+AE209)*N209)</f>
        <v/>
      </c>
      <c r="AN209" s="55">
        <f>IF(AK209="","",BrokeragePerOrder*2*MAX(1,N(L209)))</f>
        <v/>
      </c>
      <c r="AO209" s="55">
        <f>IF(AK209="","",STTRate*IF(I209="Buy",AE209,P209)*N209)</f>
        <v/>
      </c>
      <c r="AP209" s="55">
        <f>IF(AK209="","",ExchRate*AM209)</f>
        <v/>
      </c>
      <c r="AQ209" s="55">
        <f>IF(AK209="","",SEBIRate*AM209)</f>
        <v/>
      </c>
      <c r="AR209" s="55">
        <f>IF(AK209="","",StampRate*IF(I209="Buy",P209,AE209)*N209)</f>
        <v/>
      </c>
      <c r="AS209" s="55">
        <f>IF(AK209="","",GSTRate*(AN209+AP209+AQ209))</f>
        <v/>
      </c>
      <c r="AT209" s="55">
        <f>IF(AK209="","",AN209+AO209+AP209+AQ209+AR209+AS209)</f>
        <v/>
      </c>
      <c r="AU209" s="39">
        <f>IF(AK209="","",AK209-AT209)</f>
        <v/>
      </c>
      <c r="AV209" s="56">
        <f>IF(AU209="","",AU209/IF(N(Z209)&gt;0,Z209,RiskPerTrade))</f>
        <v/>
      </c>
      <c r="AW209" s="31">
        <f>IF(AU209="","",AU209/Capital)</f>
        <v/>
      </c>
      <c r="AX209" s="37" t="n"/>
      <c r="AY209" s="37" t="n"/>
      <c r="AZ209" s="37" t="n"/>
      <c r="BA209" s="37" t="n"/>
      <c r="BB209" s="37" t="n"/>
      <c r="BC209" s="37" t="n"/>
      <c r="BD209" s="37" t="n"/>
      <c r="BE209" s="5">
        <f>IF(AU209="","",IF(AU209&gt;0,"Win",IF(AU209&lt;0,"Loss","BE")))</f>
        <v/>
      </c>
      <c r="BF209" s="5">
        <f>IF(O209="","",LOOKUP(O209,List_BucketStart,List_BucketLabel))</f>
        <v/>
      </c>
      <c r="BG209" s="57">
        <f>IF(B209="","",B209-WEEKDAY(B209,3))</f>
        <v/>
      </c>
      <c r="BH209" s="28">
        <f>IF(B209="","",COUNTIF($B$6:B209,B209))</f>
        <v/>
      </c>
      <c r="BI209" s="39">
        <f>IF(B209="","",SUMIFS($AU$6:AU209,$B$6:B209,B209)-N(AU209))</f>
        <v/>
      </c>
      <c r="BJ209" s="5">
        <f>IF(OR(B209="",E209=""),"",IF(AND(E209=0,I209="Sell",MAX(N(O209),N(AD209))&gt;ExpiryCutoff),"BREACH","OK"))</f>
        <v/>
      </c>
      <c r="BK209" s="5">
        <f>IF(B209="","",IF(OR(AC209&lt;&gt;"OK",BJ209="BREACH",BH209&gt;MaxTradesDay,BI209&lt;=-DailyLossLimit,OR(AF209="Panic",AF209="Revenge",AF209="Rule break")),"CHECK","OK"))</f>
        <v/>
      </c>
      <c r="BL209" s="39">
        <f>IF(AU209="","",SUM($AU$6:AU209))</f>
        <v/>
      </c>
      <c r="BM209" s="39">
        <f>IF(BL209="","",Capital+BL209)</f>
        <v/>
      </c>
      <c r="BN209" s="39">
        <f>IF(BM209="","",MAX(Capital,MAX($BM$6:BM209)))</f>
        <v/>
      </c>
      <c r="BO209" s="39">
        <f>IF(BM209="","",BN209-BM209)</f>
        <v/>
      </c>
      <c r="BP209" s="58">
        <f>IF(BO209="","",BO209/BN209)</f>
        <v/>
      </c>
      <c r="BQ209" s="28">
        <f>IF(AU209="","",IF(AU209&lt;0,N(BQ208)+1,0))</f>
        <v/>
      </c>
    </row>
    <row r="210">
      <c r="A210" s="28">
        <f>IF(B210="","",COUNT($B$6:B210))</f>
        <v/>
      </c>
      <c r="B210" s="27" t="n"/>
      <c r="C210" s="5">
        <f>IF(B210="","",TEXT(B210,"ddd"))</f>
        <v/>
      </c>
      <c r="D210" s="27" t="n"/>
      <c r="E210" s="28">
        <f>IF(OR(B210="",D210=""),"",MAX(0,NETWORKDAYS(B210,D210)-1))</f>
        <v/>
      </c>
      <c r="F210" s="37" t="n"/>
      <c r="G210" s="36" t="n"/>
      <c r="H210" s="37" t="n"/>
      <c r="I210" s="37" t="n"/>
      <c r="J210" s="37" t="n"/>
      <c r="K210" s="37" t="n"/>
      <c r="L210" s="36" t="n"/>
      <c r="M210" s="36" t="n"/>
      <c r="N210" s="33">
        <f>IF(M210="","",M210*LotSize)</f>
        <v/>
      </c>
      <c r="O210" s="51" t="n"/>
      <c r="P210" s="32" t="n"/>
      <c r="Q210" s="29" t="n"/>
      <c r="R210" s="30">
        <f>IF(OR(G210="",Q210="",H210=""),"",IF(H210="CE",G210-Q210,Q210-G210))</f>
        <v/>
      </c>
      <c r="S210" s="31">
        <f>IF(R210="","",R210/Q210)</f>
        <v/>
      </c>
      <c r="T210" s="38" t="n"/>
      <c r="U210" s="32" t="n"/>
      <c r="V210" s="52" t="n"/>
      <c r="W210" s="37" t="n"/>
      <c r="X210" s="32" t="n"/>
      <c r="Y210" s="32" t="n"/>
      <c r="Z210" s="39">
        <f>IF(OR(X210="",P210="",N210=""),"",ABS(X210-P210)*N210)</f>
        <v/>
      </c>
      <c r="AA210" s="53">
        <f>IF(OR(Z210="",Y210=""),"",IF(Z210=0,"",ABS(P210-Y210)*N210/Z210))</f>
        <v/>
      </c>
      <c r="AB210" s="54">
        <f>IF(Z210="","",Z210/Capital)</f>
        <v/>
      </c>
      <c r="AC210" s="5">
        <f>IF(B210="","",IF(X210="","NO SL",IF(OR(N(M210)&gt;MaxLots,N(AB210)&gt;RiskPct),"OVERSIZED","OK")))</f>
        <v/>
      </c>
      <c r="AD210" s="51" t="n"/>
      <c r="AE210" s="32" t="n"/>
      <c r="AF210" s="37" t="n"/>
      <c r="AG210" s="32" t="n"/>
      <c r="AH210" s="32" t="n"/>
      <c r="AI210" s="39">
        <f>IF(OR(AG210="",P210="",N210=""),"",ABS(AG210-P210)*N210)</f>
        <v/>
      </c>
      <c r="AJ210" s="39">
        <f>IF(OR(AH210="",P210="",N210=""),"",ABS(P210-AH210)*N210)</f>
        <v/>
      </c>
      <c r="AK210" s="39">
        <f>IF(OR(AE210="",P210="",N210=""),"",IF(I210="Buy",AE210-P210,P210-AE210)*N210)</f>
        <v/>
      </c>
      <c r="AL210" s="39">
        <f>IF(OR(AJ210="",AK210=""),"",MAX(0,AJ210-AK210))</f>
        <v/>
      </c>
      <c r="AM210" s="39">
        <f>IF(AK210="","",(P210+AE210)*N210)</f>
        <v/>
      </c>
      <c r="AN210" s="55">
        <f>IF(AK210="","",BrokeragePerOrder*2*MAX(1,N(L210)))</f>
        <v/>
      </c>
      <c r="AO210" s="55">
        <f>IF(AK210="","",STTRate*IF(I210="Buy",AE210,P210)*N210)</f>
        <v/>
      </c>
      <c r="AP210" s="55">
        <f>IF(AK210="","",ExchRate*AM210)</f>
        <v/>
      </c>
      <c r="AQ210" s="55">
        <f>IF(AK210="","",SEBIRate*AM210)</f>
        <v/>
      </c>
      <c r="AR210" s="55">
        <f>IF(AK210="","",StampRate*IF(I210="Buy",P210,AE210)*N210)</f>
        <v/>
      </c>
      <c r="AS210" s="55">
        <f>IF(AK210="","",GSTRate*(AN210+AP210+AQ210))</f>
        <v/>
      </c>
      <c r="AT210" s="55">
        <f>IF(AK210="","",AN210+AO210+AP210+AQ210+AR210+AS210)</f>
        <v/>
      </c>
      <c r="AU210" s="39">
        <f>IF(AK210="","",AK210-AT210)</f>
        <v/>
      </c>
      <c r="AV210" s="56">
        <f>IF(AU210="","",AU210/IF(N(Z210)&gt;0,Z210,RiskPerTrade))</f>
        <v/>
      </c>
      <c r="AW210" s="31">
        <f>IF(AU210="","",AU210/Capital)</f>
        <v/>
      </c>
      <c r="AX210" s="37" t="n"/>
      <c r="AY210" s="37" t="n"/>
      <c r="AZ210" s="37" t="n"/>
      <c r="BA210" s="37" t="n"/>
      <c r="BB210" s="37" t="n"/>
      <c r="BC210" s="37" t="n"/>
      <c r="BD210" s="37" t="n"/>
      <c r="BE210" s="5">
        <f>IF(AU210="","",IF(AU210&gt;0,"Win",IF(AU210&lt;0,"Loss","BE")))</f>
        <v/>
      </c>
      <c r="BF210" s="5">
        <f>IF(O210="","",LOOKUP(O210,List_BucketStart,List_BucketLabel))</f>
        <v/>
      </c>
      <c r="BG210" s="57">
        <f>IF(B210="","",B210-WEEKDAY(B210,3))</f>
        <v/>
      </c>
      <c r="BH210" s="28">
        <f>IF(B210="","",COUNTIF($B$6:B210,B210))</f>
        <v/>
      </c>
      <c r="BI210" s="39">
        <f>IF(B210="","",SUMIFS($AU$6:AU210,$B$6:B210,B210)-N(AU210))</f>
        <v/>
      </c>
      <c r="BJ210" s="5">
        <f>IF(OR(B210="",E210=""),"",IF(AND(E210=0,I210="Sell",MAX(N(O210),N(AD210))&gt;ExpiryCutoff),"BREACH","OK"))</f>
        <v/>
      </c>
      <c r="BK210" s="5">
        <f>IF(B210="","",IF(OR(AC210&lt;&gt;"OK",BJ210="BREACH",BH210&gt;MaxTradesDay,BI210&lt;=-DailyLossLimit,OR(AF210="Panic",AF210="Revenge",AF210="Rule break")),"CHECK","OK"))</f>
        <v/>
      </c>
      <c r="BL210" s="39">
        <f>IF(AU210="","",SUM($AU$6:AU210))</f>
        <v/>
      </c>
      <c r="BM210" s="39">
        <f>IF(BL210="","",Capital+BL210)</f>
        <v/>
      </c>
      <c r="BN210" s="39">
        <f>IF(BM210="","",MAX(Capital,MAX($BM$6:BM210)))</f>
        <v/>
      </c>
      <c r="BO210" s="39">
        <f>IF(BM210="","",BN210-BM210)</f>
        <v/>
      </c>
      <c r="BP210" s="58">
        <f>IF(BO210="","",BO210/BN210)</f>
        <v/>
      </c>
      <c r="BQ210" s="28">
        <f>IF(AU210="","",IF(AU210&lt;0,N(BQ209)+1,0))</f>
        <v/>
      </c>
    </row>
    <row r="211">
      <c r="A211" s="28">
        <f>IF(B211="","",COUNT($B$6:B211))</f>
        <v/>
      </c>
      <c r="B211" s="27" t="n"/>
      <c r="C211" s="5">
        <f>IF(B211="","",TEXT(B211,"ddd"))</f>
        <v/>
      </c>
      <c r="D211" s="27" t="n"/>
      <c r="E211" s="28">
        <f>IF(OR(B211="",D211=""),"",MAX(0,NETWORKDAYS(B211,D211)-1))</f>
        <v/>
      </c>
      <c r="F211" s="37" t="n"/>
      <c r="G211" s="36" t="n"/>
      <c r="H211" s="37" t="n"/>
      <c r="I211" s="37" t="n"/>
      <c r="J211" s="37" t="n"/>
      <c r="K211" s="37" t="n"/>
      <c r="L211" s="36" t="n"/>
      <c r="M211" s="36" t="n"/>
      <c r="N211" s="33">
        <f>IF(M211="","",M211*LotSize)</f>
        <v/>
      </c>
      <c r="O211" s="51" t="n"/>
      <c r="P211" s="32" t="n"/>
      <c r="Q211" s="29" t="n"/>
      <c r="R211" s="30">
        <f>IF(OR(G211="",Q211="",H211=""),"",IF(H211="CE",G211-Q211,Q211-G211))</f>
        <v/>
      </c>
      <c r="S211" s="31">
        <f>IF(R211="","",R211/Q211)</f>
        <v/>
      </c>
      <c r="T211" s="38" t="n"/>
      <c r="U211" s="32" t="n"/>
      <c r="V211" s="52" t="n"/>
      <c r="W211" s="37" t="n"/>
      <c r="X211" s="32" t="n"/>
      <c r="Y211" s="32" t="n"/>
      <c r="Z211" s="39">
        <f>IF(OR(X211="",P211="",N211=""),"",ABS(X211-P211)*N211)</f>
        <v/>
      </c>
      <c r="AA211" s="53">
        <f>IF(OR(Z211="",Y211=""),"",IF(Z211=0,"",ABS(P211-Y211)*N211/Z211))</f>
        <v/>
      </c>
      <c r="AB211" s="54">
        <f>IF(Z211="","",Z211/Capital)</f>
        <v/>
      </c>
      <c r="AC211" s="5">
        <f>IF(B211="","",IF(X211="","NO SL",IF(OR(N(M211)&gt;MaxLots,N(AB211)&gt;RiskPct),"OVERSIZED","OK")))</f>
        <v/>
      </c>
      <c r="AD211" s="51" t="n"/>
      <c r="AE211" s="32" t="n"/>
      <c r="AF211" s="37" t="n"/>
      <c r="AG211" s="32" t="n"/>
      <c r="AH211" s="32" t="n"/>
      <c r="AI211" s="39">
        <f>IF(OR(AG211="",P211="",N211=""),"",ABS(AG211-P211)*N211)</f>
        <v/>
      </c>
      <c r="AJ211" s="39">
        <f>IF(OR(AH211="",P211="",N211=""),"",ABS(P211-AH211)*N211)</f>
        <v/>
      </c>
      <c r="AK211" s="39">
        <f>IF(OR(AE211="",P211="",N211=""),"",IF(I211="Buy",AE211-P211,P211-AE211)*N211)</f>
        <v/>
      </c>
      <c r="AL211" s="39">
        <f>IF(OR(AJ211="",AK211=""),"",MAX(0,AJ211-AK211))</f>
        <v/>
      </c>
      <c r="AM211" s="39">
        <f>IF(AK211="","",(P211+AE211)*N211)</f>
        <v/>
      </c>
      <c r="AN211" s="55">
        <f>IF(AK211="","",BrokeragePerOrder*2*MAX(1,N(L211)))</f>
        <v/>
      </c>
      <c r="AO211" s="55">
        <f>IF(AK211="","",STTRate*IF(I211="Buy",AE211,P211)*N211)</f>
        <v/>
      </c>
      <c r="AP211" s="55">
        <f>IF(AK211="","",ExchRate*AM211)</f>
        <v/>
      </c>
      <c r="AQ211" s="55">
        <f>IF(AK211="","",SEBIRate*AM211)</f>
        <v/>
      </c>
      <c r="AR211" s="55">
        <f>IF(AK211="","",StampRate*IF(I211="Buy",P211,AE211)*N211)</f>
        <v/>
      </c>
      <c r="AS211" s="55">
        <f>IF(AK211="","",GSTRate*(AN211+AP211+AQ211))</f>
        <v/>
      </c>
      <c r="AT211" s="55">
        <f>IF(AK211="","",AN211+AO211+AP211+AQ211+AR211+AS211)</f>
        <v/>
      </c>
      <c r="AU211" s="39">
        <f>IF(AK211="","",AK211-AT211)</f>
        <v/>
      </c>
      <c r="AV211" s="56">
        <f>IF(AU211="","",AU211/IF(N(Z211)&gt;0,Z211,RiskPerTrade))</f>
        <v/>
      </c>
      <c r="AW211" s="31">
        <f>IF(AU211="","",AU211/Capital)</f>
        <v/>
      </c>
      <c r="AX211" s="37" t="n"/>
      <c r="AY211" s="37" t="n"/>
      <c r="AZ211" s="37" t="n"/>
      <c r="BA211" s="37" t="n"/>
      <c r="BB211" s="37" t="n"/>
      <c r="BC211" s="37" t="n"/>
      <c r="BD211" s="37" t="n"/>
      <c r="BE211" s="5">
        <f>IF(AU211="","",IF(AU211&gt;0,"Win",IF(AU211&lt;0,"Loss","BE")))</f>
        <v/>
      </c>
      <c r="BF211" s="5">
        <f>IF(O211="","",LOOKUP(O211,List_BucketStart,List_BucketLabel))</f>
        <v/>
      </c>
      <c r="BG211" s="57">
        <f>IF(B211="","",B211-WEEKDAY(B211,3))</f>
        <v/>
      </c>
      <c r="BH211" s="28">
        <f>IF(B211="","",COUNTIF($B$6:B211,B211))</f>
        <v/>
      </c>
      <c r="BI211" s="39">
        <f>IF(B211="","",SUMIFS($AU$6:AU211,$B$6:B211,B211)-N(AU211))</f>
        <v/>
      </c>
      <c r="BJ211" s="5">
        <f>IF(OR(B211="",E211=""),"",IF(AND(E211=0,I211="Sell",MAX(N(O211),N(AD211))&gt;ExpiryCutoff),"BREACH","OK"))</f>
        <v/>
      </c>
      <c r="BK211" s="5">
        <f>IF(B211="","",IF(OR(AC211&lt;&gt;"OK",BJ211="BREACH",BH211&gt;MaxTradesDay,BI211&lt;=-DailyLossLimit,OR(AF211="Panic",AF211="Revenge",AF211="Rule break")),"CHECK","OK"))</f>
        <v/>
      </c>
      <c r="BL211" s="39">
        <f>IF(AU211="","",SUM($AU$6:AU211))</f>
        <v/>
      </c>
      <c r="BM211" s="39">
        <f>IF(BL211="","",Capital+BL211)</f>
        <v/>
      </c>
      <c r="BN211" s="39">
        <f>IF(BM211="","",MAX(Capital,MAX($BM$6:BM211)))</f>
        <v/>
      </c>
      <c r="BO211" s="39">
        <f>IF(BM211="","",BN211-BM211)</f>
        <v/>
      </c>
      <c r="BP211" s="58">
        <f>IF(BO211="","",BO211/BN211)</f>
        <v/>
      </c>
      <c r="BQ211" s="28">
        <f>IF(AU211="","",IF(AU211&lt;0,N(BQ210)+1,0))</f>
        <v/>
      </c>
    </row>
    <row r="212">
      <c r="A212" s="28">
        <f>IF(B212="","",COUNT($B$6:B212))</f>
        <v/>
      </c>
      <c r="B212" s="27" t="n"/>
      <c r="C212" s="5">
        <f>IF(B212="","",TEXT(B212,"ddd"))</f>
        <v/>
      </c>
      <c r="D212" s="27" t="n"/>
      <c r="E212" s="28">
        <f>IF(OR(B212="",D212=""),"",MAX(0,NETWORKDAYS(B212,D212)-1))</f>
        <v/>
      </c>
      <c r="F212" s="37" t="n"/>
      <c r="G212" s="36" t="n"/>
      <c r="H212" s="37" t="n"/>
      <c r="I212" s="37" t="n"/>
      <c r="J212" s="37" t="n"/>
      <c r="K212" s="37" t="n"/>
      <c r="L212" s="36" t="n"/>
      <c r="M212" s="36" t="n"/>
      <c r="N212" s="33">
        <f>IF(M212="","",M212*LotSize)</f>
        <v/>
      </c>
      <c r="O212" s="51" t="n"/>
      <c r="P212" s="32" t="n"/>
      <c r="Q212" s="29" t="n"/>
      <c r="R212" s="30">
        <f>IF(OR(G212="",Q212="",H212=""),"",IF(H212="CE",G212-Q212,Q212-G212))</f>
        <v/>
      </c>
      <c r="S212" s="31">
        <f>IF(R212="","",R212/Q212)</f>
        <v/>
      </c>
      <c r="T212" s="38" t="n"/>
      <c r="U212" s="32" t="n"/>
      <c r="V212" s="52" t="n"/>
      <c r="W212" s="37" t="n"/>
      <c r="X212" s="32" t="n"/>
      <c r="Y212" s="32" t="n"/>
      <c r="Z212" s="39">
        <f>IF(OR(X212="",P212="",N212=""),"",ABS(X212-P212)*N212)</f>
        <v/>
      </c>
      <c r="AA212" s="53">
        <f>IF(OR(Z212="",Y212=""),"",IF(Z212=0,"",ABS(P212-Y212)*N212/Z212))</f>
        <v/>
      </c>
      <c r="AB212" s="54">
        <f>IF(Z212="","",Z212/Capital)</f>
        <v/>
      </c>
      <c r="AC212" s="5">
        <f>IF(B212="","",IF(X212="","NO SL",IF(OR(N(M212)&gt;MaxLots,N(AB212)&gt;RiskPct),"OVERSIZED","OK")))</f>
        <v/>
      </c>
      <c r="AD212" s="51" t="n"/>
      <c r="AE212" s="32" t="n"/>
      <c r="AF212" s="37" t="n"/>
      <c r="AG212" s="32" t="n"/>
      <c r="AH212" s="32" t="n"/>
      <c r="AI212" s="39">
        <f>IF(OR(AG212="",P212="",N212=""),"",ABS(AG212-P212)*N212)</f>
        <v/>
      </c>
      <c r="AJ212" s="39">
        <f>IF(OR(AH212="",P212="",N212=""),"",ABS(P212-AH212)*N212)</f>
        <v/>
      </c>
      <c r="AK212" s="39">
        <f>IF(OR(AE212="",P212="",N212=""),"",IF(I212="Buy",AE212-P212,P212-AE212)*N212)</f>
        <v/>
      </c>
      <c r="AL212" s="39">
        <f>IF(OR(AJ212="",AK212=""),"",MAX(0,AJ212-AK212))</f>
        <v/>
      </c>
      <c r="AM212" s="39">
        <f>IF(AK212="","",(P212+AE212)*N212)</f>
        <v/>
      </c>
      <c r="AN212" s="55">
        <f>IF(AK212="","",BrokeragePerOrder*2*MAX(1,N(L212)))</f>
        <v/>
      </c>
      <c r="AO212" s="55">
        <f>IF(AK212="","",STTRate*IF(I212="Buy",AE212,P212)*N212)</f>
        <v/>
      </c>
      <c r="AP212" s="55">
        <f>IF(AK212="","",ExchRate*AM212)</f>
        <v/>
      </c>
      <c r="AQ212" s="55">
        <f>IF(AK212="","",SEBIRate*AM212)</f>
        <v/>
      </c>
      <c r="AR212" s="55">
        <f>IF(AK212="","",StampRate*IF(I212="Buy",P212,AE212)*N212)</f>
        <v/>
      </c>
      <c r="AS212" s="55">
        <f>IF(AK212="","",GSTRate*(AN212+AP212+AQ212))</f>
        <v/>
      </c>
      <c r="AT212" s="55">
        <f>IF(AK212="","",AN212+AO212+AP212+AQ212+AR212+AS212)</f>
        <v/>
      </c>
      <c r="AU212" s="39">
        <f>IF(AK212="","",AK212-AT212)</f>
        <v/>
      </c>
      <c r="AV212" s="56">
        <f>IF(AU212="","",AU212/IF(N(Z212)&gt;0,Z212,RiskPerTrade))</f>
        <v/>
      </c>
      <c r="AW212" s="31">
        <f>IF(AU212="","",AU212/Capital)</f>
        <v/>
      </c>
      <c r="AX212" s="37" t="n"/>
      <c r="AY212" s="37" t="n"/>
      <c r="AZ212" s="37" t="n"/>
      <c r="BA212" s="37" t="n"/>
      <c r="BB212" s="37" t="n"/>
      <c r="BC212" s="37" t="n"/>
      <c r="BD212" s="37" t="n"/>
      <c r="BE212" s="5">
        <f>IF(AU212="","",IF(AU212&gt;0,"Win",IF(AU212&lt;0,"Loss","BE")))</f>
        <v/>
      </c>
      <c r="BF212" s="5">
        <f>IF(O212="","",LOOKUP(O212,List_BucketStart,List_BucketLabel))</f>
        <v/>
      </c>
      <c r="BG212" s="57">
        <f>IF(B212="","",B212-WEEKDAY(B212,3))</f>
        <v/>
      </c>
      <c r="BH212" s="28">
        <f>IF(B212="","",COUNTIF($B$6:B212,B212))</f>
        <v/>
      </c>
      <c r="BI212" s="39">
        <f>IF(B212="","",SUMIFS($AU$6:AU212,$B$6:B212,B212)-N(AU212))</f>
        <v/>
      </c>
      <c r="BJ212" s="5">
        <f>IF(OR(B212="",E212=""),"",IF(AND(E212=0,I212="Sell",MAX(N(O212),N(AD212))&gt;ExpiryCutoff),"BREACH","OK"))</f>
        <v/>
      </c>
      <c r="BK212" s="5">
        <f>IF(B212="","",IF(OR(AC212&lt;&gt;"OK",BJ212="BREACH",BH212&gt;MaxTradesDay,BI212&lt;=-DailyLossLimit,OR(AF212="Panic",AF212="Revenge",AF212="Rule break")),"CHECK","OK"))</f>
        <v/>
      </c>
      <c r="BL212" s="39">
        <f>IF(AU212="","",SUM($AU$6:AU212))</f>
        <v/>
      </c>
      <c r="BM212" s="39">
        <f>IF(BL212="","",Capital+BL212)</f>
        <v/>
      </c>
      <c r="BN212" s="39">
        <f>IF(BM212="","",MAX(Capital,MAX($BM$6:BM212)))</f>
        <v/>
      </c>
      <c r="BO212" s="39">
        <f>IF(BM212="","",BN212-BM212)</f>
        <v/>
      </c>
      <c r="BP212" s="58">
        <f>IF(BO212="","",BO212/BN212)</f>
        <v/>
      </c>
      <c r="BQ212" s="28">
        <f>IF(AU212="","",IF(AU212&lt;0,N(BQ211)+1,0))</f>
        <v/>
      </c>
    </row>
    <row r="213">
      <c r="A213" s="28">
        <f>IF(B213="","",COUNT($B$6:B213))</f>
        <v/>
      </c>
      <c r="B213" s="27" t="n"/>
      <c r="C213" s="5">
        <f>IF(B213="","",TEXT(B213,"ddd"))</f>
        <v/>
      </c>
      <c r="D213" s="27" t="n"/>
      <c r="E213" s="28">
        <f>IF(OR(B213="",D213=""),"",MAX(0,NETWORKDAYS(B213,D213)-1))</f>
        <v/>
      </c>
      <c r="F213" s="37" t="n"/>
      <c r="G213" s="36" t="n"/>
      <c r="H213" s="37" t="n"/>
      <c r="I213" s="37" t="n"/>
      <c r="J213" s="37" t="n"/>
      <c r="K213" s="37" t="n"/>
      <c r="L213" s="36" t="n"/>
      <c r="M213" s="36" t="n"/>
      <c r="N213" s="33">
        <f>IF(M213="","",M213*LotSize)</f>
        <v/>
      </c>
      <c r="O213" s="51" t="n"/>
      <c r="P213" s="32" t="n"/>
      <c r="Q213" s="29" t="n"/>
      <c r="R213" s="30">
        <f>IF(OR(G213="",Q213="",H213=""),"",IF(H213="CE",G213-Q213,Q213-G213))</f>
        <v/>
      </c>
      <c r="S213" s="31">
        <f>IF(R213="","",R213/Q213)</f>
        <v/>
      </c>
      <c r="T213" s="38" t="n"/>
      <c r="U213" s="32" t="n"/>
      <c r="V213" s="52" t="n"/>
      <c r="W213" s="37" t="n"/>
      <c r="X213" s="32" t="n"/>
      <c r="Y213" s="32" t="n"/>
      <c r="Z213" s="39">
        <f>IF(OR(X213="",P213="",N213=""),"",ABS(X213-P213)*N213)</f>
        <v/>
      </c>
      <c r="AA213" s="53">
        <f>IF(OR(Z213="",Y213=""),"",IF(Z213=0,"",ABS(P213-Y213)*N213/Z213))</f>
        <v/>
      </c>
      <c r="AB213" s="54">
        <f>IF(Z213="","",Z213/Capital)</f>
        <v/>
      </c>
      <c r="AC213" s="5">
        <f>IF(B213="","",IF(X213="","NO SL",IF(OR(N(M213)&gt;MaxLots,N(AB213)&gt;RiskPct),"OVERSIZED","OK")))</f>
        <v/>
      </c>
      <c r="AD213" s="51" t="n"/>
      <c r="AE213" s="32" t="n"/>
      <c r="AF213" s="37" t="n"/>
      <c r="AG213" s="32" t="n"/>
      <c r="AH213" s="32" t="n"/>
      <c r="AI213" s="39">
        <f>IF(OR(AG213="",P213="",N213=""),"",ABS(AG213-P213)*N213)</f>
        <v/>
      </c>
      <c r="AJ213" s="39">
        <f>IF(OR(AH213="",P213="",N213=""),"",ABS(P213-AH213)*N213)</f>
        <v/>
      </c>
      <c r="AK213" s="39">
        <f>IF(OR(AE213="",P213="",N213=""),"",IF(I213="Buy",AE213-P213,P213-AE213)*N213)</f>
        <v/>
      </c>
      <c r="AL213" s="39">
        <f>IF(OR(AJ213="",AK213=""),"",MAX(0,AJ213-AK213))</f>
        <v/>
      </c>
      <c r="AM213" s="39">
        <f>IF(AK213="","",(P213+AE213)*N213)</f>
        <v/>
      </c>
      <c r="AN213" s="55">
        <f>IF(AK213="","",BrokeragePerOrder*2*MAX(1,N(L213)))</f>
        <v/>
      </c>
      <c r="AO213" s="55">
        <f>IF(AK213="","",STTRate*IF(I213="Buy",AE213,P213)*N213)</f>
        <v/>
      </c>
      <c r="AP213" s="55">
        <f>IF(AK213="","",ExchRate*AM213)</f>
        <v/>
      </c>
      <c r="AQ213" s="55">
        <f>IF(AK213="","",SEBIRate*AM213)</f>
        <v/>
      </c>
      <c r="AR213" s="55">
        <f>IF(AK213="","",StampRate*IF(I213="Buy",P213,AE213)*N213)</f>
        <v/>
      </c>
      <c r="AS213" s="55">
        <f>IF(AK213="","",GSTRate*(AN213+AP213+AQ213))</f>
        <v/>
      </c>
      <c r="AT213" s="55">
        <f>IF(AK213="","",AN213+AO213+AP213+AQ213+AR213+AS213)</f>
        <v/>
      </c>
      <c r="AU213" s="39">
        <f>IF(AK213="","",AK213-AT213)</f>
        <v/>
      </c>
      <c r="AV213" s="56">
        <f>IF(AU213="","",AU213/IF(N(Z213)&gt;0,Z213,RiskPerTrade))</f>
        <v/>
      </c>
      <c r="AW213" s="31">
        <f>IF(AU213="","",AU213/Capital)</f>
        <v/>
      </c>
      <c r="AX213" s="37" t="n"/>
      <c r="AY213" s="37" t="n"/>
      <c r="AZ213" s="37" t="n"/>
      <c r="BA213" s="37" t="n"/>
      <c r="BB213" s="37" t="n"/>
      <c r="BC213" s="37" t="n"/>
      <c r="BD213" s="37" t="n"/>
      <c r="BE213" s="5">
        <f>IF(AU213="","",IF(AU213&gt;0,"Win",IF(AU213&lt;0,"Loss","BE")))</f>
        <v/>
      </c>
      <c r="BF213" s="5">
        <f>IF(O213="","",LOOKUP(O213,List_BucketStart,List_BucketLabel))</f>
        <v/>
      </c>
      <c r="BG213" s="57">
        <f>IF(B213="","",B213-WEEKDAY(B213,3))</f>
        <v/>
      </c>
      <c r="BH213" s="28">
        <f>IF(B213="","",COUNTIF($B$6:B213,B213))</f>
        <v/>
      </c>
      <c r="BI213" s="39">
        <f>IF(B213="","",SUMIFS($AU$6:AU213,$B$6:B213,B213)-N(AU213))</f>
        <v/>
      </c>
      <c r="BJ213" s="5">
        <f>IF(OR(B213="",E213=""),"",IF(AND(E213=0,I213="Sell",MAX(N(O213),N(AD213))&gt;ExpiryCutoff),"BREACH","OK"))</f>
        <v/>
      </c>
      <c r="BK213" s="5">
        <f>IF(B213="","",IF(OR(AC213&lt;&gt;"OK",BJ213="BREACH",BH213&gt;MaxTradesDay,BI213&lt;=-DailyLossLimit,OR(AF213="Panic",AF213="Revenge",AF213="Rule break")),"CHECK","OK"))</f>
        <v/>
      </c>
      <c r="BL213" s="39">
        <f>IF(AU213="","",SUM($AU$6:AU213))</f>
        <v/>
      </c>
      <c r="BM213" s="39">
        <f>IF(BL213="","",Capital+BL213)</f>
        <v/>
      </c>
      <c r="BN213" s="39">
        <f>IF(BM213="","",MAX(Capital,MAX($BM$6:BM213)))</f>
        <v/>
      </c>
      <c r="BO213" s="39">
        <f>IF(BM213="","",BN213-BM213)</f>
        <v/>
      </c>
      <c r="BP213" s="58">
        <f>IF(BO213="","",BO213/BN213)</f>
        <v/>
      </c>
      <c r="BQ213" s="28">
        <f>IF(AU213="","",IF(AU213&lt;0,N(BQ212)+1,0))</f>
        <v/>
      </c>
    </row>
    <row r="214">
      <c r="A214" s="28">
        <f>IF(B214="","",COUNT($B$6:B214))</f>
        <v/>
      </c>
      <c r="B214" s="27" t="n"/>
      <c r="C214" s="5">
        <f>IF(B214="","",TEXT(B214,"ddd"))</f>
        <v/>
      </c>
      <c r="D214" s="27" t="n"/>
      <c r="E214" s="28">
        <f>IF(OR(B214="",D214=""),"",MAX(0,NETWORKDAYS(B214,D214)-1))</f>
        <v/>
      </c>
      <c r="F214" s="37" t="n"/>
      <c r="G214" s="36" t="n"/>
      <c r="H214" s="37" t="n"/>
      <c r="I214" s="37" t="n"/>
      <c r="J214" s="37" t="n"/>
      <c r="K214" s="37" t="n"/>
      <c r="L214" s="36" t="n"/>
      <c r="M214" s="36" t="n"/>
      <c r="N214" s="33">
        <f>IF(M214="","",M214*LotSize)</f>
        <v/>
      </c>
      <c r="O214" s="51" t="n"/>
      <c r="P214" s="32" t="n"/>
      <c r="Q214" s="29" t="n"/>
      <c r="R214" s="30">
        <f>IF(OR(G214="",Q214="",H214=""),"",IF(H214="CE",G214-Q214,Q214-G214))</f>
        <v/>
      </c>
      <c r="S214" s="31">
        <f>IF(R214="","",R214/Q214)</f>
        <v/>
      </c>
      <c r="T214" s="38" t="n"/>
      <c r="U214" s="32" t="n"/>
      <c r="V214" s="52" t="n"/>
      <c r="W214" s="37" t="n"/>
      <c r="X214" s="32" t="n"/>
      <c r="Y214" s="32" t="n"/>
      <c r="Z214" s="39">
        <f>IF(OR(X214="",P214="",N214=""),"",ABS(X214-P214)*N214)</f>
        <v/>
      </c>
      <c r="AA214" s="53">
        <f>IF(OR(Z214="",Y214=""),"",IF(Z214=0,"",ABS(P214-Y214)*N214/Z214))</f>
        <v/>
      </c>
      <c r="AB214" s="54">
        <f>IF(Z214="","",Z214/Capital)</f>
        <v/>
      </c>
      <c r="AC214" s="5">
        <f>IF(B214="","",IF(X214="","NO SL",IF(OR(N(M214)&gt;MaxLots,N(AB214)&gt;RiskPct),"OVERSIZED","OK")))</f>
        <v/>
      </c>
      <c r="AD214" s="51" t="n"/>
      <c r="AE214" s="32" t="n"/>
      <c r="AF214" s="37" t="n"/>
      <c r="AG214" s="32" t="n"/>
      <c r="AH214" s="32" t="n"/>
      <c r="AI214" s="39">
        <f>IF(OR(AG214="",P214="",N214=""),"",ABS(AG214-P214)*N214)</f>
        <v/>
      </c>
      <c r="AJ214" s="39">
        <f>IF(OR(AH214="",P214="",N214=""),"",ABS(P214-AH214)*N214)</f>
        <v/>
      </c>
      <c r="AK214" s="39">
        <f>IF(OR(AE214="",P214="",N214=""),"",IF(I214="Buy",AE214-P214,P214-AE214)*N214)</f>
        <v/>
      </c>
      <c r="AL214" s="39">
        <f>IF(OR(AJ214="",AK214=""),"",MAX(0,AJ214-AK214))</f>
        <v/>
      </c>
      <c r="AM214" s="39">
        <f>IF(AK214="","",(P214+AE214)*N214)</f>
        <v/>
      </c>
      <c r="AN214" s="55">
        <f>IF(AK214="","",BrokeragePerOrder*2*MAX(1,N(L214)))</f>
        <v/>
      </c>
      <c r="AO214" s="55">
        <f>IF(AK214="","",STTRate*IF(I214="Buy",AE214,P214)*N214)</f>
        <v/>
      </c>
      <c r="AP214" s="55">
        <f>IF(AK214="","",ExchRate*AM214)</f>
        <v/>
      </c>
      <c r="AQ214" s="55">
        <f>IF(AK214="","",SEBIRate*AM214)</f>
        <v/>
      </c>
      <c r="AR214" s="55">
        <f>IF(AK214="","",StampRate*IF(I214="Buy",P214,AE214)*N214)</f>
        <v/>
      </c>
      <c r="AS214" s="55">
        <f>IF(AK214="","",GSTRate*(AN214+AP214+AQ214))</f>
        <v/>
      </c>
      <c r="AT214" s="55">
        <f>IF(AK214="","",AN214+AO214+AP214+AQ214+AR214+AS214)</f>
        <v/>
      </c>
      <c r="AU214" s="39">
        <f>IF(AK214="","",AK214-AT214)</f>
        <v/>
      </c>
      <c r="AV214" s="56">
        <f>IF(AU214="","",AU214/IF(N(Z214)&gt;0,Z214,RiskPerTrade))</f>
        <v/>
      </c>
      <c r="AW214" s="31">
        <f>IF(AU214="","",AU214/Capital)</f>
        <v/>
      </c>
      <c r="AX214" s="37" t="n"/>
      <c r="AY214" s="37" t="n"/>
      <c r="AZ214" s="37" t="n"/>
      <c r="BA214" s="37" t="n"/>
      <c r="BB214" s="37" t="n"/>
      <c r="BC214" s="37" t="n"/>
      <c r="BD214" s="37" t="n"/>
      <c r="BE214" s="5">
        <f>IF(AU214="","",IF(AU214&gt;0,"Win",IF(AU214&lt;0,"Loss","BE")))</f>
        <v/>
      </c>
      <c r="BF214" s="5">
        <f>IF(O214="","",LOOKUP(O214,List_BucketStart,List_BucketLabel))</f>
        <v/>
      </c>
      <c r="BG214" s="57">
        <f>IF(B214="","",B214-WEEKDAY(B214,3))</f>
        <v/>
      </c>
      <c r="BH214" s="28">
        <f>IF(B214="","",COUNTIF($B$6:B214,B214))</f>
        <v/>
      </c>
      <c r="BI214" s="39">
        <f>IF(B214="","",SUMIFS($AU$6:AU214,$B$6:B214,B214)-N(AU214))</f>
        <v/>
      </c>
      <c r="BJ214" s="5">
        <f>IF(OR(B214="",E214=""),"",IF(AND(E214=0,I214="Sell",MAX(N(O214),N(AD214))&gt;ExpiryCutoff),"BREACH","OK"))</f>
        <v/>
      </c>
      <c r="BK214" s="5">
        <f>IF(B214="","",IF(OR(AC214&lt;&gt;"OK",BJ214="BREACH",BH214&gt;MaxTradesDay,BI214&lt;=-DailyLossLimit,OR(AF214="Panic",AF214="Revenge",AF214="Rule break")),"CHECK","OK"))</f>
        <v/>
      </c>
      <c r="BL214" s="39">
        <f>IF(AU214="","",SUM($AU$6:AU214))</f>
        <v/>
      </c>
      <c r="BM214" s="39">
        <f>IF(BL214="","",Capital+BL214)</f>
        <v/>
      </c>
      <c r="BN214" s="39">
        <f>IF(BM214="","",MAX(Capital,MAX($BM$6:BM214)))</f>
        <v/>
      </c>
      <c r="BO214" s="39">
        <f>IF(BM214="","",BN214-BM214)</f>
        <v/>
      </c>
      <c r="BP214" s="58">
        <f>IF(BO214="","",BO214/BN214)</f>
        <v/>
      </c>
      <c r="BQ214" s="28">
        <f>IF(AU214="","",IF(AU214&lt;0,N(BQ213)+1,0))</f>
        <v/>
      </c>
    </row>
    <row r="215">
      <c r="A215" s="28">
        <f>IF(B215="","",COUNT($B$6:B215))</f>
        <v/>
      </c>
      <c r="B215" s="27" t="n"/>
      <c r="C215" s="5">
        <f>IF(B215="","",TEXT(B215,"ddd"))</f>
        <v/>
      </c>
      <c r="D215" s="27" t="n"/>
      <c r="E215" s="28">
        <f>IF(OR(B215="",D215=""),"",MAX(0,NETWORKDAYS(B215,D215)-1))</f>
        <v/>
      </c>
      <c r="F215" s="37" t="n"/>
      <c r="G215" s="36" t="n"/>
      <c r="H215" s="37" t="n"/>
      <c r="I215" s="37" t="n"/>
      <c r="J215" s="37" t="n"/>
      <c r="K215" s="37" t="n"/>
      <c r="L215" s="36" t="n"/>
      <c r="M215" s="36" t="n"/>
      <c r="N215" s="33">
        <f>IF(M215="","",M215*LotSize)</f>
        <v/>
      </c>
      <c r="O215" s="51" t="n"/>
      <c r="P215" s="32" t="n"/>
      <c r="Q215" s="29" t="n"/>
      <c r="R215" s="30">
        <f>IF(OR(G215="",Q215="",H215=""),"",IF(H215="CE",G215-Q215,Q215-G215))</f>
        <v/>
      </c>
      <c r="S215" s="31">
        <f>IF(R215="","",R215/Q215)</f>
        <v/>
      </c>
      <c r="T215" s="38" t="n"/>
      <c r="U215" s="32" t="n"/>
      <c r="V215" s="52" t="n"/>
      <c r="W215" s="37" t="n"/>
      <c r="X215" s="32" t="n"/>
      <c r="Y215" s="32" t="n"/>
      <c r="Z215" s="39">
        <f>IF(OR(X215="",P215="",N215=""),"",ABS(X215-P215)*N215)</f>
        <v/>
      </c>
      <c r="AA215" s="53">
        <f>IF(OR(Z215="",Y215=""),"",IF(Z215=0,"",ABS(P215-Y215)*N215/Z215))</f>
        <v/>
      </c>
      <c r="AB215" s="54">
        <f>IF(Z215="","",Z215/Capital)</f>
        <v/>
      </c>
      <c r="AC215" s="5">
        <f>IF(B215="","",IF(X215="","NO SL",IF(OR(N(M215)&gt;MaxLots,N(AB215)&gt;RiskPct),"OVERSIZED","OK")))</f>
        <v/>
      </c>
      <c r="AD215" s="51" t="n"/>
      <c r="AE215" s="32" t="n"/>
      <c r="AF215" s="37" t="n"/>
      <c r="AG215" s="32" t="n"/>
      <c r="AH215" s="32" t="n"/>
      <c r="AI215" s="39">
        <f>IF(OR(AG215="",P215="",N215=""),"",ABS(AG215-P215)*N215)</f>
        <v/>
      </c>
      <c r="AJ215" s="39">
        <f>IF(OR(AH215="",P215="",N215=""),"",ABS(P215-AH215)*N215)</f>
        <v/>
      </c>
      <c r="AK215" s="39">
        <f>IF(OR(AE215="",P215="",N215=""),"",IF(I215="Buy",AE215-P215,P215-AE215)*N215)</f>
        <v/>
      </c>
      <c r="AL215" s="39">
        <f>IF(OR(AJ215="",AK215=""),"",MAX(0,AJ215-AK215))</f>
        <v/>
      </c>
      <c r="AM215" s="39">
        <f>IF(AK215="","",(P215+AE215)*N215)</f>
        <v/>
      </c>
      <c r="AN215" s="55">
        <f>IF(AK215="","",BrokeragePerOrder*2*MAX(1,N(L215)))</f>
        <v/>
      </c>
      <c r="AO215" s="55">
        <f>IF(AK215="","",STTRate*IF(I215="Buy",AE215,P215)*N215)</f>
        <v/>
      </c>
      <c r="AP215" s="55">
        <f>IF(AK215="","",ExchRate*AM215)</f>
        <v/>
      </c>
      <c r="AQ215" s="55">
        <f>IF(AK215="","",SEBIRate*AM215)</f>
        <v/>
      </c>
      <c r="AR215" s="55">
        <f>IF(AK215="","",StampRate*IF(I215="Buy",P215,AE215)*N215)</f>
        <v/>
      </c>
      <c r="AS215" s="55">
        <f>IF(AK215="","",GSTRate*(AN215+AP215+AQ215))</f>
        <v/>
      </c>
      <c r="AT215" s="55">
        <f>IF(AK215="","",AN215+AO215+AP215+AQ215+AR215+AS215)</f>
        <v/>
      </c>
      <c r="AU215" s="39">
        <f>IF(AK215="","",AK215-AT215)</f>
        <v/>
      </c>
      <c r="AV215" s="56">
        <f>IF(AU215="","",AU215/IF(N(Z215)&gt;0,Z215,RiskPerTrade))</f>
        <v/>
      </c>
      <c r="AW215" s="31">
        <f>IF(AU215="","",AU215/Capital)</f>
        <v/>
      </c>
      <c r="AX215" s="37" t="n"/>
      <c r="AY215" s="37" t="n"/>
      <c r="AZ215" s="37" t="n"/>
      <c r="BA215" s="37" t="n"/>
      <c r="BB215" s="37" t="n"/>
      <c r="BC215" s="37" t="n"/>
      <c r="BD215" s="37" t="n"/>
      <c r="BE215" s="5">
        <f>IF(AU215="","",IF(AU215&gt;0,"Win",IF(AU215&lt;0,"Loss","BE")))</f>
        <v/>
      </c>
      <c r="BF215" s="5">
        <f>IF(O215="","",LOOKUP(O215,List_BucketStart,List_BucketLabel))</f>
        <v/>
      </c>
      <c r="BG215" s="57">
        <f>IF(B215="","",B215-WEEKDAY(B215,3))</f>
        <v/>
      </c>
      <c r="BH215" s="28">
        <f>IF(B215="","",COUNTIF($B$6:B215,B215))</f>
        <v/>
      </c>
      <c r="BI215" s="39">
        <f>IF(B215="","",SUMIFS($AU$6:AU215,$B$6:B215,B215)-N(AU215))</f>
        <v/>
      </c>
      <c r="BJ215" s="5">
        <f>IF(OR(B215="",E215=""),"",IF(AND(E215=0,I215="Sell",MAX(N(O215),N(AD215))&gt;ExpiryCutoff),"BREACH","OK"))</f>
        <v/>
      </c>
      <c r="BK215" s="5">
        <f>IF(B215="","",IF(OR(AC215&lt;&gt;"OK",BJ215="BREACH",BH215&gt;MaxTradesDay,BI215&lt;=-DailyLossLimit,OR(AF215="Panic",AF215="Revenge",AF215="Rule break")),"CHECK","OK"))</f>
        <v/>
      </c>
      <c r="BL215" s="39">
        <f>IF(AU215="","",SUM($AU$6:AU215))</f>
        <v/>
      </c>
      <c r="BM215" s="39">
        <f>IF(BL215="","",Capital+BL215)</f>
        <v/>
      </c>
      <c r="BN215" s="39">
        <f>IF(BM215="","",MAX(Capital,MAX($BM$6:BM215)))</f>
        <v/>
      </c>
      <c r="BO215" s="39">
        <f>IF(BM215="","",BN215-BM215)</f>
        <v/>
      </c>
      <c r="BP215" s="58">
        <f>IF(BO215="","",BO215/BN215)</f>
        <v/>
      </c>
      <c r="BQ215" s="28">
        <f>IF(AU215="","",IF(AU215&lt;0,N(BQ214)+1,0))</f>
        <v/>
      </c>
    </row>
    <row r="216">
      <c r="A216" s="28">
        <f>IF(B216="","",COUNT($B$6:B216))</f>
        <v/>
      </c>
      <c r="B216" s="27" t="n"/>
      <c r="C216" s="5">
        <f>IF(B216="","",TEXT(B216,"ddd"))</f>
        <v/>
      </c>
      <c r="D216" s="27" t="n"/>
      <c r="E216" s="28">
        <f>IF(OR(B216="",D216=""),"",MAX(0,NETWORKDAYS(B216,D216)-1))</f>
        <v/>
      </c>
      <c r="F216" s="37" t="n"/>
      <c r="G216" s="36" t="n"/>
      <c r="H216" s="37" t="n"/>
      <c r="I216" s="37" t="n"/>
      <c r="J216" s="37" t="n"/>
      <c r="K216" s="37" t="n"/>
      <c r="L216" s="36" t="n"/>
      <c r="M216" s="36" t="n"/>
      <c r="N216" s="33">
        <f>IF(M216="","",M216*LotSize)</f>
        <v/>
      </c>
      <c r="O216" s="51" t="n"/>
      <c r="P216" s="32" t="n"/>
      <c r="Q216" s="29" t="n"/>
      <c r="R216" s="30">
        <f>IF(OR(G216="",Q216="",H216=""),"",IF(H216="CE",G216-Q216,Q216-G216))</f>
        <v/>
      </c>
      <c r="S216" s="31">
        <f>IF(R216="","",R216/Q216)</f>
        <v/>
      </c>
      <c r="T216" s="38" t="n"/>
      <c r="U216" s="32" t="n"/>
      <c r="V216" s="52" t="n"/>
      <c r="W216" s="37" t="n"/>
      <c r="X216" s="32" t="n"/>
      <c r="Y216" s="32" t="n"/>
      <c r="Z216" s="39">
        <f>IF(OR(X216="",P216="",N216=""),"",ABS(X216-P216)*N216)</f>
        <v/>
      </c>
      <c r="AA216" s="53">
        <f>IF(OR(Z216="",Y216=""),"",IF(Z216=0,"",ABS(P216-Y216)*N216/Z216))</f>
        <v/>
      </c>
      <c r="AB216" s="54">
        <f>IF(Z216="","",Z216/Capital)</f>
        <v/>
      </c>
      <c r="AC216" s="5">
        <f>IF(B216="","",IF(X216="","NO SL",IF(OR(N(M216)&gt;MaxLots,N(AB216)&gt;RiskPct),"OVERSIZED","OK")))</f>
        <v/>
      </c>
      <c r="AD216" s="51" t="n"/>
      <c r="AE216" s="32" t="n"/>
      <c r="AF216" s="37" t="n"/>
      <c r="AG216" s="32" t="n"/>
      <c r="AH216" s="32" t="n"/>
      <c r="AI216" s="39">
        <f>IF(OR(AG216="",P216="",N216=""),"",ABS(AG216-P216)*N216)</f>
        <v/>
      </c>
      <c r="AJ216" s="39">
        <f>IF(OR(AH216="",P216="",N216=""),"",ABS(P216-AH216)*N216)</f>
        <v/>
      </c>
      <c r="AK216" s="39">
        <f>IF(OR(AE216="",P216="",N216=""),"",IF(I216="Buy",AE216-P216,P216-AE216)*N216)</f>
        <v/>
      </c>
      <c r="AL216" s="39">
        <f>IF(OR(AJ216="",AK216=""),"",MAX(0,AJ216-AK216))</f>
        <v/>
      </c>
      <c r="AM216" s="39">
        <f>IF(AK216="","",(P216+AE216)*N216)</f>
        <v/>
      </c>
      <c r="AN216" s="55">
        <f>IF(AK216="","",BrokeragePerOrder*2*MAX(1,N(L216)))</f>
        <v/>
      </c>
      <c r="AO216" s="55">
        <f>IF(AK216="","",STTRate*IF(I216="Buy",AE216,P216)*N216)</f>
        <v/>
      </c>
      <c r="AP216" s="55">
        <f>IF(AK216="","",ExchRate*AM216)</f>
        <v/>
      </c>
      <c r="AQ216" s="55">
        <f>IF(AK216="","",SEBIRate*AM216)</f>
        <v/>
      </c>
      <c r="AR216" s="55">
        <f>IF(AK216="","",StampRate*IF(I216="Buy",P216,AE216)*N216)</f>
        <v/>
      </c>
      <c r="AS216" s="55">
        <f>IF(AK216="","",GSTRate*(AN216+AP216+AQ216))</f>
        <v/>
      </c>
      <c r="AT216" s="55">
        <f>IF(AK216="","",AN216+AO216+AP216+AQ216+AR216+AS216)</f>
        <v/>
      </c>
      <c r="AU216" s="39">
        <f>IF(AK216="","",AK216-AT216)</f>
        <v/>
      </c>
      <c r="AV216" s="56">
        <f>IF(AU216="","",AU216/IF(N(Z216)&gt;0,Z216,RiskPerTrade))</f>
        <v/>
      </c>
      <c r="AW216" s="31">
        <f>IF(AU216="","",AU216/Capital)</f>
        <v/>
      </c>
      <c r="AX216" s="37" t="n"/>
      <c r="AY216" s="37" t="n"/>
      <c r="AZ216" s="37" t="n"/>
      <c r="BA216" s="37" t="n"/>
      <c r="BB216" s="37" t="n"/>
      <c r="BC216" s="37" t="n"/>
      <c r="BD216" s="37" t="n"/>
      <c r="BE216" s="5">
        <f>IF(AU216="","",IF(AU216&gt;0,"Win",IF(AU216&lt;0,"Loss","BE")))</f>
        <v/>
      </c>
      <c r="BF216" s="5">
        <f>IF(O216="","",LOOKUP(O216,List_BucketStart,List_BucketLabel))</f>
        <v/>
      </c>
      <c r="BG216" s="57">
        <f>IF(B216="","",B216-WEEKDAY(B216,3))</f>
        <v/>
      </c>
      <c r="BH216" s="28">
        <f>IF(B216="","",COUNTIF($B$6:B216,B216))</f>
        <v/>
      </c>
      <c r="BI216" s="39">
        <f>IF(B216="","",SUMIFS($AU$6:AU216,$B$6:B216,B216)-N(AU216))</f>
        <v/>
      </c>
      <c r="BJ216" s="5">
        <f>IF(OR(B216="",E216=""),"",IF(AND(E216=0,I216="Sell",MAX(N(O216),N(AD216))&gt;ExpiryCutoff),"BREACH","OK"))</f>
        <v/>
      </c>
      <c r="BK216" s="5">
        <f>IF(B216="","",IF(OR(AC216&lt;&gt;"OK",BJ216="BREACH",BH216&gt;MaxTradesDay,BI216&lt;=-DailyLossLimit,OR(AF216="Panic",AF216="Revenge",AF216="Rule break")),"CHECK","OK"))</f>
        <v/>
      </c>
      <c r="BL216" s="39">
        <f>IF(AU216="","",SUM($AU$6:AU216))</f>
        <v/>
      </c>
      <c r="BM216" s="39">
        <f>IF(BL216="","",Capital+BL216)</f>
        <v/>
      </c>
      <c r="BN216" s="39">
        <f>IF(BM216="","",MAX(Capital,MAX($BM$6:BM216)))</f>
        <v/>
      </c>
      <c r="BO216" s="39">
        <f>IF(BM216="","",BN216-BM216)</f>
        <v/>
      </c>
      <c r="BP216" s="58">
        <f>IF(BO216="","",BO216/BN216)</f>
        <v/>
      </c>
      <c r="BQ216" s="28">
        <f>IF(AU216="","",IF(AU216&lt;0,N(BQ215)+1,0))</f>
        <v/>
      </c>
    </row>
    <row r="217">
      <c r="A217" s="28">
        <f>IF(B217="","",COUNT($B$6:B217))</f>
        <v/>
      </c>
      <c r="B217" s="27" t="n"/>
      <c r="C217" s="5">
        <f>IF(B217="","",TEXT(B217,"ddd"))</f>
        <v/>
      </c>
      <c r="D217" s="27" t="n"/>
      <c r="E217" s="28">
        <f>IF(OR(B217="",D217=""),"",MAX(0,NETWORKDAYS(B217,D217)-1))</f>
        <v/>
      </c>
      <c r="F217" s="37" t="n"/>
      <c r="G217" s="36" t="n"/>
      <c r="H217" s="37" t="n"/>
      <c r="I217" s="37" t="n"/>
      <c r="J217" s="37" t="n"/>
      <c r="K217" s="37" t="n"/>
      <c r="L217" s="36" t="n"/>
      <c r="M217" s="36" t="n"/>
      <c r="N217" s="33">
        <f>IF(M217="","",M217*LotSize)</f>
        <v/>
      </c>
      <c r="O217" s="51" t="n"/>
      <c r="P217" s="32" t="n"/>
      <c r="Q217" s="29" t="n"/>
      <c r="R217" s="30">
        <f>IF(OR(G217="",Q217="",H217=""),"",IF(H217="CE",G217-Q217,Q217-G217))</f>
        <v/>
      </c>
      <c r="S217" s="31">
        <f>IF(R217="","",R217/Q217)</f>
        <v/>
      </c>
      <c r="T217" s="38" t="n"/>
      <c r="U217" s="32" t="n"/>
      <c r="V217" s="52" t="n"/>
      <c r="W217" s="37" t="n"/>
      <c r="X217" s="32" t="n"/>
      <c r="Y217" s="32" t="n"/>
      <c r="Z217" s="39">
        <f>IF(OR(X217="",P217="",N217=""),"",ABS(X217-P217)*N217)</f>
        <v/>
      </c>
      <c r="AA217" s="53">
        <f>IF(OR(Z217="",Y217=""),"",IF(Z217=0,"",ABS(P217-Y217)*N217/Z217))</f>
        <v/>
      </c>
      <c r="AB217" s="54">
        <f>IF(Z217="","",Z217/Capital)</f>
        <v/>
      </c>
      <c r="AC217" s="5">
        <f>IF(B217="","",IF(X217="","NO SL",IF(OR(N(M217)&gt;MaxLots,N(AB217)&gt;RiskPct),"OVERSIZED","OK")))</f>
        <v/>
      </c>
      <c r="AD217" s="51" t="n"/>
      <c r="AE217" s="32" t="n"/>
      <c r="AF217" s="37" t="n"/>
      <c r="AG217" s="32" t="n"/>
      <c r="AH217" s="32" t="n"/>
      <c r="AI217" s="39">
        <f>IF(OR(AG217="",P217="",N217=""),"",ABS(AG217-P217)*N217)</f>
        <v/>
      </c>
      <c r="AJ217" s="39">
        <f>IF(OR(AH217="",P217="",N217=""),"",ABS(P217-AH217)*N217)</f>
        <v/>
      </c>
      <c r="AK217" s="39">
        <f>IF(OR(AE217="",P217="",N217=""),"",IF(I217="Buy",AE217-P217,P217-AE217)*N217)</f>
        <v/>
      </c>
      <c r="AL217" s="39">
        <f>IF(OR(AJ217="",AK217=""),"",MAX(0,AJ217-AK217))</f>
        <v/>
      </c>
      <c r="AM217" s="39">
        <f>IF(AK217="","",(P217+AE217)*N217)</f>
        <v/>
      </c>
      <c r="AN217" s="55">
        <f>IF(AK217="","",BrokeragePerOrder*2*MAX(1,N(L217)))</f>
        <v/>
      </c>
      <c r="AO217" s="55">
        <f>IF(AK217="","",STTRate*IF(I217="Buy",AE217,P217)*N217)</f>
        <v/>
      </c>
      <c r="AP217" s="55">
        <f>IF(AK217="","",ExchRate*AM217)</f>
        <v/>
      </c>
      <c r="AQ217" s="55">
        <f>IF(AK217="","",SEBIRate*AM217)</f>
        <v/>
      </c>
      <c r="AR217" s="55">
        <f>IF(AK217="","",StampRate*IF(I217="Buy",P217,AE217)*N217)</f>
        <v/>
      </c>
      <c r="AS217" s="55">
        <f>IF(AK217="","",GSTRate*(AN217+AP217+AQ217))</f>
        <v/>
      </c>
      <c r="AT217" s="55">
        <f>IF(AK217="","",AN217+AO217+AP217+AQ217+AR217+AS217)</f>
        <v/>
      </c>
      <c r="AU217" s="39">
        <f>IF(AK217="","",AK217-AT217)</f>
        <v/>
      </c>
      <c r="AV217" s="56">
        <f>IF(AU217="","",AU217/IF(N(Z217)&gt;0,Z217,RiskPerTrade))</f>
        <v/>
      </c>
      <c r="AW217" s="31">
        <f>IF(AU217="","",AU217/Capital)</f>
        <v/>
      </c>
      <c r="AX217" s="37" t="n"/>
      <c r="AY217" s="37" t="n"/>
      <c r="AZ217" s="37" t="n"/>
      <c r="BA217" s="37" t="n"/>
      <c r="BB217" s="37" t="n"/>
      <c r="BC217" s="37" t="n"/>
      <c r="BD217" s="37" t="n"/>
      <c r="BE217" s="5">
        <f>IF(AU217="","",IF(AU217&gt;0,"Win",IF(AU217&lt;0,"Loss","BE")))</f>
        <v/>
      </c>
      <c r="BF217" s="5">
        <f>IF(O217="","",LOOKUP(O217,List_BucketStart,List_BucketLabel))</f>
        <v/>
      </c>
      <c r="BG217" s="57">
        <f>IF(B217="","",B217-WEEKDAY(B217,3))</f>
        <v/>
      </c>
      <c r="BH217" s="28">
        <f>IF(B217="","",COUNTIF($B$6:B217,B217))</f>
        <v/>
      </c>
      <c r="BI217" s="39">
        <f>IF(B217="","",SUMIFS($AU$6:AU217,$B$6:B217,B217)-N(AU217))</f>
        <v/>
      </c>
      <c r="BJ217" s="5">
        <f>IF(OR(B217="",E217=""),"",IF(AND(E217=0,I217="Sell",MAX(N(O217),N(AD217))&gt;ExpiryCutoff),"BREACH","OK"))</f>
        <v/>
      </c>
      <c r="BK217" s="5">
        <f>IF(B217="","",IF(OR(AC217&lt;&gt;"OK",BJ217="BREACH",BH217&gt;MaxTradesDay,BI217&lt;=-DailyLossLimit,OR(AF217="Panic",AF217="Revenge",AF217="Rule break")),"CHECK","OK"))</f>
        <v/>
      </c>
      <c r="BL217" s="39">
        <f>IF(AU217="","",SUM($AU$6:AU217))</f>
        <v/>
      </c>
      <c r="BM217" s="39">
        <f>IF(BL217="","",Capital+BL217)</f>
        <v/>
      </c>
      <c r="BN217" s="39">
        <f>IF(BM217="","",MAX(Capital,MAX($BM$6:BM217)))</f>
        <v/>
      </c>
      <c r="BO217" s="39">
        <f>IF(BM217="","",BN217-BM217)</f>
        <v/>
      </c>
      <c r="BP217" s="58">
        <f>IF(BO217="","",BO217/BN217)</f>
        <v/>
      </c>
      <c r="BQ217" s="28">
        <f>IF(AU217="","",IF(AU217&lt;0,N(BQ216)+1,0))</f>
        <v/>
      </c>
    </row>
    <row r="218">
      <c r="A218" s="28">
        <f>IF(B218="","",COUNT($B$6:B218))</f>
        <v/>
      </c>
      <c r="B218" s="27" t="n"/>
      <c r="C218" s="5">
        <f>IF(B218="","",TEXT(B218,"ddd"))</f>
        <v/>
      </c>
      <c r="D218" s="27" t="n"/>
      <c r="E218" s="28">
        <f>IF(OR(B218="",D218=""),"",MAX(0,NETWORKDAYS(B218,D218)-1))</f>
        <v/>
      </c>
      <c r="F218" s="37" t="n"/>
      <c r="G218" s="36" t="n"/>
      <c r="H218" s="37" t="n"/>
      <c r="I218" s="37" t="n"/>
      <c r="J218" s="37" t="n"/>
      <c r="K218" s="37" t="n"/>
      <c r="L218" s="36" t="n"/>
      <c r="M218" s="36" t="n"/>
      <c r="N218" s="33">
        <f>IF(M218="","",M218*LotSize)</f>
        <v/>
      </c>
      <c r="O218" s="51" t="n"/>
      <c r="P218" s="32" t="n"/>
      <c r="Q218" s="29" t="n"/>
      <c r="R218" s="30">
        <f>IF(OR(G218="",Q218="",H218=""),"",IF(H218="CE",G218-Q218,Q218-G218))</f>
        <v/>
      </c>
      <c r="S218" s="31">
        <f>IF(R218="","",R218/Q218)</f>
        <v/>
      </c>
      <c r="T218" s="38" t="n"/>
      <c r="U218" s="32" t="n"/>
      <c r="V218" s="52" t="n"/>
      <c r="W218" s="37" t="n"/>
      <c r="X218" s="32" t="n"/>
      <c r="Y218" s="32" t="n"/>
      <c r="Z218" s="39">
        <f>IF(OR(X218="",P218="",N218=""),"",ABS(X218-P218)*N218)</f>
        <v/>
      </c>
      <c r="AA218" s="53">
        <f>IF(OR(Z218="",Y218=""),"",IF(Z218=0,"",ABS(P218-Y218)*N218/Z218))</f>
        <v/>
      </c>
      <c r="AB218" s="54">
        <f>IF(Z218="","",Z218/Capital)</f>
        <v/>
      </c>
      <c r="AC218" s="5">
        <f>IF(B218="","",IF(X218="","NO SL",IF(OR(N(M218)&gt;MaxLots,N(AB218)&gt;RiskPct),"OVERSIZED","OK")))</f>
        <v/>
      </c>
      <c r="AD218" s="51" t="n"/>
      <c r="AE218" s="32" t="n"/>
      <c r="AF218" s="37" t="n"/>
      <c r="AG218" s="32" t="n"/>
      <c r="AH218" s="32" t="n"/>
      <c r="AI218" s="39">
        <f>IF(OR(AG218="",P218="",N218=""),"",ABS(AG218-P218)*N218)</f>
        <v/>
      </c>
      <c r="AJ218" s="39">
        <f>IF(OR(AH218="",P218="",N218=""),"",ABS(P218-AH218)*N218)</f>
        <v/>
      </c>
      <c r="AK218" s="39">
        <f>IF(OR(AE218="",P218="",N218=""),"",IF(I218="Buy",AE218-P218,P218-AE218)*N218)</f>
        <v/>
      </c>
      <c r="AL218" s="39">
        <f>IF(OR(AJ218="",AK218=""),"",MAX(0,AJ218-AK218))</f>
        <v/>
      </c>
      <c r="AM218" s="39">
        <f>IF(AK218="","",(P218+AE218)*N218)</f>
        <v/>
      </c>
      <c r="AN218" s="55">
        <f>IF(AK218="","",BrokeragePerOrder*2*MAX(1,N(L218)))</f>
        <v/>
      </c>
      <c r="AO218" s="55">
        <f>IF(AK218="","",STTRate*IF(I218="Buy",AE218,P218)*N218)</f>
        <v/>
      </c>
      <c r="AP218" s="55">
        <f>IF(AK218="","",ExchRate*AM218)</f>
        <v/>
      </c>
      <c r="AQ218" s="55">
        <f>IF(AK218="","",SEBIRate*AM218)</f>
        <v/>
      </c>
      <c r="AR218" s="55">
        <f>IF(AK218="","",StampRate*IF(I218="Buy",P218,AE218)*N218)</f>
        <v/>
      </c>
      <c r="AS218" s="55">
        <f>IF(AK218="","",GSTRate*(AN218+AP218+AQ218))</f>
        <v/>
      </c>
      <c r="AT218" s="55">
        <f>IF(AK218="","",AN218+AO218+AP218+AQ218+AR218+AS218)</f>
        <v/>
      </c>
      <c r="AU218" s="39">
        <f>IF(AK218="","",AK218-AT218)</f>
        <v/>
      </c>
      <c r="AV218" s="56">
        <f>IF(AU218="","",AU218/IF(N(Z218)&gt;0,Z218,RiskPerTrade))</f>
        <v/>
      </c>
      <c r="AW218" s="31">
        <f>IF(AU218="","",AU218/Capital)</f>
        <v/>
      </c>
      <c r="AX218" s="37" t="n"/>
      <c r="AY218" s="37" t="n"/>
      <c r="AZ218" s="37" t="n"/>
      <c r="BA218" s="37" t="n"/>
      <c r="BB218" s="37" t="n"/>
      <c r="BC218" s="37" t="n"/>
      <c r="BD218" s="37" t="n"/>
      <c r="BE218" s="5">
        <f>IF(AU218="","",IF(AU218&gt;0,"Win",IF(AU218&lt;0,"Loss","BE")))</f>
        <v/>
      </c>
      <c r="BF218" s="5">
        <f>IF(O218="","",LOOKUP(O218,List_BucketStart,List_BucketLabel))</f>
        <v/>
      </c>
      <c r="BG218" s="57">
        <f>IF(B218="","",B218-WEEKDAY(B218,3))</f>
        <v/>
      </c>
      <c r="BH218" s="28">
        <f>IF(B218="","",COUNTIF($B$6:B218,B218))</f>
        <v/>
      </c>
      <c r="BI218" s="39">
        <f>IF(B218="","",SUMIFS($AU$6:AU218,$B$6:B218,B218)-N(AU218))</f>
        <v/>
      </c>
      <c r="BJ218" s="5">
        <f>IF(OR(B218="",E218=""),"",IF(AND(E218=0,I218="Sell",MAX(N(O218),N(AD218))&gt;ExpiryCutoff),"BREACH","OK"))</f>
        <v/>
      </c>
      <c r="BK218" s="5">
        <f>IF(B218="","",IF(OR(AC218&lt;&gt;"OK",BJ218="BREACH",BH218&gt;MaxTradesDay,BI218&lt;=-DailyLossLimit,OR(AF218="Panic",AF218="Revenge",AF218="Rule break")),"CHECK","OK"))</f>
        <v/>
      </c>
      <c r="BL218" s="39">
        <f>IF(AU218="","",SUM($AU$6:AU218))</f>
        <v/>
      </c>
      <c r="BM218" s="39">
        <f>IF(BL218="","",Capital+BL218)</f>
        <v/>
      </c>
      <c r="BN218" s="39">
        <f>IF(BM218="","",MAX(Capital,MAX($BM$6:BM218)))</f>
        <v/>
      </c>
      <c r="BO218" s="39">
        <f>IF(BM218="","",BN218-BM218)</f>
        <v/>
      </c>
      <c r="BP218" s="58">
        <f>IF(BO218="","",BO218/BN218)</f>
        <v/>
      </c>
      <c r="BQ218" s="28">
        <f>IF(AU218="","",IF(AU218&lt;0,N(BQ217)+1,0))</f>
        <v/>
      </c>
    </row>
    <row r="219">
      <c r="A219" s="28">
        <f>IF(B219="","",COUNT($B$6:B219))</f>
        <v/>
      </c>
      <c r="B219" s="27" t="n"/>
      <c r="C219" s="5">
        <f>IF(B219="","",TEXT(B219,"ddd"))</f>
        <v/>
      </c>
      <c r="D219" s="27" t="n"/>
      <c r="E219" s="28">
        <f>IF(OR(B219="",D219=""),"",MAX(0,NETWORKDAYS(B219,D219)-1))</f>
        <v/>
      </c>
      <c r="F219" s="37" t="n"/>
      <c r="G219" s="36" t="n"/>
      <c r="H219" s="37" t="n"/>
      <c r="I219" s="37" t="n"/>
      <c r="J219" s="37" t="n"/>
      <c r="K219" s="37" t="n"/>
      <c r="L219" s="36" t="n"/>
      <c r="M219" s="36" t="n"/>
      <c r="N219" s="33">
        <f>IF(M219="","",M219*LotSize)</f>
        <v/>
      </c>
      <c r="O219" s="51" t="n"/>
      <c r="P219" s="32" t="n"/>
      <c r="Q219" s="29" t="n"/>
      <c r="R219" s="30">
        <f>IF(OR(G219="",Q219="",H219=""),"",IF(H219="CE",G219-Q219,Q219-G219))</f>
        <v/>
      </c>
      <c r="S219" s="31">
        <f>IF(R219="","",R219/Q219)</f>
        <v/>
      </c>
      <c r="T219" s="38" t="n"/>
      <c r="U219" s="32" t="n"/>
      <c r="V219" s="52" t="n"/>
      <c r="W219" s="37" t="n"/>
      <c r="X219" s="32" t="n"/>
      <c r="Y219" s="32" t="n"/>
      <c r="Z219" s="39">
        <f>IF(OR(X219="",P219="",N219=""),"",ABS(X219-P219)*N219)</f>
        <v/>
      </c>
      <c r="AA219" s="53">
        <f>IF(OR(Z219="",Y219=""),"",IF(Z219=0,"",ABS(P219-Y219)*N219/Z219))</f>
        <v/>
      </c>
      <c r="AB219" s="54">
        <f>IF(Z219="","",Z219/Capital)</f>
        <v/>
      </c>
      <c r="AC219" s="5">
        <f>IF(B219="","",IF(X219="","NO SL",IF(OR(N(M219)&gt;MaxLots,N(AB219)&gt;RiskPct),"OVERSIZED","OK")))</f>
        <v/>
      </c>
      <c r="AD219" s="51" t="n"/>
      <c r="AE219" s="32" t="n"/>
      <c r="AF219" s="37" t="n"/>
      <c r="AG219" s="32" t="n"/>
      <c r="AH219" s="32" t="n"/>
      <c r="AI219" s="39">
        <f>IF(OR(AG219="",P219="",N219=""),"",ABS(AG219-P219)*N219)</f>
        <v/>
      </c>
      <c r="AJ219" s="39">
        <f>IF(OR(AH219="",P219="",N219=""),"",ABS(P219-AH219)*N219)</f>
        <v/>
      </c>
      <c r="AK219" s="39">
        <f>IF(OR(AE219="",P219="",N219=""),"",IF(I219="Buy",AE219-P219,P219-AE219)*N219)</f>
        <v/>
      </c>
      <c r="AL219" s="39">
        <f>IF(OR(AJ219="",AK219=""),"",MAX(0,AJ219-AK219))</f>
        <v/>
      </c>
      <c r="AM219" s="39">
        <f>IF(AK219="","",(P219+AE219)*N219)</f>
        <v/>
      </c>
      <c r="AN219" s="55">
        <f>IF(AK219="","",BrokeragePerOrder*2*MAX(1,N(L219)))</f>
        <v/>
      </c>
      <c r="AO219" s="55">
        <f>IF(AK219="","",STTRate*IF(I219="Buy",AE219,P219)*N219)</f>
        <v/>
      </c>
      <c r="AP219" s="55">
        <f>IF(AK219="","",ExchRate*AM219)</f>
        <v/>
      </c>
      <c r="AQ219" s="55">
        <f>IF(AK219="","",SEBIRate*AM219)</f>
        <v/>
      </c>
      <c r="AR219" s="55">
        <f>IF(AK219="","",StampRate*IF(I219="Buy",P219,AE219)*N219)</f>
        <v/>
      </c>
      <c r="AS219" s="55">
        <f>IF(AK219="","",GSTRate*(AN219+AP219+AQ219))</f>
        <v/>
      </c>
      <c r="AT219" s="55">
        <f>IF(AK219="","",AN219+AO219+AP219+AQ219+AR219+AS219)</f>
        <v/>
      </c>
      <c r="AU219" s="39">
        <f>IF(AK219="","",AK219-AT219)</f>
        <v/>
      </c>
      <c r="AV219" s="56">
        <f>IF(AU219="","",AU219/IF(N(Z219)&gt;0,Z219,RiskPerTrade))</f>
        <v/>
      </c>
      <c r="AW219" s="31">
        <f>IF(AU219="","",AU219/Capital)</f>
        <v/>
      </c>
      <c r="AX219" s="37" t="n"/>
      <c r="AY219" s="37" t="n"/>
      <c r="AZ219" s="37" t="n"/>
      <c r="BA219" s="37" t="n"/>
      <c r="BB219" s="37" t="n"/>
      <c r="BC219" s="37" t="n"/>
      <c r="BD219" s="37" t="n"/>
      <c r="BE219" s="5">
        <f>IF(AU219="","",IF(AU219&gt;0,"Win",IF(AU219&lt;0,"Loss","BE")))</f>
        <v/>
      </c>
      <c r="BF219" s="5">
        <f>IF(O219="","",LOOKUP(O219,List_BucketStart,List_BucketLabel))</f>
        <v/>
      </c>
      <c r="BG219" s="57">
        <f>IF(B219="","",B219-WEEKDAY(B219,3))</f>
        <v/>
      </c>
      <c r="BH219" s="28">
        <f>IF(B219="","",COUNTIF($B$6:B219,B219))</f>
        <v/>
      </c>
      <c r="BI219" s="39">
        <f>IF(B219="","",SUMIFS($AU$6:AU219,$B$6:B219,B219)-N(AU219))</f>
        <v/>
      </c>
      <c r="BJ219" s="5">
        <f>IF(OR(B219="",E219=""),"",IF(AND(E219=0,I219="Sell",MAX(N(O219),N(AD219))&gt;ExpiryCutoff),"BREACH","OK"))</f>
        <v/>
      </c>
      <c r="BK219" s="5">
        <f>IF(B219="","",IF(OR(AC219&lt;&gt;"OK",BJ219="BREACH",BH219&gt;MaxTradesDay,BI219&lt;=-DailyLossLimit,OR(AF219="Panic",AF219="Revenge",AF219="Rule break")),"CHECK","OK"))</f>
        <v/>
      </c>
      <c r="BL219" s="39">
        <f>IF(AU219="","",SUM($AU$6:AU219))</f>
        <v/>
      </c>
      <c r="BM219" s="39">
        <f>IF(BL219="","",Capital+BL219)</f>
        <v/>
      </c>
      <c r="BN219" s="39">
        <f>IF(BM219="","",MAX(Capital,MAX($BM$6:BM219)))</f>
        <v/>
      </c>
      <c r="BO219" s="39">
        <f>IF(BM219="","",BN219-BM219)</f>
        <v/>
      </c>
      <c r="BP219" s="58">
        <f>IF(BO219="","",BO219/BN219)</f>
        <v/>
      </c>
      <c r="BQ219" s="28">
        <f>IF(AU219="","",IF(AU219&lt;0,N(BQ218)+1,0))</f>
        <v/>
      </c>
    </row>
    <row r="220">
      <c r="A220" s="28">
        <f>IF(B220="","",COUNT($B$6:B220))</f>
        <v/>
      </c>
      <c r="B220" s="27" t="n"/>
      <c r="C220" s="5">
        <f>IF(B220="","",TEXT(B220,"ddd"))</f>
        <v/>
      </c>
      <c r="D220" s="27" t="n"/>
      <c r="E220" s="28">
        <f>IF(OR(B220="",D220=""),"",MAX(0,NETWORKDAYS(B220,D220)-1))</f>
        <v/>
      </c>
      <c r="F220" s="37" t="n"/>
      <c r="G220" s="36" t="n"/>
      <c r="H220" s="37" t="n"/>
      <c r="I220" s="37" t="n"/>
      <c r="J220" s="37" t="n"/>
      <c r="K220" s="37" t="n"/>
      <c r="L220" s="36" t="n"/>
      <c r="M220" s="36" t="n"/>
      <c r="N220" s="33">
        <f>IF(M220="","",M220*LotSize)</f>
        <v/>
      </c>
      <c r="O220" s="51" t="n"/>
      <c r="P220" s="32" t="n"/>
      <c r="Q220" s="29" t="n"/>
      <c r="R220" s="30">
        <f>IF(OR(G220="",Q220="",H220=""),"",IF(H220="CE",G220-Q220,Q220-G220))</f>
        <v/>
      </c>
      <c r="S220" s="31">
        <f>IF(R220="","",R220/Q220)</f>
        <v/>
      </c>
      <c r="T220" s="38" t="n"/>
      <c r="U220" s="32" t="n"/>
      <c r="V220" s="52" t="n"/>
      <c r="W220" s="37" t="n"/>
      <c r="X220" s="32" t="n"/>
      <c r="Y220" s="32" t="n"/>
      <c r="Z220" s="39">
        <f>IF(OR(X220="",P220="",N220=""),"",ABS(X220-P220)*N220)</f>
        <v/>
      </c>
      <c r="AA220" s="53">
        <f>IF(OR(Z220="",Y220=""),"",IF(Z220=0,"",ABS(P220-Y220)*N220/Z220))</f>
        <v/>
      </c>
      <c r="AB220" s="54">
        <f>IF(Z220="","",Z220/Capital)</f>
        <v/>
      </c>
      <c r="AC220" s="5">
        <f>IF(B220="","",IF(X220="","NO SL",IF(OR(N(M220)&gt;MaxLots,N(AB220)&gt;RiskPct),"OVERSIZED","OK")))</f>
        <v/>
      </c>
      <c r="AD220" s="51" t="n"/>
      <c r="AE220" s="32" t="n"/>
      <c r="AF220" s="37" t="n"/>
      <c r="AG220" s="32" t="n"/>
      <c r="AH220" s="32" t="n"/>
      <c r="AI220" s="39">
        <f>IF(OR(AG220="",P220="",N220=""),"",ABS(AG220-P220)*N220)</f>
        <v/>
      </c>
      <c r="AJ220" s="39">
        <f>IF(OR(AH220="",P220="",N220=""),"",ABS(P220-AH220)*N220)</f>
        <v/>
      </c>
      <c r="AK220" s="39">
        <f>IF(OR(AE220="",P220="",N220=""),"",IF(I220="Buy",AE220-P220,P220-AE220)*N220)</f>
        <v/>
      </c>
      <c r="AL220" s="39">
        <f>IF(OR(AJ220="",AK220=""),"",MAX(0,AJ220-AK220))</f>
        <v/>
      </c>
      <c r="AM220" s="39">
        <f>IF(AK220="","",(P220+AE220)*N220)</f>
        <v/>
      </c>
      <c r="AN220" s="55">
        <f>IF(AK220="","",BrokeragePerOrder*2*MAX(1,N(L220)))</f>
        <v/>
      </c>
      <c r="AO220" s="55">
        <f>IF(AK220="","",STTRate*IF(I220="Buy",AE220,P220)*N220)</f>
        <v/>
      </c>
      <c r="AP220" s="55">
        <f>IF(AK220="","",ExchRate*AM220)</f>
        <v/>
      </c>
      <c r="AQ220" s="55">
        <f>IF(AK220="","",SEBIRate*AM220)</f>
        <v/>
      </c>
      <c r="AR220" s="55">
        <f>IF(AK220="","",StampRate*IF(I220="Buy",P220,AE220)*N220)</f>
        <v/>
      </c>
      <c r="AS220" s="55">
        <f>IF(AK220="","",GSTRate*(AN220+AP220+AQ220))</f>
        <v/>
      </c>
      <c r="AT220" s="55">
        <f>IF(AK220="","",AN220+AO220+AP220+AQ220+AR220+AS220)</f>
        <v/>
      </c>
      <c r="AU220" s="39">
        <f>IF(AK220="","",AK220-AT220)</f>
        <v/>
      </c>
      <c r="AV220" s="56">
        <f>IF(AU220="","",AU220/IF(N(Z220)&gt;0,Z220,RiskPerTrade))</f>
        <v/>
      </c>
      <c r="AW220" s="31">
        <f>IF(AU220="","",AU220/Capital)</f>
        <v/>
      </c>
      <c r="AX220" s="37" t="n"/>
      <c r="AY220" s="37" t="n"/>
      <c r="AZ220" s="37" t="n"/>
      <c r="BA220" s="37" t="n"/>
      <c r="BB220" s="37" t="n"/>
      <c r="BC220" s="37" t="n"/>
      <c r="BD220" s="37" t="n"/>
      <c r="BE220" s="5">
        <f>IF(AU220="","",IF(AU220&gt;0,"Win",IF(AU220&lt;0,"Loss","BE")))</f>
        <v/>
      </c>
      <c r="BF220" s="5">
        <f>IF(O220="","",LOOKUP(O220,List_BucketStart,List_BucketLabel))</f>
        <v/>
      </c>
      <c r="BG220" s="57">
        <f>IF(B220="","",B220-WEEKDAY(B220,3))</f>
        <v/>
      </c>
      <c r="BH220" s="28">
        <f>IF(B220="","",COUNTIF($B$6:B220,B220))</f>
        <v/>
      </c>
      <c r="BI220" s="39">
        <f>IF(B220="","",SUMIFS($AU$6:AU220,$B$6:B220,B220)-N(AU220))</f>
        <v/>
      </c>
      <c r="BJ220" s="5">
        <f>IF(OR(B220="",E220=""),"",IF(AND(E220=0,I220="Sell",MAX(N(O220),N(AD220))&gt;ExpiryCutoff),"BREACH","OK"))</f>
        <v/>
      </c>
      <c r="BK220" s="5">
        <f>IF(B220="","",IF(OR(AC220&lt;&gt;"OK",BJ220="BREACH",BH220&gt;MaxTradesDay,BI220&lt;=-DailyLossLimit,OR(AF220="Panic",AF220="Revenge",AF220="Rule break")),"CHECK","OK"))</f>
        <v/>
      </c>
      <c r="BL220" s="39">
        <f>IF(AU220="","",SUM($AU$6:AU220))</f>
        <v/>
      </c>
      <c r="BM220" s="39">
        <f>IF(BL220="","",Capital+BL220)</f>
        <v/>
      </c>
      <c r="BN220" s="39">
        <f>IF(BM220="","",MAX(Capital,MAX($BM$6:BM220)))</f>
        <v/>
      </c>
      <c r="BO220" s="39">
        <f>IF(BM220="","",BN220-BM220)</f>
        <v/>
      </c>
      <c r="BP220" s="58">
        <f>IF(BO220="","",BO220/BN220)</f>
        <v/>
      </c>
      <c r="BQ220" s="28">
        <f>IF(AU220="","",IF(AU220&lt;0,N(BQ219)+1,0))</f>
        <v/>
      </c>
    </row>
    <row r="221">
      <c r="A221" s="28">
        <f>IF(B221="","",COUNT($B$6:B221))</f>
        <v/>
      </c>
      <c r="B221" s="27" t="n"/>
      <c r="C221" s="5">
        <f>IF(B221="","",TEXT(B221,"ddd"))</f>
        <v/>
      </c>
      <c r="D221" s="27" t="n"/>
      <c r="E221" s="28">
        <f>IF(OR(B221="",D221=""),"",MAX(0,NETWORKDAYS(B221,D221)-1))</f>
        <v/>
      </c>
      <c r="F221" s="37" t="n"/>
      <c r="G221" s="36" t="n"/>
      <c r="H221" s="37" t="n"/>
      <c r="I221" s="37" t="n"/>
      <c r="J221" s="37" t="n"/>
      <c r="K221" s="37" t="n"/>
      <c r="L221" s="36" t="n"/>
      <c r="M221" s="36" t="n"/>
      <c r="N221" s="33">
        <f>IF(M221="","",M221*LotSize)</f>
        <v/>
      </c>
      <c r="O221" s="51" t="n"/>
      <c r="P221" s="32" t="n"/>
      <c r="Q221" s="29" t="n"/>
      <c r="R221" s="30">
        <f>IF(OR(G221="",Q221="",H221=""),"",IF(H221="CE",G221-Q221,Q221-G221))</f>
        <v/>
      </c>
      <c r="S221" s="31">
        <f>IF(R221="","",R221/Q221)</f>
        <v/>
      </c>
      <c r="T221" s="38" t="n"/>
      <c r="U221" s="32" t="n"/>
      <c r="V221" s="52" t="n"/>
      <c r="W221" s="37" t="n"/>
      <c r="X221" s="32" t="n"/>
      <c r="Y221" s="32" t="n"/>
      <c r="Z221" s="39">
        <f>IF(OR(X221="",P221="",N221=""),"",ABS(X221-P221)*N221)</f>
        <v/>
      </c>
      <c r="AA221" s="53">
        <f>IF(OR(Z221="",Y221=""),"",IF(Z221=0,"",ABS(P221-Y221)*N221/Z221))</f>
        <v/>
      </c>
      <c r="AB221" s="54">
        <f>IF(Z221="","",Z221/Capital)</f>
        <v/>
      </c>
      <c r="AC221" s="5">
        <f>IF(B221="","",IF(X221="","NO SL",IF(OR(N(M221)&gt;MaxLots,N(AB221)&gt;RiskPct),"OVERSIZED","OK")))</f>
        <v/>
      </c>
      <c r="AD221" s="51" t="n"/>
      <c r="AE221" s="32" t="n"/>
      <c r="AF221" s="37" t="n"/>
      <c r="AG221" s="32" t="n"/>
      <c r="AH221" s="32" t="n"/>
      <c r="AI221" s="39">
        <f>IF(OR(AG221="",P221="",N221=""),"",ABS(AG221-P221)*N221)</f>
        <v/>
      </c>
      <c r="AJ221" s="39">
        <f>IF(OR(AH221="",P221="",N221=""),"",ABS(P221-AH221)*N221)</f>
        <v/>
      </c>
      <c r="AK221" s="39">
        <f>IF(OR(AE221="",P221="",N221=""),"",IF(I221="Buy",AE221-P221,P221-AE221)*N221)</f>
        <v/>
      </c>
      <c r="AL221" s="39">
        <f>IF(OR(AJ221="",AK221=""),"",MAX(0,AJ221-AK221))</f>
        <v/>
      </c>
      <c r="AM221" s="39">
        <f>IF(AK221="","",(P221+AE221)*N221)</f>
        <v/>
      </c>
      <c r="AN221" s="55">
        <f>IF(AK221="","",BrokeragePerOrder*2*MAX(1,N(L221)))</f>
        <v/>
      </c>
      <c r="AO221" s="55">
        <f>IF(AK221="","",STTRate*IF(I221="Buy",AE221,P221)*N221)</f>
        <v/>
      </c>
      <c r="AP221" s="55">
        <f>IF(AK221="","",ExchRate*AM221)</f>
        <v/>
      </c>
      <c r="AQ221" s="55">
        <f>IF(AK221="","",SEBIRate*AM221)</f>
        <v/>
      </c>
      <c r="AR221" s="55">
        <f>IF(AK221="","",StampRate*IF(I221="Buy",P221,AE221)*N221)</f>
        <v/>
      </c>
      <c r="AS221" s="55">
        <f>IF(AK221="","",GSTRate*(AN221+AP221+AQ221))</f>
        <v/>
      </c>
      <c r="AT221" s="55">
        <f>IF(AK221="","",AN221+AO221+AP221+AQ221+AR221+AS221)</f>
        <v/>
      </c>
      <c r="AU221" s="39">
        <f>IF(AK221="","",AK221-AT221)</f>
        <v/>
      </c>
      <c r="AV221" s="56">
        <f>IF(AU221="","",AU221/IF(N(Z221)&gt;0,Z221,RiskPerTrade))</f>
        <v/>
      </c>
      <c r="AW221" s="31">
        <f>IF(AU221="","",AU221/Capital)</f>
        <v/>
      </c>
      <c r="AX221" s="37" t="n"/>
      <c r="AY221" s="37" t="n"/>
      <c r="AZ221" s="37" t="n"/>
      <c r="BA221" s="37" t="n"/>
      <c r="BB221" s="37" t="n"/>
      <c r="BC221" s="37" t="n"/>
      <c r="BD221" s="37" t="n"/>
      <c r="BE221" s="5">
        <f>IF(AU221="","",IF(AU221&gt;0,"Win",IF(AU221&lt;0,"Loss","BE")))</f>
        <v/>
      </c>
      <c r="BF221" s="5">
        <f>IF(O221="","",LOOKUP(O221,List_BucketStart,List_BucketLabel))</f>
        <v/>
      </c>
      <c r="BG221" s="57">
        <f>IF(B221="","",B221-WEEKDAY(B221,3))</f>
        <v/>
      </c>
      <c r="BH221" s="28">
        <f>IF(B221="","",COUNTIF($B$6:B221,B221))</f>
        <v/>
      </c>
      <c r="BI221" s="39">
        <f>IF(B221="","",SUMIFS($AU$6:AU221,$B$6:B221,B221)-N(AU221))</f>
        <v/>
      </c>
      <c r="BJ221" s="5">
        <f>IF(OR(B221="",E221=""),"",IF(AND(E221=0,I221="Sell",MAX(N(O221),N(AD221))&gt;ExpiryCutoff),"BREACH","OK"))</f>
        <v/>
      </c>
      <c r="BK221" s="5">
        <f>IF(B221="","",IF(OR(AC221&lt;&gt;"OK",BJ221="BREACH",BH221&gt;MaxTradesDay,BI221&lt;=-DailyLossLimit,OR(AF221="Panic",AF221="Revenge",AF221="Rule break")),"CHECK","OK"))</f>
        <v/>
      </c>
      <c r="BL221" s="39">
        <f>IF(AU221="","",SUM($AU$6:AU221))</f>
        <v/>
      </c>
      <c r="BM221" s="39">
        <f>IF(BL221="","",Capital+BL221)</f>
        <v/>
      </c>
      <c r="BN221" s="39">
        <f>IF(BM221="","",MAX(Capital,MAX($BM$6:BM221)))</f>
        <v/>
      </c>
      <c r="BO221" s="39">
        <f>IF(BM221="","",BN221-BM221)</f>
        <v/>
      </c>
      <c r="BP221" s="58">
        <f>IF(BO221="","",BO221/BN221)</f>
        <v/>
      </c>
      <c r="BQ221" s="28">
        <f>IF(AU221="","",IF(AU221&lt;0,N(BQ220)+1,0))</f>
        <v/>
      </c>
    </row>
    <row r="222">
      <c r="A222" s="28">
        <f>IF(B222="","",COUNT($B$6:B222))</f>
        <v/>
      </c>
      <c r="B222" s="27" t="n"/>
      <c r="C222" s="5">
        <f>IF(B222="","",TEXT(B222,"ddd"))</f>
        <v/>
      </c>
      <c r="D222" s="27" t="n"/>
      <c r="E222" s="28">
        <f>IF(OR(B222="",D222=""),"",MAX(0,NETWORKDAYS(B222,D222)-1))</f>
        <v/>
      </c>
      <c r="F222" s="37" t="n"/>
      <c r="G222" s="36" t="n"/>
      <c r="H222" s="37" t="n"/>
      <c r="I222" s="37" t="n"/>
      <c r="J222" s="37" t="n"/>
      <c r="K222" s="37" t="n"/>
      <c r="L222" s="36" t="n"/>
      <c r="M222" s="36" t="n"/>
      <c r="N222" s="33">
        <f>IF(M222="","",M222*LotSize)</f>
        <v/>
      </c>
      <c r="O222" s="51" t="n"/>
      <c r="P222" s="32" t="n"/>
      <c r="Q222" s="29" t="n"/>
      <c r="R222" s="30">
        <f>IF(OR(G222="",Q222="",H222=""),"",IF(H222="CE",G222-Q222,Q222-G222))</f>
        <v/>
      </c>
      <c r="S222" s="31">
        <f>IF(R222="","",R222/Q222)</f>
        <v/>
      </c>
      <c r="T222" s="38" t="n"/>
      <c r="U222" s="32" t="n"/>
      <c r="V222" s="52" t="n"/>
      <c r="W222" s="37" t="n"/>
      <c r="X222" s="32" t="n"/>
      <c r="Y222" s="32" t="n"/>
      <c r="Z222" s="39">
        <f>IF(OR(X222="",P222="",N222=""),"",ABS(X222-P222)*N222)</f>
        <v/>
      </c>
      <c r="AA222" s="53">
        <f>IF(OR(Z222="",Y222=""),"",IF(Z222=0,"",ABS(P222-Y222)*N222/Z222))</f>
        <v/>
      </c>
      <c r="AB222" s="54">
        <f>IF(Z222="","",Z222/Capital)</f>
        <v/>
      </c>
      <c r="AC222" s="5">
        <f>IF(B222="","",IF(X222="","NO SL",IF(OR(N(M222)&gt;MaxLots,N(AB222)&gt;RiskPct),"OVERSIZED","OK")))</f>
        <v/>
      </c>
      <c r="AD222" s="51" t="n"/>
      <c r="AE222" s="32" t="n"/>
      <c r="AF222" s="37" t="n"/>
      <c r="AG222" s="32" t="n"/>
      <c r="AH222" s="32" t="n"/>
      <c r="AI222" s="39">
        <f>IF(OR(AG222="",P222="",N222=""),"",ABS(AG222-P222)*N222)</f>
        <v/>
      </c>
      <c r="AJ222" s="39">
        <f>IF(OR(AH222="",P222="",N222=""),"",ABS(P222-AH222)*N222)</f>
        <v/>
      </c>
      <c r="AK222" s="39">
        <f>IF(OR(AE222="",P222="",N222=""),"",IF(I222="Buy",AE222-P222,P222-AE222)*N222)</f>
        <v/>
      </c>
      <c r="AL222" s="39">
        <f>IF(OR(AJ222="",AK222=""),"",MAX(0,AJ222-AK222))</f>
        <v/>
      </c>
      <c r="AM222" s="39">
        <f>IF(AK222="","",(P222+AE222)*N222)</f>
        <v/>
      </c>
      <c r="AN222" s="55">
        <f>IF(AK222="","",BrokeragePerOrder*2*MAX(1,N(L222)))</f>
        <v/>
      </c>
      <c r="AO222" s="55">
        <f>IF(AK222="","",STTRate*IF(I222="Buy",AE222,P222)*N222)</f>
        <v/>
      </c>
      <c r="AP222" s="55">
        <f>IF(AK222="","",ExchRate*AM222)</f>
        <v/>
      </c>
      <c r="AQ222" s="55">
        <f>IF(AK222="","",SEBIRate*AM222)</f>
        <v/>
      </c>
      <c r="AR222" s="55">
        <f>IF(AK222="","",StampRate*IF(I222="Buy",P222,AE222)*N222)</f>
        <v/>
      </c>
      <c r="AS222" s="55">
        <f>IF(AK222="","",GSTRate*(AN222+AP222+AQ222))</f>
        <v/>
      </c>
      <c r="AT222" s="55">
        <f>IF(AK222="","",AN222+AO222+AP222+AQ222+AR222+AS222)</f>
        <v/>
      </c>
      <c r="AU222" s="39">
        <f>IF(AK222="","",AK222-AT222)</f>
        <v/>
      </c>
      <c r="AV222" s="56">
        <f>IF(AU222="","",AU222/IF(N(Z222)&gt;0,Z222,RiskPerTrade))</f>
        <v/>
      </c>
      <c r="AW222" s="31">
        <f>IF(AU222="","",AU222/Capital)</f>
        <v/>
      </c>
      <c r="AX222" s="37" t="n"/>
      <c r="AY222" s="37" t="n"/>
      <c r="AZ222" s="37" t="n"/>
      <c r="BA222" s="37" t="n"/>
      <c r="BB222" s="37" t="n"/>
      <c r="BC222" s="37" t="n"/>
      <c r="BD222" s="37" t="n"/>
      <c r="BE222" s="5">
        <f>IF(AU222="","",IF(AU222&gt;0,"Win",IF(AU222&lt;0,"Loss","BE")))</f>
        <v/>
      </c>
      <c r="BF222" s="5">
        <f>IF(O222="","",LOOKUP(O222,List_BucketStart,List_BucketLabel))</f>
        <v/>
      </c>
      <c r="BG222" s="57">
        <f>IF(B222="","",B222-WEEKDAY(B222,3))</f>
        <v/>
      </c>
      <c r="BH222" s="28">
        <f>IF(B222="","",COUNTIF($B$6:B222,B222))</f>
        <v/>
      </c>
      <c r="BI222" s="39">
        <f>IF(B222="","",SUMIFS($AU$6:AU222,$B$6:B222,B222)-N(AU222))</f>
        <v/>
      </c>
      <c r="BJ222" s="5">
        <f>IF(OR(B222="",E222=""),"",IF(AND(E222=0,I222="Sell",MAX(N(O222),N(AD222))&gt;ExpiryCutoff),"BREACH","OK"))</f>
        <v/>
      </c>
      <c r="BK222" s="5">
        <f>IF(B222="","",IF(OR(AC222&lt;&gt;"OK",BJ222="BREACH",BH222&gt;MaxTradesDay,BI222&lt;=-DailyLossLimit,OR(AF222="Panic",AF222="Revenge",AF222="Rule break")),"CHECK","OK"))</f>
        <v/>
      </c>
      <c r="BL222" s="39">
        <f>IF(AU222="","",SUM($AU$6:AU222))</f>
        <v/>
      </c>
      <c r="BM222" s="39">
        <f>IF(BL222="","",Capital+BL222)</f>
        <v/>
      </c>
      <c r="BN222" s="39">
        <f>IF(BM222="","",MAX(Capital,MAX($BM$6:BM222)))</f>
        <v/>
      </c>
      <c r="BO222" s="39">
        <f>IF(BM222="","",BN222-BM222)</f>
        <v/>
      </c>
      <c r="BP222" s="58">
        <f>IF(BO222="","",BO222/BN222)</f>
        <v/>
      </c>
      <c r="BQ222" s="28">
        <f>IF(AU222="","",IF(AU222&lt;0,N(BQ221)+1,0))</f>
        <v/>
      </c>
    </row>
    <row r="223">
      <c r="A223" s="28">
        <f>IF(B223="","",COUNT($B$6:B223))</f>
        <v/>
      </c>
      <c r="B223" s="27" t="n"/>
      <c r="C223" s="5">
        <f>IF(B223="","",TEXT(B223,"ddd"))</f>
        <v/>
      </c>
      <c r="D223" s="27" t="n"/>
      <c r="E223" s="28">
        <f>IF(OR(B223="",D223=""),"",MAX(0,NETWORKDAYS(B223,D223)-1))</f>
        <v/>
      </c>
      <c r="F223" s="37" t="n"/>
      <c r="G223" s="36" t="n"/>
      <c r="H223" s="37" t="n"/>
      <c r="I223" s="37" t="n"/>
      <c r="J223" s="37" t="n"/>
      <c r="K223" s="37" t="n"/>
      <c r="L223" s="36" t="n"/>
      <c r="M223" s="36" t="n"/>
      <c r="N223" s="33">
        <f>IF(M223="","",M223*LotSize)</f>
        <v/>
      </c>
      <c r="O223" s="51" t="n"/>
      <c r="P223" s="32" t="n"/>
      <c r="Q223" s="29" t="n"/>
      <c r="R223" s="30">
        <f>IF(OR(G223="",Q223="",H223=""),"",IF(H223="CE",G223-Q223,Q223-G223))</f>
        <v/>
      </c>
      <c r="S223" s="31">
        <f>IF(R223="","",R223/Q223)</f>
        <v/>
      </c>
      <c r="T223" s="38" t="n"/>
      <c r="U223" s="32" t="n"/>
      <c r="V223" s="52" t="n"/>
      <c r="W223" s="37" t="n"/>
      <c r="X223" s="32" t="n"/>
      <c r="Y223" s="32" t="n"/>
      <c r="Z223" s="39">
        <f>IF(OR(X223="",P223="",N223=""),"",ABS(X223-P223)*N223)</f>
        <v/>
      </c>
      <c r="AA223" s="53">
        <f>IF(OR(Z223="",Y223=""),"",IF(Z223=0,"",ABS(P223-Y223)*N223/Z223))</f>
        <v/>
      </c>
      <c r="AB223" s="54">
        <f>IF(Z223="","",Z223/Capital)</f>
        <v/>
      </c>
      <c r="AC223" s="5">
        <f>IF(B223="","",IF(X223="","NO SL",IF(OR(N(M223)&gt;MaxLots,N(AB223)&gt;RiskPct),"OVERSIZED","OK")))</f>
        <v/>
      </c>
      <c r="AD223" s="51" t="n"/>
      <c r="AE223" s="32" t="n"/>
      <c r="AF223" s="37" t="n"/>
      <c r="AG223" s="32" t="n"/>
      <c r="AH223" s="32" t="n"/>
      <c r="AI223" s="39">
        <f>IF(OR(AG223="",P223="",N223=""),"",ABS(AG223-P223)*N223)</f>
        <v/>
      </c>
      <c r="AJ223" s="39">
        <f>IF(OR(AH223="",P223="",N223=""),"",ABS(P223-AH223)*N223)</f>
        <v/>
      </c>
      <c r="AK223" s="39">
        <f>IF(OR(AE223="",P223="",N223=""),"",IF(I223="Buy",AE223-P223,P223-AE223)*N223)</f>
        <v/>
      </c>
      <c r="AL223" s="39">
        <f>IF(OR(AJ223="",AK223=""),"",MAX(0,AJ223-AK223))</f>
        <v/>
      </c>
      <c r="AM223" s="39">
        <f>IF(AK223="","",(P223+AE223)*N223)</f>
        <v/>
      </c>
      <c r="AN223" s="55">
        <f>IF(AK223="","",BrokeragePerOrder*2*MAX(1,N(L223)))</f>
        <v/>
      </c>
      <c r="AO223" s="55">
        <f>IF(AK223="","",STTRate*IF(I223="Buy",AE223,P223)*N223)</f>
        <v/>
      </c>
      <c r="AP223" s="55">
        <f>IF(AK223="","",ExchRate*AM223)</f>
        <v/>
      </c>
      <c r="AQ223" s="55">
        <f>IF(AK223="","",SEBIRate*AM223)</f>
        <v/>
      </c>
      <c r="AR223" s="55">
        <f>IF(AK223="","",StampRate*IF(I223="Buy",P223,AE223)*N223)</f>
        <v/>
      </c>
      <c r="AS223" s="55">
        <f>IF(AK223="","",GSTRate*(AN223+AP223+AQ223))</f>
        <v/>
      </c>
      <c r="AT223" s="55">
        <f>IF(AK223="","",AN223+AO223+AP223+AQ223+AR223+AS223)</f>
        <v/>
      </c>
      <c r="AU223" s="39">
        <f>IF(AK223="","",AK223-AT223)</f>
        <v/>
      </c>
      <c r="AV223" s="56">
        <f>IF(AU223="","",AU223/IF(N(Z223)&gt;0,Z223,RiskPerTrade))</f>
        <v/>
      </c>
      <c r="AW223" s="31">
        <f>IF(AU223="","",AU223/Capital)</f>
        <v/>
      </c>
      <c r="AX223" s="37" t="n"/>
      <c r="AY223" s="37" t="n"/>
      <c r="AZ223" s="37" t="n"/>
      <c r="BA223" s="37" t="n"/>
      <c r="BB223" s="37" t="n"/>
      <c r="BC223" s="37" t="n"/>
      <c r="BD223" s="37" t="n"/>
      <c r="BE223" s="5">
        <f>IF(AU223="","",IF(AU223&gt;0,"Win",IF(AU223&lt;0,"Loss","BE")))</f>
        <v/>
      </c>
      <c r="BF223" s="5">
        <f>IF(O223="","",LOOKUP(O223,List_BucketStart,List_BucketLabel))</f>
        <v/>
      </c>
      <c r="BG223" s="57">
        <f>IF(B223="","",B223-WEEKDAY(B223,3))</f>
        <v/>
      </c>
      <c r="BH223" s="28">
        <f>IF(B223="","",COUNTIF($B$6:B223,B223))</f>
        <v/>
      </c>
      <c r="BI223" s="39">
        <f>IF(B223="","",SUMIFS($AU$6:AU223,$B$6:B223,B223)-N(AU223))</f>
        <v/>
      </c>
      <c r="BJ223" s="5">
        <f>IF(OR(B223="",E223=""),"",IF(AND(E223=0,I223="Sell",MAX(N(O223),N(AD223))&gt;ExpiryCutoff),"BREACH","OK"))</f>
        <v/>
      </c>
      <c r="BK223" s="5">
        <f>IF(B223="","",IF(OR(AC223&lt;&gt;"OK",BJ223="BREACH",BH223&gt;MaxTradesDay,BI223&lt;=-DailyLossLimit,OR(AF223="Panic",AF223="Revenge",AF223="Rule break")),"CHECK","OK"))</f>
        <v/>
      </c>
      <c r="BL223" s="39">
        <f>IF(AU223="","",SUM($AU$6:AU223))</f>
        <v/>
      </c>
      <c r="BM223" s="39">
        <f>IF(BL223="","",Capital+BL223)</f>
        <v/>
      </c>
      <c r="BN223" s="39">
        <f>IF(BM223="","",MAX(Capital,MAX($BM$6:BM223)))</f>
        <v/>
      </c>
      <c r="BO223" s="39">
        <f>IF(BM223="","",BN223-BM223)</f>
        <v/>
      </c>
      <c r="BP223" s="58">
        <f>IF(BO223="","",BO223/BN223)</f>
        <v/>
      </c>
      <c r="BQ223" s="28">
        <f>IF(AU223="","",IF(AU223&lt;0,N(BQ222)+1,0))</f>
        <v/>
      </c>
    </row>
    <row r="224">
      <c r="A224" s="28">
        <f>IF(B224="","",COUNT($B$6:B224))</f>
        <v/>
      </c>
      <c r="B224" s="27" t="n"/>
      <c r="C224" s="5">
        <f>IF(B224="","",TEXT(B224,"ddd"))</f>
        <v/>
      </c>
      <c r="D224" s="27" t="n"/>
      <c r="E224" s="28">
        <f>IF(OR(B224="",D224=""),"",MAX(0,NETWORKDAYS(B224,D224)-1))</f>
        <v/>
      </c>
      <c r="F224" s="37" t="n"/>
      <c r="G224" s="36" t="n"/>
      <c r="H224" s="37" t="n"/>
      <c r="I224" s="37" t="n"/>
      <c r="J224" s="37" t="n"/>
      <c r="K224" s="37" t="n"/>
      <c r="L224" s="36" t="n"/>
      <c r="M224" s="36" t="n"/>
      <c r="N224" s="33">
        <f>IF(M224="","",M224*LotSize)</f>
        <v/>
      </c>
      <c r="O224" s="51" t="n"/>
      <c r="P224" s="32" t="n"/>
      <c r="Q224" s="29" t="n"/>
      <c r="R224" s="30">
        <f>IF(OR(G224="",Q224="",H224=""),"",IF(H224="CE",G224-Q224,Q224-G224))</f>
        <v/>
      </c>
      <c r="S224" s="31">
        <f>IF(R224="","",R224/Q224)</f>
        <v/>
      </c>
      <c r="T224" s="38" t="n"/>
      <c r="U224" s="32" t="n"/>
      <c r="V224" s="52" t="n"/>
      <c r="W224" s="37" t="n"/>
      <c r="X224" s="32" t="n"/>
      <c r="Y224" s="32" t="n"/>
      <c r="Z224" s="39">
        <f>IF(OR(X224="",P224="",N224=""),"",ABS(X224-P224)*N224)</f>
        <v/>
      </c>
      <c r="AA224" s="53">
        <f>IF(OR(Z224="",Y224=""),"",IF(Z224=0,"",ABS(P224-Y224)*N224/Z224))</f>
        <v/>
      </c>
      <c r="AB224" s="54">
        <f>IF(Z224="","",Z224/Capital)</f>
        <v/>
      </c>
      <c r="AC224" s="5">
        <f>IF(B224="","",IF(X224="","NO SL",IF(OR(N(M224)&gt;MaxLots,N(AB224)&gt;RiskPct),"OVERSIZED","OK")))</f>
        <v/>
      </c>
      <c r="AD224" s="51" t="n"/>
      <c r="AE224" s="32" t="n"/>
      <c r="AF224" s="37" t="n"/>
      <c r="AG224" s="32" t="n"/>
      <c r="AH224" s="32" t="n"/>
      <c r="AI224" s="39">
        <f>IF(OR(AG224="",P224="",N224=""),"",ABS(AG224-P224)*N224)</f>
        <v/>
      </c>
      <c r="AJ224" s="39">
        <f>IF(OR(AH224="",P224="",N224=""),"",ABS(P224-AH224)*N224)</f>
        <v/>
      </c>
      <c r="AK224" s="39">
        <f>IF(OR(AE224="",P224="",N224=""),"",IF(I224="Buy",AE224-P224,P224-AE224)*N224)</f>
        <v/>
      </c>
      <c r="AL224" s="39">
        <f>IF(OR(AJ224="",AK224=""),"",MAX(0,AJ224-AK224))</f>
        <v/>
      </c>
      <c r="AM224" s="39">
        <f>IF(AK224="","",(P224+AE224)*N224)</f>
        <v/>
      </c>
      <c r="AN224" s="55">
        <f>IF(AK224="","",BrokeragePerOrder*2*MAX(1,N(L224)))</f>
        <v/>
      </c>
      <c r="AO224" s="55">
        <f>IF(AK224="","",STTRate*IF(I224="Buy",AE224,P224)*N224)</f>
        <v/>
      </c>
      <c r="AP224" s="55">
        <f>IF(AK224="","",ExchRate*AM224)</f>
        <v/>
      </c>
      <c r="AQ224" s="55">
        <f>IF(AK224="","",SEBIRate*AM224)</f>
        <v/>
      </c>
      <c r="AR224" s="55">
        <f>IF(AK224="","",StampRate*IF(I224="Buy",P224,AE224)*N224)</f>
        <v/>
      </c>
      <c r="AS224" s="55">
        <f>IF(AK224="","",GSTRate*(AN224+AP224+AQ224))</f>
        <v/>
      </c>
      <c r="AT224" s="55">
        <f>IF(AK224="","",AN224+AO224+AP224+AQ224+AR224+AS224)</f>
        <v/>
      </c>
      <c r="AU224" s="39">
        <f>IF(AK224="","",AK224-AT224)</f>
        <v/>
      </c>
      <c r="AV224" s="56">
        <f>IF(AU224="","",AU224/IF(N(Z224)&gt;0,Z224,RiskPerTrade))</f>
        <v/>
      </c>
      <c r="AW224" s="31">
        <f>IF(AU224="","",AU224/Capital)</f>
        <v/>
      </c>
      <c r="AX224" s="37" t="n"/>
      <c r="AY224" s="37" t="n"/>
      <c r="AZ224" s="37" t="n"/>
      <c r="BA224" s="37" t="n"/>
      <c r="BB224" s="37" t="n"/>
      <c r="BC224" s="37" t="n"/>
      <c r="BD224" s="37" t="n"/>
      <c r="BE224" s="5">
        <f>IF(AU224="","",IF(AU224&gt;0,"Win",IF(AU224&lt;0,"Loss","BE")))</f>
        <v/>
      </c>
      <c r="BF224" s="5">
        <f>IF(O224="","",LOOKUP(O224,List_BucketStart,List_BucketLabel))</f>
        <v/>
      </c>
      <c r="BG224" s="57">
        <f>IF(B224="","",B224-WEEKDAY(B224,3))</f>
        <v/>
      </c>
      <c r="BH224" s="28">
        <f>IF(B224="","",COUNTIF($B$6:B224,B224))</f>
        <v/>
      </c>
      <c r="BI224" s="39">
        <f>IF(B224="","",SUMIFS($AU$6:AU224,$B$6:B224,B224)-N(AU224))</f>
        <v/>
      </c>
      <c r="BJ224" s="5">
        <f>IF(OR(B224="",E224=""),"",IF(AND(E224=0,I224="Sell",MAX(N(O224),N(AD224))&gt;ExpiryCutoff),"BREACH","OK"))</f>
        <v/>
      </c>
      <c r="BK224" s="5">
        <f>IF(B224="","",IF(OR(AC224&lt;&gt;"OK",BJ224="BREACH",BH224&gt;MaxTradesDay,BI224&lt;=-DailyLossLimit,OR(AF224="Panic",AF224="Revenge",AF224="Rule break")),"CHECK","OK"))</f>
        <v/>
      </c>
      <c r="BL224" s="39">
        <f>IF(AU224="","",SUM($AU$6:AU224))</f>
        <v/>
      </c>
      <c r="BM224" s="39">
        <f>IF(BL224="","",Capital+BL224)</f>
        <v/>
      </c>
      <c r="BN224" s="39">
        <f>IF(BM224="","",MAX(Capital,MAX($BM$6:BM224)))</f>
        <v/>
      </c>
      <c r="BO224" s="39">
        <f>IF(BM224="","",BN224-BM224)</f>
        <v/>
      </c>
      <c r="BP224" s="58">
        <f>IF(BO224="","",BO224/BN224)</f>
        <v/>
      </c>
      <c r="BQ224" s="28">
        <f>IF(AU224="","",IF(AU224&lt;0,N(BQ223)+1,0))</f>
        <v/>
      </c>
    </row>
    <row r="225">
      <c r="A225" s="28">
        <f>IF(B225="","",COUNT($B$6:B225))</f>
        <v/>
      </c>
      <c r="B225" s="27" t="n"/>
      <c r="C225" s="5">
        <f>IF(B225="","",TEXT(B225,"ddd"))</f>
        <v/>
      </c>
      <c r="D225" s="27" t="n"/>
      <c r="E225" s="28">
        <f>IF(OR(B225="",D225=""),"",MAX(0,NETWORKDAYS(B225,D225)-1))</f>
        <v/>
      </c>
      <c r="F225" s="37" t="n"/>
      <c r="G225" s="36" t="n"/>
      <c r="H225" s="37" t="n"/>
      <c r="I225" s="37" t="n"/>
      <c r="J225" s="37" t="n"/>
      <c r="K225" s="37" t="n"/>
      <c r="L225" s="36" t="n"/>
      <c r="M225" s="36" t="n"/>
      <c r="N225" s="33">
        <f>IF(M225="","",M225*LotSize)</f>
        <v/>
      </c>
      <c r="O225" s="51" t="n"/>
      <c r="P225" s="32" t="n"/>
      <c r="Q225" s="29" t="n"/>
      <c r="R225" s="30">
        <f>IF(OR(G225="",Q225="",H225=""),"",IF(H225="CE",G225-Q225,Q225-G225))</f>
        <v/>
      </c>
      <c r="S225" s="31">
        <f>IF(R225="","",R225/Q225)</f>
        <v/>
      </c>
      <c r="T225" s="38" t="n"/>
      <c r="U225" s="32" t="n"/>
      <c r="V225" s="52" t="n"/>
      <c r="W225" s="37" t="n"/>
      <c r="X225" s="32" t="n"/>
      <c r="Y225" s="32" t="n"/>
      <c r="Z225" s="39">
        <f>IF(OR(X225="",P225="",N225=""),"",ABS(X225-P225)*N225)</f>
        <v/>
      </c>
      <c r="AA225" s="53">
        <f>IF(OR(Z225="",Y225=""),"",IF(Z225=0,"",ABS(P225-Y225)*N225/Z225))</f>
        <v/>
      </c>
      <c r="AB225" s="54">
        <f>IF(Z225="","",Z225/Capital)</f>
        <v/>
      </c>
      <c r="AC225" s="5">
        <f>IF(B225="","",IF(X225="","NO SL",IF(OR(N(M225)&gt;MaxLots,N(AB225)&gt;RiskPct),"OVERSIZED","OK")))</f>
        <v/>
      </c>
      <c r="AD225" s="51" t="n"/>
      <c r="AE225" s="32" t="n"/>
      <c r="AF225" s="37" t="n"/>
      <c r="AG225" s="32" t="n"/>
      <c r="AH225" s="32" t="n"/>
      <c r="AI225" s="39">
        <f>IF(OR(AG225="",P225="",N225=""),"",ABS(AG225-P225)*N225)</f>
        <v/>
      </c>
      <c r="AJ225" s="39">
        <f>IF(OR(AH225="",P225="",N225=""),"",ABS(P225-AH225)*N225)</f>
        <v/>
      </c>
      <c r="AK225" s="39">
        <f>IF(OR(AE225="",P225="",N225=""),"",IF(I225="Buy",AE225-P225,P225-AE225)*N225)</f>
        <v/>
      </c>
      <c r="AL225" s="39">
        <f>IF(OR(AJ225="",AK225=""),"",MAX(0,AJ225-AK225))</f>
        <v/>
      </c>
      <c r="AM225" s="39">
        <f>IF(AK225="","",(P225+AE225)*N225)</f>
        <v/>
      </c>
      <c r="AN225" s="55">
        <f>IF(AK225="","",BrokeragePerOrder*2*MAX(1,N(L225)))</f>
        <v/>
      </c>
      <c r="AO225" s="55">
        <f>IF(AK225="","",STTRate*IF(I225="Buy",AE225,P225)*N225)</f>
        <v/>
      </c>
      <c r="AP225" s="55">
        <f>IF(AK225="","",ExchRate*AM225)</f>
        <v/>
      </c>
      <c r="AQ225" s="55">
        <f>IF(AK225="","",SEBIRate*AM225)</f>
        <v/>
      </c>
      <c r="AR225" s="55">
        <f>IF(AK225="","",StampRate*IF(I225="Buy",P225,AE225)*N225)</f>
        <v/>
      </c>
      <c r="AS225" s="55">
        <f>IF(AK225="","",GSTRate*(AN225+AP225+AQ225))</f>
        <v/>
      </c>
      <c r="AT225" s="55">
        <f>IF(AK225="","",AN225+AO225+AP225+AQ225+AR225+AS225)</f>
        <v/>
      </c>
      <c r="AU225" s="39">
        <f>IF(AK225="","",AK225-AT225)</f>
        <v/>
      </c>
      <c r="AV225" s="56">
        <f>IF(AU225="","",AU225/IF(N(Z225)&gt;0,Z225,RiskPerTrade))</f>
        <v/>
      </c>
      <c r="AW225" s="31">
        <f>IF(AU225="","",AU225/Capital)</f>
        <v/>
      </c>
      <c r="AX225" s="37" t="n"/>
      <c r="AY225" s="37" t="n"/>
      <c r="AZ225" s="37" t="n"/>
      <c r="BA225" s="37" t="n"/>
      <c r="BB225" s="37" t="n"/>
      <c r="BC225" s="37" t="n"/>
      <c r="BD225" s="37" t="n"/>
      <c r="BE225" s="5">
        <f>IF(AU225="","",IF(AU225&gt;0,"Win",IF(AU225&lt;0,"Loss","BE")))</f>
        <v/>
      </c>
      <c r="BF225" s="5">
        <f>IF(O225="","",LOOKUP(O225,List_BucketStart,List_BucketLabel))</f>
        <v/>
      </c>
      <c r="BG225" s="57">
        <f>IF(B225="","",B225-WEEKDAY(B225,3))</f>
        <v/>
      </c>
      <c r="BH225" s="28">
        <f>IF(B225="","",COUNTIF($B$6:B225,B225))</f>
        <v/>
      </c>
      <c r="BI225" s="39">
        <f>IF(B225="","",SUMIFS($AU$6:AU225,$B$6:B225,B225)-N(AU225))</f>
        <v/>
      </c>
      <c r="BJ225" s="5">
        <f>IF(OR(B225="",E225=""),"",IF(AND(E225=0,I225="Sell",MAX(N(O225),N(AD225))&gt;ExpiryCutoff),"BREACH","OK"))</f>
        <v/>
      </c>
      <c r="BK225" s="5">
        <f>IF(B225="","",IF(OR(AC225&lt;&gt;"OK",BJ225="BREACH",BH225&gt;MaxTradesDay,BI225&lt;=-DailyLossLimit,OR(AF225="Panic",AF225="Revenge",AF225="Rule break")),"CHECK","OK"))</f>
        <v/>
      </c>
      <c r="BL225" s="39">
        <f>IF(AU225="","",SUM($AU$6:AU225))</f>
        <v/>
      </c>
      <c r="BM225" s="39">
        <f>IF(BL225="","",Capital+BL225)</f>
        <v/>
      </c>
      <c r="BN225" s="39">
        <f>IF(BM225="","",MAX(Capital,MAX($BM$6:BM225)))</f>
        <v/>
      </c>
      <c r="BO225" s="39">
        <f>IF(BM225="","",BN225-BM225)</f>
        <v/>
      </c>
      <c r="BP225" s="58">
        <f>IF(BO225="","",BO225/BN225)</f>
        <v/>
      </c>
      <c r="BQ225" s="28">
        <f>IF(AU225="","",IF(AU225&lt;0,N(BQ224)+1,0))</f>
        <v/>
      </c>
    </row>
    <row r="226">
      <c r="A226" s="28">
        <f>IF(B226="","",COUNT($B$6:B226))</f>
        <v/>
      </c>
      <c r="B226" s="27" t="n"/>
      <c r="C226" s="5">
        <f>IF(B226="","",TEXT(B226,"ddd"))</f>
        <v/>
      </c>
      <c r="D226" s="27" t="n"/>
      <c r="E226" s="28">
        <f>IF(OR(B226="",D226=""),"",MAX(0,NETWORKDAYS(B226,D226)-1))</f>
        <v/>
      </c>
      <c r="F226" s="37" t="n"/>
      <c r="G226" s="36" t="n"/>
      <c r="H226" s="37" t="n"/>
      <c r="I226" s="37" t="n"/>
      <c r="J226" s="37" t="n"/>
      <c r="K226" s="37" t="n"/>
      <c r="L226" s="36" t="n"/>
      <c r="M226" s="36" t="n"/>
      <c r="N226" s="33">
        <f>IF(M226="","",M226*LotSize)</f>
        <v/>
      </c>
      <c r="O226" s="51" t="n"/>
      <c r="P226" s="32" t="n"/>
      <c r="Q226" s="29" t="n"/>
      <c r="R226" s="30">
        <f>IF(OR(G226="",Q226="",H226=""),"",IF(H226="CE",G226-Q226,Q226-G226))</f>
        <v/>
      </c>
      <c r="S226" s="31">
        <f>IF(R226="","",R226/Q226)</f>
        <v/>
      </c>
      <c r="T226" s="38" t="n"/>
      <c r="U226" s="32" t="n"/>
      <c r="V226" s="52" t="n"/>
      <c r="W226" s="37" t="n"/>
      <c r="X226" s="32" t="n"/>
      <c r="Y226" s="32" t="n"/>
      <c r="Z226" s="39">
        <f>IF(OR(X226="",P226="",N226=""),"",ABS(X226-P226)*N226)</f>
        <v/>
      </c>
      <c r="AA226" s="53">
        <f>IF(OR(Z226="",Y226=""),"",IF(Z226=0,"",ABS(P226-Y226)*N226/Z226))</f>
        <v/>
      </c>
      <c r="AB226" s="54">
        <f>IF(Z226="","",Z226/Capital)</f>
        <v/>
      </c>
      <c r="AC226" s="5">
        <f>IF(B226="","",IF(X226="","NO SL",IF(OR(N(M226)&gt;MaxLots,N(AB226)&gt;RiskPct),"OVERSIZED","OK")))</f>
        <v/>
      </c>
      <c r="AD226" s="51" t="n"/>
      <c r="AE226" s="32" t="n"/>
      <c r="AF226" s="37" t="n"/>
      <c r="AG226" s="32" t="n"/>
      <c r="AH226" s="32" t="n"/>
      <c r="AI226" s="39">
        <f>IF(OR(AG226="",P226="",N226=""),"",ABS(AG226-P226)*N226)</f>
        <v/>
      </c>
      <c r="AJ226" s="39">
        <f>IF(OR(AH226="",P226="",N226=""),"",ABS(P226-AH226)*N226)</f>
        <v/>
      </c>
      <c r="AK226" s="39">
        <f>IF(OR(AE226="",P226="",N226=""),"",IF(I226="Buy",AE226-P226,P226-AE226)*N226)</f>
        <v/>
      </c>
      <c r="AL226" s="39">
        <f>IF(OR(AJ226="",AK226=""),"",MAX(0,AJ226-AK226))</f>
        <v/>
      </c>
      <c r="AM226" s="39">
        <f>IF(AK226="","",(P226+AE226)*N226)</f>
        <v/>
      </c>
      <c r="AN226" s="55">
        <f>IF(AK226="","",BrokeragePerOrder*2*MAX(1,N(L226)))</f>
        <v/>
      </c>
      <c r="AO226" s="55">
        <f>IF(AK226="","",STTRate*IF(I226="Buy",AE226,P226)*N226)</f>
        <v/>
      </c>
      <c r="AP226" s="55">
        <f>IF(AK226="","",ExchRate*AM226)</f>
        <v/>
      </c>
      <c r="AQ226" s="55">
        <f>IF(AK226="","",SEBIRate*AM226)</f>
        <v/>
      </c>
      <c r="AR226" s="55">
        <f>IF(AK226="","",StampRate*IF(I226="Buy",P226,AE226)*N226)</f>
        <v/>
      </c>
      <c r="AS226" s="55">
        <f>IF(AK226="","",GSTRate*(AN226+AP226+AQ226))</f>
        <v/>
      </c>
      <c r="AT226" s="55">
        <f>IF(AK226="","",AN226+AO226+AP226+AQ226+AR226+AS226)</f>
        <v/>
      </c>
      <c r="AU226" s="39">
        <f>IF(AK226="","",AK226-AT226)</f>
        <v/>
      </c>
      <c r="AV226" s="56">
        <f>IF(AU226="","",AU226/IF(N(Z226)&gt;0,Z226,RiskPerTrade))</f>
        <v/>
      </c>
      <c r="AW226" s="31">
        <f>IF(AU226="","",AU226/Capital)</f>
        <v/>
      </c>
      <c r="AX226" s="37" t="n"/>
      <c r="AY226" s="37" t="n"/>
      <c r="AZ226" s="37" t="n"/>
      <c r="BA226" s="37" t="n"/>
      <c r="BB226" s="37" t="n"/>
      <c r="BC226" s="37" t="n"/>
      <c r="BD226" s="37" t="n"/>
      <c r="BE226" s="5">
        <f>IF(AU226="","",IF(AU226&gt;0,"Win",IF(AU226&lt;0,"Loss","BE")))</f>
        <v/>
      </c>
      <c r="BF226" s="5">
        <f>IF(O226="","",LOOKUP(O226,List_BucketStart,List_BucketLabel))</f>
        <v/>
      </c>
      <c r="BG226" s="57">
        <f>IF(B226="","",B226-WEEKDAY(B226,3))</f>
        <v/>
      </c>
      <c r="BH226" s="28">
        <f>IF(B226="","",COUNTIF($B$6:B226,B226))</f>
        <v/>
      </c>
      <c r="BI226" s="39">
        <f>IF(B226="","",SUMIFS($AU$6:AU226,$B$6:B226,B226)-N(AU226))</f>
        <v/>
      </c>
      <c r="BJ226" s="5">
        <f>IF(OR(B226="",E226=""),"",IF(AND(E226=0,I226="Sell",MAX(N(O226),N(AD226))&gt;ExpiryCutoff),"BREACH","OK"))</f>
        <v/>
      </c>
      <c r="BK226" s="5">
        <f>IF(B226="","",IF(OR(AC226&lt;&gt;"OK",BJ226="BREACH",BH226&gt;MaxTradesDay,BI226&lt;=-DailyLossLimit,OR(AF226="Panic",AF226="Revenge",AF226="Rule break")),"CHECK","OK"))</f>
        <v/>
      </c>
      <c r="BL226" s="39">
        <f>IF(AU226="","",SUM($AU$6:AU226))</f>
        <v/>
      </c>
      <c r="BM226" s="39">
        <f>IF(BL226="","",Capital+BL226)</f>
        <v/>
      </c>
      <c r="BN226" s="39">
        <f>IF(BM226="","",MAX(Capital,MAX($BM$6:BM226)))</f>
        <v/>
      </c>
      <c r="BO226" s="39">
        <f>IF(BM226="","",BN226-BM226)</f>
        <v/>
      </c>
      <c r="BP226" s="58">
        <f>IF(BO226="","",BO226/BN226)</f>
        <v/>
      </c>
      <c r="BQ226" s="28">
        <f>IF(AU226="","",IF(AU226&lt;0,N(BQ225)+1,0))</f>
        <v/>
      </c>
    </row>
    <row r="227">
      <c r="A227" s="28">
        <f>IF(B227="","",COUNT($B$6:B227))</f>
        <v/>
      </c>
      <c r="B227" s="27" t="n"/>
      <c r="C227" s="5">
        <f>IF(B227="","",TEXT(B227,"ddd"))</f>
        <v/>
      </c>
      <c r="D227" s="27" t="n"/>
      <c r="E227" s="28">
        <f>IF(OR(B227="",D227=""),"",MAX(0,NETWORKDAYS(B227,D227)-1))</f>
        <v/>
      </c>
      <c r="F227" s="37" t="n"/>
      <c r="G227" s="36" t="n"/>
      <c r="H227" s="37" t="n"/>
      <c r="I227" s="37" t="n"/>
      <c r="J227" s="37" t="n"/>
      <c r="K227" s="37" t="n"/>
      <c r="L227" s="36" t="n"/>
      <c r="M227" s="36" t="n"/>
      <c r="N227" s="33">
        <f>IF(M227="","",M227*LotSize)</f>
        <v/>
      </c>
      <c r="O227" s="51" t="n"/>
      <c r="P227" s="32" t="n"/>
      <c r="Q227" s="29" t="n"/>
      <c r="R227" s="30">
        <f>IF(OR(G227="",Q227="",H227=""),"",IF(H227="CE",G227-Q227,Q227-G227))</f>
        <v/>
      </c>
      <c r="S227" s="31">
        <f>IF(R227="","",R227/Q227)</f>
        <v/>
      </c>
      <c r="T227" s="38" t="n"/>
      <c r="U227" s="32" t="n"/>
      <c r="V227" s="52" t="n"/>
      <c r="W227" s="37" t="n"/>
      <c r="X227" s="32" t="n"/>
      <c r="Y227" s="32" t="n"/>
      <c r="Z227" s="39">
        <f>IF(OR(X227="",P227="",N227=""),"",ABS(X227-P227)*N227)</f>
        <v/>
      </c>
      <c r="AA227" s="53">
        <f>IF(OR(Z227="",Y227=""),"",IF(Z227=0,"",ABS(P227-Y227)*N227/Z227))</f>
        <v/>
      </c>
      <c r="AB227" s="54">
        <f>IF(Z227="","",Z227/Capital)</f>
        <v/>
      </c>
      <c r="AC227" s="5">
        <f>IF(B227="","",IF(X227="","NO SL",IF(OR(N(M227)&gt;MaxLots,N(AB227)&gt;RiskPct),"OVERSIZED","OK")))</f>
        <v/>
      </c>
      <c r="AD227" s="51" t="n"/>
      <c r="AE227" s="32" t="n"/>
      <c r="AF227" s="37" t="n"/>
      <c r="AG227" s="32" t="n"/>
      <c r="AH227" s="32" t="n"/>
      <c r="AI227" s="39">
        <f>IF(OR(AG227="",P227="",N227=""),"",ABS(AG227-P227)*N227)</f>
        <v/>
      </c>
      <c r="AJ227" s="39">
        <f>IF(OR(AH227="",P227="",N227=""),"",ABS(P227-AH227)*N227)</f>
        <v/>
      </c>
      <c r="AK227" s="39">
        <f>IF(OR(AE227="",P227="",N227=""),"",IF(I227="Buy",AE227-P227,P227-AE227)*N227)</f>
        <v/>
      </c>
      <c r="AL227" s="39">
        <f>IF(OR(AJ227="",AK227=""),"",MAX(0,AJ227-AK227))</f>
        <v/>
      </c>
      <c r="AM227" s="39">
        <f>IF(AK227="","",(P227+AE227)*N227)</f>
        <v/>
      </c>
      <c r="AN227" s="55">
        <f>IF(AK227="","",BrokeragePerOrder*2*MAX(1,N(L227)))</f>
        <v/>
      </c>
      <c r="AO227" s="55">
        <f>IF(AK227="","",STTRate*IF(I227="Buy",AE227,P227)*N227)</f>
        <v/>
      </c>
      <c r="AP227" s="55">
        <f>IF(AK227="","",ExchRate*AM227)</f>
        <v/>
      </c>
      <c r="AQ227" s="55">
        <f>IF(AK227="","",SEBIRate*AM227)</f>
        <v/>
      </c>
      <c r="AR227" s="55">
        <f>IF(AK227="","",StampRate*IF(I227="Buy",P227,AE227)*N227)</f>
        <v/>
      </c>
      <c r="AS227" s="55">
        <f>IF(AK227="","",GSTRate*(AN227+AP227+AQ227))</f>
        <v/>
      </c>
      <c r="AT227" s="55">
        <f>IF(AK227="","",AN227+AO227+AP227+AQ227+AR227+AS227)</f>
        <v/>
      </c>
      <c r="AU227" s="39">
        <f>IF(AK227="","",AK227-AT227)</f>
        <v/>
      </c>
      <c r="AV227" s="56">
        <f>IF(AU227="","",AU227/IF(N(Z227)&gt;0,Z227,RiskPerTrade))</f>
        <v/>
      </c>
      <c r="AW227" s="31">
        <f>IF(AU227="","",AU227/Capital)</f>
        <v/>
      </c>
      <c r="AX227" s="37" t="n"/>
      <c r="AY227" s="37" t="n"/>
      <c r="AZ227" s="37" t="n"/>
      <c r="BA227" s="37" t="n"/>
      <c r="BB227" s="37" t="n"/>
      <c r="BC227" s="37" t="n"/>
      <c r="BD227" s="37" t="n"/>
      <c r="BE227" s="5">
        <f>IF(AU227="","",IF(AU227&gt;0,"Win",IF(AU227&lt;0,"Loss","BE")))</f>
        <v/>
      </c>
      <c r="BF227" s="5">
        <f>IF(O227="","",LOOKUP(O227,List_BucketStart,List_BucketLabel))</f>
        <v/>
      </c>
      <c r="BG227" s="57">
        <f>IF(B227="","",B227-WEEKDAY(B227,3))</f>
        <v/>
      </c>
      <c r="BH227" s="28">
        <f>IF(B227="","",COUNTIF($B$6:B227,B227))</f>
        <v/>
      </c>
      <c r="BI227" s="39">
        <f>IF(B227="","",SUMIFS($AU$6:AU227,$B$6:B227,B227)-N(AU227))</f>
        <v/>
      </c>
      <c r="BJ227" s="5">
        <f>IF(OR(B227="",E227=""),"",IF(AND(E227=0,I227="Sell",MAX(N(O227),N(AD227))&gt;ExpiryCutoff),"BREACH","OK"))</f>
        <v/>
      </c>
      <c r="BK227" s="5">
        <f>IF(B227="","",IF(OR(AC227&lt;&gt;"OK",BJ227="BREACH",BH227&gt;MaxTradesDay,BI227&lt;=-DailyLossLimit,OR(AF227="Panic",AF227="Revenge",AF227="Rule break")),"CHECK","OK"))</f>
        <v/>
      </c>
      <c r="BL227" s="39">
        <f>IF(AU227="","",SUM($AU$6:AU227))</f>
        <v/>
      </c>
      <c r="BM227" s="39">
        <f>IF(BL227="","",Capital+BL227)</f>
        <v/>
      </c>
      <c r="BN227" s="39">
        <f>IF(BM227="","",MAX(Capital,MAX($BM$6:BM227)))</f>
        <v/>
      </c>
      <c r="BO227" s="39">
        <f>IF(BM227="","",BN227-BM227)</f>
        <v/>
      </c>
      <c r="BP227" s="58">
        <f>IF(BO227="","",BO227/BN227)</f>
        <v/>
      </c>
      <c r="BQ227" s="28">
        <f>IF(AU227="","",IF(AU227&lt;0,N(BQ226)+1,0))</f>
        <v/>
      </c>
    </row>
    <row r="228">
      <c r="A228" s="28">
        <f>IF(B228="","",COUNT($B$6:B228))</f>
        <v/>
      </c>
      <c r="B228" s="27" t="n"/>
      <c r="C228" s="5">
        <f>IF(B228="","",TEXT(B228,"ddd"))</f>
        <v/>
      </c>
      <c r="D228" s="27" t="n"/>
      <c r="E228" s="28">
        <f>IF(OR(B228="",D228=""),"",MAX(0,NETWORKDAYS(B228,D228)-1))</f>
        <v/>
      </c>
      <c r="F228" s="37" t="n"/>
      <c r="G228" s="36" t="n"/>
      <c r="H228" s="37" t="n"/>
      <c r="I228" s="37" t="n"/>
      <c r="J228" s="37" t="n"/>
      <c r="K228" s="37" t="n"/>
      <c r="L228" s="36" t="n"/>
      <c r="M228" s="36" t="n"/>
      <c r="N228" s="33">
        <f>IF(M228="","",M228*LotSize)</f>
        <v/>
      </c>
      <c r="O228" s="51" t="n"/>
      <c r="P228" s="32" t="n"/>
      <c r="Q228" s="29" t="n"/>
      <c r="R228" s="30">
        <f>IF(OR(G228="",Q228="",H228=""),"",IF(H228="CE",G228-Q228,Q228-G228))</f>
        <v/>
      </c>
      <c r="S228" s="31">
        <f>IF(R228="","",R228/Q228)</f>
        <v/>
      </c>
      <c r="T228" s="38" t="n"/>
      <c r="U228" s="32" t="n"/>
      <c r="V228" s="52" t="n"/>
      <c r="W228" s="37" t="n"/>
      <c r="X228" s="32" t="n"/>
      <c r="Y228" s="32" t="n"/>
      <c r="Z228" s="39">
        <f>IF(OR(X228="",P228="",N228=""),"",ABS(X228-P228)*N228)</f>
        <v/>
      </c>
      <c r="AA228" s="53">
        <f>IF(OR(Z228="",Y228=""),"",IF(Z228=0,"",ABS(P228-Y228)*N228/Z228))</f>
        <v/>
      </c>
      <c r="AB228" s="54">
        <f>IF(Z228="","",Z228/Capital)</f>
        <v/>
      </c>
      <c r="AC228" s="5">
        <f>IF(B228="","",IF(X228="","NO SL",IF(OR(N(M228)&gt;MaxLots,N(AB228)&gt;RiskPct),"OVERSIZED","OK")))</f>
        <v/>
      </c>
      <c r="AD228" s="51" t="n"/>
      <c r="AE228" s="32" t="n"/>
      <c r="AF228" s="37" t="n"/>
      <c r="AG228" s="32" t="n"/>
      <c r="AH228" s="32" t="n"/>
      <c r="AI228" s="39">
        <f>IF(OR(AG228="",P228="",N228=""),"",ABS(AG228-P228)*N228)</f>
        <v/>
      </c>
      <c r="AJ228" s="39">
        <f>IF(OR(AH228="",P228="",N228=""),"",ABS(P228-AH228)*N228)</f>
        <v/>
      </c>
      <c r="AK228" s="39">
        <f>IF(OR(AE228="",P228="",N228=""),"",IF(I228="Buy",AE228-P228,P228-AE228)*N228)</f>
        <v/>
      </c>
      <c r="AL228" s="39">
        <f>IF(OR(AJ228="",AK228=""),"",MAX(0,AJ228-AK228))</f>
        <v/>
      </c>
      <c r="AM228" s="39">
        <f>IF(AK228="","",(P228+AE228)*N228)</f>
        <v/>
      </c>
      <c r="AN228" s="55">
        <f>IF(AK228="","",BrokeragePerOrder*2*MAX(1,N(L228)))</f>
        <v/>
      </c>
      <c r="AO228" s="55">
        <f>IF(AK228="","",STTRate*IF(I228="Buy",AE228,P228)*N228)</f>
        <v/>
      </c>
      <c r="AP228" s="55">
        <f>IF(AK228="","",ExchRate*AM228)</f>
        <v/>
      </c>
      <c r="AQ228" s="55">
        <f>IF(AK228="","",SEBIRate*AM228)</f>
        <v/>
      </c>
      <c r="AR228" s="55">
        <f>IF(AK228="","",StampRate*IF(I228="Buy",P228,AE228)*N228)</f>
        <v/>
      </c>
      <c r="AS228" s="55">
        <f>IF(AK228="","",GSTRate*(AN228+AP228+AQ228))</f>
        <v/>
      </c>
      <c r="AT228" s="55">
        <f>IF(AK228="","",AN228+AO228+AP228+AQ228+AR228+AS228)</f>
        <v/>
      </c>
      <c r="AU228" s="39">
        <f>IF(AK228="","",AK228-AT228)</f>
        <v/>
      </c>
      <c r="AV228" s="56">
        <f>IF(AU228="","",AU228/IF(N(Z228)&gt;0,Z228,RiskPerTrade))</f>
        <v/>
      </c>
      <c r="AW228" s="31">
        <f>IF(AU228="","",AU228/Capital)</f>
        <v/>
      </c>
      <c r="AX228" s="37" t="n"/>
      <c r="AY228" s="37" t="n"/>
      <c r="AZ228" s="37" t="n"/>
      <c r="BA228" s="37" t="n"/>
      <c r="BB228" s="37" t="n"/>
      <c r="BC228" s="37" t="n"/>
      <c r="BD228" s="37" t="n"/>
      <c r="BE228" s="5">
        <f>IF(AU228="","",IF(AU228&gt;0,"Win",IF(AU228&lt;0,"Loss","BE")))</f>
        <v/>
      </c>
      <c r="BF228" s="5">
        <f>IF(O228="","",LOOKUP(O228,List_BucketStart,List_BucketLabel))</f>
        <v/>
      </c>
      <c r="BG228" s="57">
        <f>IF(B228="","",B228-WEEKDAY(B228,3))</f>
        <v/>
      </c>
      <c r="BH228" s="28">
        <f>IF(B228="","",COUNTIF($B$6:B228,B228))</f>
        <v/>
      </c>
      <c r="BI228" s="39">
        <f>IF(B228="","",SUMIFS($AU$6:AU228,$B$6:B228,B228)-N(AU228))</f>
        <v/>
      </c>
      <c r="BJ228" s="5">
        <f>IF(OR(B228="",E228=""),"",IF(AND(E228=0,I228="Sell",MAX(N(O228),N(AD228))&gt;ExpiryCutoff),"BREACH","OK"))</f>
        <v/>
      </c>
      <c r="BK228" s="5">
        <f>IF(B228="","",IF(OR(AC228&lt;&gt;"OK",BJ228="BREACH",BH228&gt;MaxTradesDay,BI228&lt;=-DailyLossLimit,OR(AF228="Panic",AF228="Revenge",AF228="Rule break")),"CHECK","OK"))</f>
        <v/>
      </c>
      <c r="BL228" s="39">
        <f>IF(AU228="","",SUM($AU$6:AU228))</f>
        <v/>
      </c>
      <c r="BM228" s="39">
        <f>IF(BL228="","",Capital+BL228)</f>
        <v/>
      </c>
      <c r="BN228" s="39">
        <f>IF(BM228="","",MAX(Capital,MAX($BM$6:BM228)))</f>
        <v/>
      </c>
      <c r="BO228" s="39">
        <f>IF(BM228="","",BN228-BM228)</f>
        <v/>
      </c>
      <c r="BP228" s="58">
        <f>IF(BO228="","",BO228/BN228)</f>
        <v/>
      </c>
      <c r="BQ228" s="28">
        <f>IF(AU228="","",IF(AU228&lt;0,N(BQ227)+1,0))</f>
        <v/>
      </c>
    </row>
    <row r="229">
      <c r="A229" s="28">
        <f>IF(B229="","",COUNT($B$6:B229))</f>
        <v/>
      </c>
      <c r="B229" s="27" t="n"/>
      <c r="C229" s="5">
        <f>IF(B229="","",TEXT(B229,"ddd"))</f>
        <v/>
      </c>
      <c r="D229" s="27" t="n"/>
      <c r="E229" s="28">
        <f>IF(OR(B229="",D229=""),"",MAX(0,NETWORKDAYS(B229,D229)-1))</f>
        <v/>
      </c>
      <c r="F229" s="37" t="n"/>
      <c r="G229" s="36" t="n"/>
      <c r="H229" s="37" t="n"/>
      <c r="I229" s="37" t="n"/>
      <c r="J229" s="37" t="n"/>
      <c r="K229" s="37" t="n"/>
      <c r="L229" s="36" t="n"/>
      <c r="M229" s="36" t="n"/>
      <c r="N229" s="33">
        <f>IF(M229="","",M229*LotSize)</f>
        <v/>
      </c>
      <c r="O229" s="51" t="n"/>
      <c r="P229" s="32" t="n"/>
      <c r="Q229" s="29" t="n"/>
      <c r="R229" s="30">
        <f>IF(OR(G229="",Q229="",H229=""),"",IF(H229="CE",G229-Q229,Q229-G229))</f>
        <v/>
      </c>
      <c r="S229" s="31">
        <f>IF(R229="","",R229/Q229)</f>
        <v/>
      </c>
      <c r="T229" s="38" t="n"/>
      <c r="U229" s="32" t="n"/>
      <c r="V229" s="52" t="n"/>
      <c r="W229" s="37" t="n"/>
      <c r="X229" s="32" t="n"/>
      <c r="Y229" s="32" t="n"/>
      <c r="Z229" s="39">
        <f>IF(OR(X229="",P229="",N229=""),"",ABS(X229-P229)*N229)</f>
        <v/>
      </c>
      <c r="AA229" s="53">
        <f>IF(OR(Z229="",Y229=""),"",IF(Z229=0,"",ABS(P229-Y229)*N229/Z229))</f>
        <v/>
      </c>
      <c r="AB229" s="54">
        <f>IF(Z229="","",Z229/Capital)</f>
        <v/>
      </c>
      <c r="AC229" s="5">
        <f>IF(B229="","",IF(X229="","NO SL",IF(OR(N(M229)&gt;MaxLots,N(AB229)&gt;RiskPct),"OVERSIZED","OK")))</f>
        <v/>
      </c>
      <c r="AD229" s="51" t="n"/>
      <c r="AE229" s="32" t="n"/>
      <c r="AF229" s="37" t="n"/>
      <c r="AG229" s="32" t="n"/>
      <c r="AH229" s="32" t="n"/>
      <c r="AI229" s="39">
        <f>IF(OR(AG229="",P229="",N229=""),"",ABS(AG229-P229)*N229)</f>
        <v/>
      </c>
      <c r="AJ229" s="39">
        <f>IF(OR(AH229="",P229="",N229=""),"",ABS(P229-AH229)*N229)</f>
        <v/>
      </c>
      <c r="AK229" s="39">
        <f>IF(OR(AE229="",P229="",N229=""),"",IF(I229="Buy",AE229-P229,P229-AE229)*N229)</f>
        <v/>
      </c>
      <c r="AL229" s="39">
        <f>IF(OR(AJ229="",AK229=""),"",MAX(0,AJ229-AK229))</f>
        <v/>
      </c>
      <c r="AM229" s="39">
        <f>IF(AK229="","",(P229+AE229)*N229)</f>
        <v/>
      </c>
      <c r="AN229" s="55">
        <f>IF(AK229="","",BrokeragePerOrder*2*MAX(1,N(L229)))</f>
        <v/>
      </c>
      <c r="AO229" s="55">
        <f>IF(AK229="","",STTRate*IF(I229="Buy",AE229,P229)*N229)</f>
        <v/>
      </c>
      <c r="AP229" s="55">
        <f>IF(AK229="","",ExchRate*AM229)</f>
        <v/>
      </c>
      <c r="AQ229" s="55">
        <f>IF(AK229="","",SEBIRate*AM229)</f>
        <v/>
      </c>
      <c r="AR229" s="55">
        <f>IF(AK229="","",StampRate*IF(I229="Buy",P229,AE229)*N229)</f>
        <v/>
      </c>
      <c r="AS229" s="55">
        <f>IF(AK229="","",GSTRate*(AN229+AP229+AQ229))</f>
        <v/>
      </c>
      <c r="AT229" s="55">
        <f>IF(AK229="","",AN229+AO229+AP229+AQ229+AR229+AS229)</f>
        <v/>
      </c>
      <c r="AU229" s="39">
        <f>IF(AK229="","",AK229-AT229)</f>
        <v/>
      </c>
      <c r="AV229" s="56">
        <f>IF(AU229="","",AU229/IF(N(Z229)&gt;0,Z229,RiskPerTrade))</f>
        <v/>
      </c>
      <c r="AW229" s="31">
        <f>IF(AU229="","",AU229/Capital)</f>
        <v/>
      </c>
      <c r="AX229" s="37" t="n"/>
      <c r="AY229" s="37" t="n"/>
      <c r="AZ229" s="37" t="n"/>
      <c r="BA229" s="37" t="n"/>
      <c r="BB229" s="37" t="n"/>
      <c r="BC229" s="37" t="n"/>
      <c r="BD229" s="37" t="n"/>
      <c r="BE229" s="5">
        <f>IF(AU229="","",IF(AU229&gt;0,"Win",IF(AU229&lt;0,"Loss","BE")))</f>
        <v/>
      </c>
      <c r="BF229" s="5">
        <f>IF(O229="","",LOOKUP(O229,List_BucketStart,List_BucketLabel))</f>
        <v/>
      </c>
      <c r="BG229" s="57">
        <f>IF(B229="","",B229-WEEKDAY(B229,3))</f>
        <v/>
      </c>
      <c r="BH229" s="28">
        <f>IF(B229="","",COUNTIF($B$6:B229,B229))</f>
        <v/>
      </c>
      <c r="BI229" s="39">
        <f>IF(B229="","",SUMIFS($AU$6:AU229,$B$6:B229,B229)-N(AU229))</f>
        <v/>
      </c>
      <c r="BJ229" s="5">
        <f>IF(OR(B229="",E229=""),"",IF(AND(E229=0,I229="Sell",MAX(N(O229),N(AD229))&gt;ExpiryCutoff),"BREACH","OK"))</f>
        <v/>
      </c>
      <c r="BK229" s="5">
        <f>IF(B229="","",IF(OR(AC229&lt;&gt;"OK",BJ229="BREACH",BH229&gt;MaxTradesDay,BI229&lt;=-DailyLossLimit,OR(AF229="Panic",AF229="Revenge",AF229="Rule break")),"CHECK","OK"))</f>
        <v/>
      </c>
      <c r="BL229" s="39">
        <f>IF(AU229="","",SUM($AU$6:AU229))</f>
        <v/>
      </c>
      <c r="BM229" s="39">
        <f>IF(BL229="","",Capital+BL229)</f>
        <v/>
      </c>
      <c r="BN229" s="39">
        <f>IF(BM229="","",MAX(Capital,MAX($BM$6:BM229)))</f>
        <v/>
      </c>
      <c r="BO229" s="39">
        <f>IF(BM229="","",BN229-BM229)</f>
        <v/>
      </c>
      <c r="BP229" s="58">
        <f>IF(BO229="","",BO229/BN229)</f>
        <v/>
      </c>
      <c r="BQ229" s="28">
        <f>IF(AU229="","",IF(AU229&lt;0,N(BQ228)+1,0))</f>
        <v/>
      </c>
    </row>
    <row r="230">
      <c r="A230" s="28">
        <f>IF(B230="","",COUNT($B$6:B230))</f>
        <v/>
      </c>
      <c r="B230" s="27" t="n"/>
      <c r="C230" s="5">
        <f>IF(B230="","",TEXT(B230,"ddd"))</f>
        <v/>
      </c>
      <c r="D230" s="27" t="n"/>
      <c r="E230" s="28">
        <f>IF(OR(B230="",D230=""),"",MAX(0,NETWORKDAYS(B230,D230)-1))</f>
        <v/>
      </c>
      <c r="F230" s="37" t="n"/>
      <c r="G230" s="36" t="n"/>
      <c r="H230" s="37" t="n"/>
      <c r="I230" s="37" t="n"/>
      <c r="J230" s="37" t="n"/>
      <c r="K230" s="37" t="n"/>
      <c r="L230" s="36" t="n"/>
      <c r="M230" s="36" t="n"/>
      <c r="N230" s="33">
        <f>IF(M230="","",M230*LotSize)</f>
        <v/>
      </c>
      <c r="O230" s="51" t="n"/>
      <c r="P230" s="32" t="n"/>
      <c r="Q230" s="29" t="n"/>
      <c r="R230" s="30">
        <f>IF(OR(G230="",Q230="",H230=""),"",IF(H230="CE",G230-Q230,Q230-G230))</f>
        <v/>
      </c>
      <c r="S230" s="31">
        <f>IF(R230="","",R230/Q230)</f>
        <v/>
      </c>
      <c r="T230" s="38" t="n"/>
      <c r="U230" s="32" t="n"/>
      <c r="V230" s="52" t="n"/>
      <c r="W230" s="37" t="n"/>
      <c r="X230" s="32" t="n"/>
      <c r="Y230" s="32" t="n"/>
      <c r="Z230" s="39">
        <f>IF(OR(X230="",P230="",N230=""),"",ABS(X230-P230)*N230)</f>
        <v/>
      </c>
      <c r="AA230" s="53">
        <f>IF(OR(Z230="",Y230=""),"",IF(Z230=0,"",ABS(P230-Y230)*N230/Z230))</f>
        <v/>
      </c>
      <c r="AB230" s="54">
        <f>IF(Z230="","",Z230/Capital)</f>
        <v/>
      </c>
      <c r="AC230" s="5">
        <f>IF(B230="","",IF(X230="","NO SL",IF(OR(N(M230)&gt;MaxLots,N(AB230)&gt;RiskPct),"OVERSIZED","OK")))</f>
        <v/>
      </c>
      <c r="AD230" s="51" t="n"/>
      <c r="AE230" s="32" t="n"/>
      <c r="AF230" s="37" t="n"/>
      <c r="AG230" s="32" t="n"/>
      <c r="AH230" s="32" t="n"/>
      <c r="AI230" s="39">
        <f>IF(OR(AG230="",P230="",N230=""),"",ABS(AG230-P230)*N230)</f>
        <v/>
      </c>
      <c r="AJ230" s="39">
        <f>IF(OR(AH230="",P230="",N230=""),"",ABS(P230-AH230)*N230)</f>
        <v/>
      </c>
      <c r="AK230" s="39">
        <f>IF(OR(AE230="",P230="",N230=""),"",IF(I230="Buy",AE230-P230,P230-AE230)*N230)</f>
        <v/>
      </c>
      <c r="AL230" s="39">
        <f>IF(OR(AJ230="",AK230=""),"",MAX(0,AJ230-AK230))</f>
        <v/>
      </c>
      <c r="AM230" s="39">
        <f>IF(AK230="","",(P230+AE230)*N230)</f>
        <v/>
      </c>
      <c r="AN230" s="55">
        <f>IF(AK230="","",BrokeragePerOrder*2*MAX(1,N(L230)))</f>
        <v/>
      </c>
      <c r="AO230" s="55">
        <f>IF(AK230="","",STTRate*IF(I230="Buy",AE230,P230)*N230)</f>
        <v/>
      </c>
      <c r="AP230" s="55">
        <f>IF(AK230="","",ExchRate*AM230)</f>
        <v/>
      </c>
      <c r="AQ230" s="55">
        <f>IF(AK230="","",SEBIRate*AM230)</f>
        <v/>
      </c>
      <c r="AR230" s="55">
        <f>IF(AK230="","",StampRate*IF(I230="Buy",P230,AE230)*N230)</f>
        <v/>
      </c>
      <c r="AS230" s="55">
        <f>IF(AK230="","",GSTRate*(AN230+AP230+AQ230))</f>
        <v/>
      </c>
      <c r="AT230" s="55">
        <f>IF(AK230="","",AN230+AO230+AP230+AQ230+AR230+AS230)</f>
        <v/>
      </c>
      <c r="AU230" s="39">
        <f>IF(AK230="","",AK230-AT230)</f>
        <v/>
      </c>
      <c r="AV230" s="56">
        <f>IF(AU230="","",AU230/IF(N(Z230)&gt;0,Z230,RiskPerTrade))</f>
        <v/>
      </c>
      <c r="AW230" s="31">
        <f>IF(AU230="","",AU230/Capital)</f>
        <v/>
      </c>
      <c r="AX230" s="37" t="n"/>
      <c r="AY230" s="37" t="n"/>
      <c r="AZ230" s="37" t="n"/>
      <c r="BA230" s="37" t="n"/>
      <c r="BB230" s="37" t="n"/>
      <c r="BC230" s="37" t="n"/>
      <c r="BD230" s="37" t="n"/>
      <c r="BE230" s="5">
        <f>IF(AU230="","",IF(AU230&gt;0,"Win",IF(AU230&lt;0,"Loss","BE")))</f>
        <v/>
      </c>
      <c r="BF230" s="5">
        <f>IF(O230="","",LOOKUP(O230,List_BucketStart,List_BucketLabel))</f>
        <v/>
      </c>
      <c r="BG230" s="57">
        <f>IF(B230="","",B230-WEEKDAY(B230,3))</f>
        <v/>
      </c>
      <c r="BH230" s="28">
        <f>IF(B230="","",COUNTIF($B$6:B230,B230))</f>
        <v/>
      </c>
      <c r="BI230" s="39">
        <f>IF(B230="","",SUMIFS($AU$6:AU230,$B$6:B230,B230)-N(AU230))</f>
        <v/>
      </c>
      <c r="BJ230" s="5">
        <f>IF(OR(B230="",E230=""),"",IF(AND(E230=0,I230="Sell",MAX(N(O230),N(AD230))&gt;ExpiryCutoff),"BREACH","OK"))</f>
        <v/>
      </c>
      <c r="BK230" s="5">
        <f>IF(B230="","",IF(OR(AC230&lt;&gt;"OK",BJ230="BREACH",BH230&gt;MaxTradesDay,BI230&lt;=-DailyLossLimit,OR(AF230="Panic",AF230="Revenge",AF230="Rule break")),"CHECK","OK"))</f>
        <v/>
      </c>
      <c r="BL230" s="39">
        <f>IF(AU230="","",SUM($AU$6:AU230))</f>
        <v/>
      </c>
      <c r="BM230" s="39">
        <f>IF(BL230="","",Capital+BL230)</f>
        <v/>
      </c>
      <c r="BN230" s="39">
        <f>IF(BM230="","",MAX(Capital,MAX($BM$6:BM230)))</f>
        <v/>
      </c>
      <c r="BO230" s="39">
        <f>IF(BM230="","",BN230-BM230)</f>
        <v/>
      </c>
      <c r="BP230" s="58">
        <f>IF(BO230="","",BO230/BN230)</f>
        <v/>
      </c>
      <c r="BQ230" s="28">
        <f>IF(AU230="","",IF(AU230&lt;0,N(BQ229)+1,0))</f>
        <v/>
      </c>
    </row>
    <row r="231">
      <c r="A231" s="28">
        <f>IF(B231="","",COUNT($B$6:B231))</f>
        <v/>
      </c>
      <c r="B231" s="27" t="n"/>
      <c r="C231" s="5">
        <f>IF(B231="","",TEXT(B231,"ddd"))</f>
        <v/>
      </c>
      <c r="D231" s="27" t="n"/>
      <c r="E231" s="28">
        <f>IF(OR(B231="",D231=""),"",MAX(0,NETWORKDAYS(B231,D231)-1))</f>
        <v/>
      </c>
      <c r="F231" s="37" t="n"/>
      <c r="G231" s="36" t="n"/>
      <c r="H231" s="37" t="n"/>
      <c r="I231" s="37" t="n"/>
      <c r="J231" s="37" t="n"/>
      <c r="K231" s="37" t="n"/>
      <c r="L231" s="36" t="n"/>
      <c r="M231" s="36" t="n"/>
      <c r="N231" s="33">
        <f>IF(M231="","",M231*LotSize)</f>
        <v/>
      </c>
      <c r="O231" s="51" t="n"/>
      <c r="P231" s="32" t="n"/>
      <c r="Q231" s="29" t="n"/>
      <c r="R231" s="30">
        <f>IF(OR(G231="",Q231="",H231=""),"",IF(H231="CE",G231-Q231,Q231-G231))</f>
        <v/>
      </c>
      <c r="S231" s="31">
        <f>IF(R231="","",R231/Q231)</f>
        <v/>
      </c>
      <c r="T231" s="38" t="n"/>
      <c r="U231" s="32" t="n"/>
      <c r="V231" s="52" t="n"/>
      <c r="W231" s="37" t="n"/>
      <c r="X231" s="32" t="n"/>
      <c r="Y231" s="32" t="n"/>
      <c r="Z231" s="39">
        <f>IF(OR(X231="",P231="",N231=""),"",ABS(X231-P231)*N231)</f>
        <v/>
      </c>
      <c r="AA231" s="53">
        <f>IF(OR(Z231="",Y231=""),"",IF(Z231=0,"",ABS(P231-Y231)*N231/Z231))</f>
        <v/>
      </c>
      <c r="AB231" s="54">
        <f>IF(Z231="","",Z231/Capital)</f>
        <v/>
      </c>
      <c r="AC231" s="5">
        <f>IF(B231="","",IF(X231="","NO SL",IF(OR(N(M231)&gt;MaxLots,N(AB231)&gt;RiskPct),"OVERSIZED","OK")))</f>
        <v/>
      </c>
      <c r="AD231" s="51" t="n"/>
      <c r="AE231" s="32" t="n"/>
      <c r="AF231" s="37" t="n"/>
      <c r="AG231" s="32" t="n"/>
      <c r="AH231" s="32" t="n"/>
      <c r="AI231" s="39">
        <f>IF(OR(AG231="",P231="",N231=""),"",ABS(AG231-P231)*N231)</f>
        <v/>
      </c>
      <c r="AJ231" s="39">
        <f>IF(OR(AH231="",P231="",N231=""),"",ABS(P231-AH231)*N231)</f>
        <v/>
      </c>
      <c r="AK231" s="39">
        <f>IF(OR(AE231="",P231="",N231=""),"",IF(I231="Buy",AE231-P231,P231-AE231)*N231)</f>
        <v/>
      </c>
      <c r="AL231" s="39">
        <f>IF(OR(AJ231="",AK231=""),"",MAX(0,AJ231-AK231))</f>
        <v/>
      </c>
      <c r="AM231" s="39">
        <f>IF(AK231="","",(P231+AE231)*N231)</f>
        <v/>
      </c>
      <c r="AN231" s="55">
        <f>IF(AK231="","",BrokeragePerOrder*2*MAX(1,N(L231)))</f>
        <v/>
      </c>
      <c r="AO231" s="55">
        <f>IF(AK231="","",STTRate*IF(I231="Buy",AE231,P231)*N231)</f>
        <v/>
      </c>
      <c r="AP231" s="55">
        <f>IF(AK231="","",ExchRate*AM231)</f>
        <v/>
      </c>
      <c r="AQ231" s="55">
        <f>IF(AK231="","",SEBIRate*AM231)</f>
        <v/>
      </c>
      <c r="AR231" s="55">
        <f>IF(AK231="","",StampRate*IF(I231="Buy",P231,AE231)*N231)</f>
        <v/>
      </c>
      <c r="AS231" s="55">
        <f>IF(AK231="","",GSTRate*(AN231+AP231+AQ231))</f>
        <v/>
      </c>
      <c r="AT231" s="55">
        <f>IF(AK231="","",AN231+AO231+AP231+AQ231+AR231+AS231)</f>
        <v/>
      </c>
      <c r="AU231" s="39">
        <f>IF(AK231="","",AK231-AT231)</f>
        <v/>
      </c>
      <c r="AV231" s="56">
        <f>IF(AU231="","",AU231/IF(N(Z231)&gt;0,Z231,RiskPerTrade))</f>
        <v/>
      </c>
      <c r="AW231" s="31">
        <f>IF(AU231="","",AU231/Capital)</f>
        <v/>
      </c>
      <c r="AX231" s="37" t="n"/>
      <c r="AY231" s="37" t="n"/>
      <c r="AZ231" s="37" t="n"/>
      <c r="BA231" s="37" t="n"/>
      <c r="BB231" s="37" t="n"/>
      <c r="BC231" s="37" t="n"/>
      <c r="BD231" s="37" t="n"/>
      <c r="BE231" s="5">
        <f>IF(AU231="","",IF(AU231&gt;0,"Win",IF(AU231&lt;0,"Loss","BE")))</f>
        <v/>
      </c>
      <c r="BF231" s="5">
        <f>IF(O231="","",LOOKUP(O231,List_BucketStart,List_BucketLabel))</f>
        <v/>
      </c>
      <c r="BG231" s="57">
        <f>IF(B231="","",B231-WEEKDAY(B231,3))</f>
        <v/>
      </c>
      <c r="BH231" s="28">
        <f>IF(B231="","",COUNTIF($B$6:B231,B231))</f>
        <v/>
      </c>
      <c r="BI231" s="39">
        <f>IF(B231="","",SUMIFS($AU$6:AU231,$B$6:B231,B231)-N(AU231))</f>
        <v/>
      </c>
      <c r="BJ231" s="5">
        <f>IF(OR(B231="",E231=""),"",IF(AND(E231=0,I231="Sell",MAX(N(O231),N(AD231))&gt;ExpiryCutoff),"BREACH","OK"))</f>
        <v/>
      </c>
      <c r="BK231" s="5">
        <f>IF(B231="","",IF(OR(AC231&lt;&gt;"OK",BJ231="BREACH",BH231&gt;MaxTradesDay,BI231&lt;=-DailyLossLimit,OR(AF231="Panic",AF231="Revenge",AF231="Rule break")),"CHECK","OK"))</f>
        <v/>
      </c>
      <c r="BL231" s="39">
        <f>IF(AU231="","",SUM($AU$6:AU231))</f>
        <v/>
      </c>
      <c r="BM231" s="39">
        <f>IF(BL231="","",Capital+BL231)</f>
        <v/>
      </c>
      <c r="BN231" s="39">
        <f>IF(BM231="","",MAX(Capital,MAX($BM$6:BM231)))</f>
        <v/>
      </c>
      <c r="BO231" s="39">
        <f>IF(BM231="","",BN231-BM231)</f>
        <v/>
      </c>
      <c r="BP231" s="58">
        <f>IF(BO231="","",BO231/BN231)</f>
        <v/>
      </c>
      <c r="BQ231" s="28">
        <f>IF(AU231="","",IF(AU231&lt;0,N(BQ230)+1,0))</f>
        <v/>
      </c>
    </row>
    <row r="232">
      <c r="A232" s="28">
        <f>IF(B232="","",COUNT($B$6:B232))</f>
        <v/>
      </c>
      <c r="B232" s="27" t="n"/>
      <c r="C232" s="5">
        <f>IF(B232="","",TEXT(B232,"ddd"))</f>
        <v/>
      </c>
      <c r="D232" s="27" t="n"/>
      <c r="E232" s="28">
        <f>IF(OR(B232="",D232=""),"",MAX(0,NETWORKDAYS(B232,D232)-1))</f>
        <v/>
      </c>
      <c r="F232" s="37" t="n"/>
      <c r="G232" s="36" t="n"/>
      <c r="H232" s="37" t="n"/>
      <c r="I232" s="37" t="n"/>
      <c r="J232" s="37" t="n"/>
      <c r="K232" s="37" t="n"/>
      <c r="L232" s="36" t="n"/>
      <c r="M232" s="36" t="n"/>
      <c r="N232" s="33">
        <f>IF(M232="","",M232*LotSize)</f>
        <v/>
      </c>
      <c r="O232" s="51" t="n"/>
      <c r="P232" s="32" t="n"/>
      <c r="Q232" s="29" t="n"/>
      <c r="R232" s="30">
        <f>IF(OR(G232="",Q232="",H232=""),"",IF(H232="CE",G232-Q232,Q232-G232))</f>
        <v/>
      </c>
      <c r="S232" s="31">
        <f>IF(R232="","",R232/Q232)</f>
        <v/>
      </c>
      <c r="T232" s="38" t="n"/>
      <c r="U232" s="32" t="n"/>
      <c r="V232" s="52" t="n"/>
      <c r="W232" s="37" t="n"/>
      <c r="X232" s="32" t="n"/>
      <c r="Y232" s="32" t="n"/>
      <c r="Z232" s="39">
        <f>IF(OR(X232="",P232="",N232=""),"",ABS(X232-P232)*N232)</f>
        <v/>
      </c>
      <c r="AA232" s="53">
        <f>IF(OR(Z232="",Y232=""),"",IF(Z232=0,"",ABS(P232-Y232)*N232/Z232))</f>
        <v/>
      </c>
      <c r="AB232" s="54">
        <f>IF(Z232="","",Z232/Capital)</f>
        <v/>
      </c>
      <c r="AC232" s="5">
        <f>IF(B232="","",IF(X232="","NO SL",IF(OR(N(M232)&gt;MaxLots,N(AB232)&gt;RiskPct),"OVERSIZED","OK")))</f>
        <v/>
      </c>
      <c r="AD232" s="51" t="n"/>
      <c r="AE232" s="32" t="n"/>
      <c r="AF232" s="37" t="n"/>
      <c r="AG232" s="32" t="n"/>
      <c r="AH232" s="32" t="n"/>
      <c r="AI232" s="39">
        <f>IF(OR(AG232="",P232="",N232=""),"",ABS(AG232-P232)*N232)</f>
        <v/>
      </c>
      <c r="AJ232" s="39">
        <f>IF(OR(AH232="",P232="",N232=""),"",ABS(P232-AH232)*N232)</f>
        <v/>
      </c>
      <c r="AK232" s="39">
        <f>IF(OR(AE232="",P232="",N232=""),"",IF(I232="Buy",AE232-P232,P232-AE232)*N232)</f>
        <v/>
      </c>
      <c r="AL232" s="39">
        <f>IF(OR(AJ232="",AK232=""),"",MAX(0,AJ232-AK232))</f>
        <v/>
      </c>
      <c r="AM232" s="39">
        <f>IF(AK232="","",(P232+AE232)*N232)</f>
        <v/>
      </c>
      <c r="AN232" s="55">
        <f>IF(AK232="","",BrokeragePerOrder*2*MAX(1,N(L232)))</f>
        <v/>
      </c>
      <c r="AO232" s="55">
        <f>IF(AK232="","",STTRate*IF(I232="Buy",AE232,P232)*N232)</f>
        <v/>
      </c>
      <c r="AP232" s="55">
        <f>IF(AK232="","",ExchRate*AM232)</f>
        <v/>
      </c>
      <c r="AQ232" s="55">
        <f>IF(AK232="","",SEBIRate*AM232)</f>
        <v/>
      </c>
      <c r="AR232" s="55">
        <f>IF(AK232="","",StampRate*IF(I232="Buy",P232,AE232)*N232)</f>
        <v/>
      </c>
      <c r="AS232" s="55">
        <f>IF(AK232="","",GSTRate*(AN232+AP232+AQ232))</f>
        <v/>
      </c>
      <c r="AT232" s="55">
        <f>IF(AK232="","",AN232+AO232+AP232+AQ232+AR232+AS232)</f>
        <v/>
      </c>
      <c r="AU232" s="39">
        <f>IF(AK232="","",AK232-AT232)</f>
        <v/>
      </c>
      <c r="AV232" s="56">
        <f>IF(AU232="","",AU232/IF(N(Z232)&gt;0,Z232,RiskPerTrade))</f>
        <v/>
      </c>
      <c r="AW232" s="31">
        <f>IF(AU232="","",AU232/Capital)</f>
        <v/>
      </c>
      <c r="AX232" s="37" t="n"/>
      <c r="AY232" s="37" t="n"/>
      <c r="AZ232" s="37" t="n"/>
      <c r="BA232" s="37" t="n"/>
      <c r="BB232" s="37" t="n"/>
      <c r="BC232" s="37" t="n"/>
      <c r="BD232" s="37" t="n"/>
      <c r="BE232" s="5">
        <f>IF(AU232="","",IF(AU232&gt;0,"Win",IF(AU232&lt;0,"Loss","BE")))</f>
        <v/>
      </c>
      <c r="BF232" s="5">
        <f>IF(O232="","",LOOKUP(O232,List_BucketStart,List_BucketLabel))</f>
        <v/>
      </c>
      <c r="BG232" s="57">
        <f>IF(B232="","",B232-WEEKDAY(B232,3))</f>
        <v/>
      </c>
      <c r="BH232" s="28">
        <f>IF(B232="","",COUNTIF($B$6:B232,B232))</f>
        <v/>
      </c>
      <c r="BI232" s="39">
        <f>IF(B232="","",SUMIFS($AU$6:AU232,$B$6:B232,B232)-N(AU232))</f>
        <v/>
      </c>
      <c r="BJ232" s="5">
        <f>IF(OR(B232="",E232=""),"",IF(AND(E232=0,I232="Sell",MAX(N(O232),N(AD232))&gt;ExpiryCutoff),"BREACH","OK"))</f>
        <v/>
      </c>
      <c r="BK232" s="5">
        <f>IF(B232="","",IF(OR(AC232&lt;&gt;"OK",BJ232="BREACH",BH232&gt;MaxTradesDay,BI232&lt;=-DailyLossLimit,OR(AF232="Panic",AF232="Revenge",AF232="Rule break")),"CHECK","OK"))</f>
        <v/>
      </c>
      <c r="BL232" s="39">
        <f>IF(AU232="","",SUM($AU$6:AU232))</f>
        <v/>
      </c>
      <c r="BM232" s="39">
        <f>IF(BL232="","",Capital+BL232)</f>
        <v/>
      </c>
      <c r="BN232" s="39">
        <f>IF(BM232="","",MAX(Capital,MAX($BM$6:BM232)))</f>
        <v/>
      </c>
      <c r="BO232" s="39">
        <f>IF(BM232="","",BN232-BM232)</f>
        <v/>
      </c>
      <c r="BP232" s="58">
        <f>IF(BO232="","",BO232/BN232)</f>
        <v/>
      </c>
      <c r="BQ232" s="28">
        <f>IF(AU232="","",IF(AU232&lt;0,N(BQ231)+1,0))</f>
        <v/>
      </c>
    </row>
    <row r="233">
      <c r="A233" s="28">
        <f>IF(B233="","",COUNT($B$6:B233))</f>
        <v/>
      </c>
      <c r="B233" s="27" t="n"/>
      <c r="C233" s="5">
        <f>IF(B233="","",TEXT(B233,"ddd"))</f>
        <v/>
      </c>
      <c r="D233" s="27" t="n"/>
      <c r="E233" s="28">
        <f>IF(OR(B233="",D233=""),"",MAX(0,NETWORKDAYS(B233,D233)-1))</f>
        <v/>
      </c>
      <c r="F233" s="37" t="n"/>
      <c r="G233" s="36" t="n"/>
      <c r="H233" s="37" t="n"/>
      <c r="I233" s="37" t="n"/>
      <c r="J233" s="37" t="n"/>
      <c r="K233" s="37" t="n"/>
      <c r="L233" s="36" t="n"/>
      <c r="M233" s="36" t="n"/>
      <c r="N233" s="33">
        <f>IF(M233="","",M233*LotSize)</f>
        <v/>
      </c>
      <c r="O233" s="51" t="n"/>
      <c r="P233" s="32" t="n"/>
      <c r="Q233" s="29" t="n"/>
      <c r="R233" s="30">
        <f>IF(OR(G233="",Q233="",H233=""),"",IF(H233="CE",G233-Q233,Q233-G233))</f>
        <v/>
      </c>
      <c r="S233" s="31">
        <f>IF(R233="","",R233/Q233)</f>
        <v/>
      </c>
      <c r="T233" s="38" t="n"/>
      <c r="U233" s="32" t="n"/>
      <c r="V233" s="52" t="n"/>
      <c r="W233" s="37" t="n"/>
      <c r="X233" s="32" t="n"/>
      <c r="Y233" s="32" t="n"/>
      <c r="Z233" s="39">
        <f>IF(OR(X233="",P233="",N233=""),"",ABS(X233-P233)*N233)</f>
        <v/>
      </c>
      <c r="AA233" s="53">
        <f>IF(OR(Z233="",Y233=""),"",IF(Z233=0,"",ABS(P233-Y233)*N233/Z233))</f>
        <v/>
      </c>
      <c r="AB233" s="54">
        <f>IF(Z233="","",Z233/Capital)</f>
        <v/>
      </c>
      <c r="AC233" s="5">
        <f>IF(B233="","",IF(X233="","NO SL",IF(OR(N(M233)&gt;MaxLots,N(AB233)&gt;RiskPct),"OVERSIZED","OK")))</f>
        <v/>
      </c>
      <c r="AD233" s="51" t="n"/>
      <c r="AE233" s="32" t="n"/>
      <c r="AF233" s="37" t="n"/>
      <c r="AG233" s="32" t="n"/>
      <c r="AH233" s="32" t="n"/>
      <c r="AI233" s="39">
        <f>IF(OR(AG233="",P233="",N233=""),"",ABS(AG233-P233)*N233)</f>
        <v/>
      </c>
      <c r="AJ233" s="39">
        <f>IF(OR(AH233="",P233="",N233=""),"",ABS(P233-AH233)*N233)</f>
        <v/>
      </c>
      <c r="AK233" s="39">
        <f>IF(OR(AE233="",P233="",N233=""),"",IF(I233="Buy",AE233-P233,P233-AE233)*N233)</f>
        <v/>
      </c>
      <c r="AL233" s="39">
        <f>IF(OR(AJ233="",AK233=""),"",MAX(0,AJ233-AK233))</f>
        <v/>
      </c>
      <c r="AM233" s="39">
        <f>IF(AK233="","",(P233+AE233)*N233)</f>
        <v/>
      </c>
      <c r="AN233" s="55">
        <f>IF(AK233="","",BrokeragePerOrder*2*MAX(1,N(L233)))</f>
        <v/>
      </c>
      <c r="AO233" s="55">
        <f>IF(AK233="","",STTRate*IF(I233="Buy",AE233,P233)*N233)</f>
        <v/>
      </c>
      <c r="AP233" s="55">
        <f>IF(AK233="","",ExchRate*AM233)</f>
        <v/>
      </c>
      <c r="AQ233" s="55">
        <f>IF(AK233="","",SEBIRate*AM233)</f>
        <v/>
      </c>
      <c r="AR233" s="55">
        <f>IF(AK233="","",StampRate*IF(I233="Buy",P233,AE233)*N233)</f>
        <v/>
      </c>
      <c r="AS233" s="55">
        <f>IF(AK233="","",GSTRate*(AN233+AP233+AQ233))</f>
        <v/>
      </c>
      <c r="AT233" s="55">
        <f>IF(AK233="","",AN233+AO233+AP233+AQ233+AR233+AS233)</f>
        <v/>
      </c>
      <c r="AU233" s="39">
        <f>IF(AK233="","",AK233-AT233)</f>
        <v/>
      </c>
      <c r="AV233" s="56">
        <f>IF(AU233="","",AU233/IF(N(Z233)&gt;0,Z233,RiskPerTrade))</f>
        <v/>
      </c>
      <c r="AW233" s="31">
        <f>IF(AU233="","",AU233/Capital)</f>
        <v/>
      </c>
      <c r="AX233" s="37" t="n"/>
      <c r="AY233" s="37" t="n"/>
      <c r="AZ233" s="37" t="n"/>
      <c r="BA233" s="37" t="n"/>
      <c r="BB233" s="37" t="n"/>
      <c r="BC233" s="37" t="n"/>
      <c r="BD233" s="37" t="n"/>
      <c r="BE233" s="5">
        <f>IF(AU233="","",IF(AU233&gt;0,"Win",IF(AU233&lt;0,"Loss","BE")))</f>
        <v/>
      </c>
      <c r="BF233" s="5">
        <f>IF(O233="","",LOOKUP(O233,List_BucketStart,List_BucketLabel))</f>
        <v/>
      </c>
      <c r="BG233" s="57">
        <f>IF(B233="","",B233-WEEKDAY(B233,3))</f>
        <v/>
      </c>
      <c r="BH233" s="28">
        <f>IF(B233="","",COUNTIF($B$6:B233,B233))</f>
        <v/>
      </c>
      <c r="BI233" s="39">
        <f>IF(B233="","",SUMIFS($AU$6:AU233,$B$6:B233,B233)-N(AU233))</f>
        <v/>
      </c>
      <c r="BJ233" s="5">
        <f>IF(OR(B233="",E233=""),"",IF(AND(E233=0,I233="Sell",MAX(N(O233),N(AD233))&gt;ExpiryCutoff),"BREACH","OK"))</f>
        <v/>
      </c>
      <c r="BK233" s="5">
        <f>IF(B233="","",IF(OR(AC233&lt;&gt;"OK",BJ233="BREACH",BH233&gt;MaxTradesDay,BI233&lt;=-DailyLossLimit,OR(AF233="Panic",AF233="Revenge",AF233="Rule break")),"CHECK","OK"))</f>
        <v/>
      </c>
      <c r="BL233" s="39">
        <f>IF(AU233="","",SUM($AU$6:AU233))</f>
        <v/>
      </c>
      <c r="BM233" s="39">
        <f>IF(BL233="","",Capital+BL233)</f>
        <v/>
      </c>
      <c r="BN233" s="39">
        <f>IF(BM233="","",MAX(Capital,MAX($BM$6:BM233)))</f>
        <v/>
      </c>
      <c r="BO233" s="39">
        <f>IF(BM233="","",BN233-BM233)</f>
        <v/>
      </c>
      <c r="BP233" s="58">
        <f>IF(BO233="","",BO233/BN233)</f>
        <v/>
      </c>
      <c r="BQ233" s="28">
        <f>IF(AU233="","",IF(AU233&lt;0,N(BQ232)+1,0))</f>
        <v/>
      </c>
    </row>
    <row r="234">
      <c r="A234" s="28">
        <f>IF(B234="","",COUNT($B$6:B234))</f>
        <v/>
      </c>
      <c r="B234" s="27" t="n"/>
      <c r="C234" s="5">
        <f>IF(B234="","",TEXT(B234,"ddd"))</f>
        <v/>
      </c>
      <c r="D234" s="27" t="n"/>
      <c r="E234" s="28">
        <f>IF(OR(B234="",D234=""),"",MAX(0,NETWORKDAYS(B234,D234)-1))</f>
        <v/>
      </c>
      <c r="F234" s="37" t="n"/>
      <c r="G234" s="36" t="n"/>
      <c r="H234" s="37" t="n"/>
      <c r="I234" s="37" t="n"/>
      <c r="J234" s="37" t="n"/>
      <c r="K234" s="37" t="n"/>
      <c r="L234" s="36" t="n"/>
      <c r="M234" s="36" t="n"/>
      <c r="N234" s="33">
        <f>IF(M234="","",M234*LotSize)</f>
        <v/>
      </c>
      <c r="O234" s="51" t="n"/>
      <c r="P234" s="32" t="n"/>
      <c r="Q234" s="29" t="n"/>
      <c r="R234" s="30">
        <f>IF(OR(G234="",Q234="",H234=""),"",IF(H234="CE",G234-Q234,Q234-G234))</f>
        <v/>
      </c>
      <c r="S234" s="31">
        <f>IF(R234="","",R234/Q234)</f>
        <v/>
      </c>
      <c r="T234" s="38" t="n"/>
      <c r="U234" s="32" t="n"/>
      <c r="V234" s="52" t="n"/>
      <c r="W234" s="37" t="n"/>
      <c r="X234" s="32" t="n"/>
      <c r="Y234" s="32" t="n"/>
      <c r="Z234" s="39">
        <f>IF(OR(X234="",P234="",N234=""),"",ABS(X234-P234)*N234)</f>
        <v/>
      </c>
      <c r="AA234" s="53">
        <f>IF(OR(Z234="",Y234=""),"",IF(Z234=0,"",ABS(P234-Y234)*N234/Z234))</f>
        <v/>
      </c>
      <c r="AB234" s="54">
        <f>IF(Z234="","",Z234/Capital)</f>
        <v/>
      </c>
      <c r="AC234" s="5">
        <f>IF(B234="","",IF(X234="","NO SL",IF(OR(N(M234)&gt;MaxLots,N(AB234)&gt;RiskPct),"OVERSIZED","OK")))</f>
        <v/>
      </c>
      <c r="AD234" s="51" t="n"/>
      <c r="AE234" s="32" t="n"/>
      <c r="AF234" s="37" t="n"/>
      <c r="AG234" s="32" t="n"/>
      <c r="AH234" s="32" t="n"/>
      <c r="AI234" s="39">
        <f>IF(OR(AG234="",P234="",N234=""),"",ABS(AG234-P234)*N234)</f>
        <v/>
      </c>
      <c r="AJ234" s="39">
        <f>IF(OR(AH234="",P234="",N234=""),"",ABS(P234-AH234)*N234)</f>
        <v/>
      </c>
      <c r="AK234" s="39">
        <f>IF(OR(AE234="",P234="",N234=""),"",IF(I234="Buy",AE234-P234,P234-AE234)*N234)</f>
        <v/>
      </c>
      <c r="AL234" s="39">
        <f>IF(OR(AJ234="",AK234=""),"",MAX(0,AJ234-AK234))</f>
        <v/>
      </c>
      <c r="AM234" s="39">
        <f>IF(AK234="","",(P234+AE234)*N234)</f>
        <v/>
      </c>
      <c r="AN234" s="55">
        <f>IF(AK234="","",BrokeragePerOrder*2*MAX(1,N(L234)))</f>
        <v/>
      </c>
      <c r="AO234" s="55">
        <f>IF(AK234="","",STTRate*IF(I234="Buy",AE234,P234)*N234)</f>
        <v/>
      </c>
      <c r="AP234" s="55">
        <f>IF(AK234="","",ExchRate*AM234)</f>
        <v/>
      </c>
      <c r="AQ234" s="55">
        <f>IF(AK234="","",SEBIRate*AM234)</f>
        <v/>
      </c>
      <c r="AR234" s="55">
        <f>IF(AK234="","",StampRate*IF(I234="Buy",P234,AE234)*N234)</f>
        <v/>
      </c>
      <c r="AS234" s="55">
        <f>IF(AK234="","",GSTRate*(AN234+AP234+AQ234))</f>
        <v/>
      </c>
      <c r="AT234" s="55">
        <f>IF(AK234="","",AN234+AO234+AP234+AQ234+AR234+AS234)</f>
        <v/>
      </c>
      <c r="AU234" s="39">
        <f>IF(AK234="","",AK234-AT234)</f>
        <v/>
      </c>
      <c r="AV234" s="56">
        <f>IF(AU234="","",AU234/IF(N(Z234)&gt;0,Z234,RiskPerTrade))</f>
        <v/>
      </c>
      <c r="AW234" s="31">
        <f>IF(AU234="","",AU234/Capital)</f>
        <v/>
      </c>
      <c r="AX234" s="37" t="n"/>
      <c r="AY234" s="37" t="n"/>
      <c r="AZ234" s="37" t="n"/>
      <c r="BA234" s="37" t="n"/>
      <c r="BB234" s="37" t="n"/>
      <c r="BC234" s="37" t="n"/>
      <c r="BD234" s="37" t="n"/>
      <c r="BE234" s="5">
        <f>IF(AU234="","",IF(AU234&gt;0,"Win",IF(AU234&lt;0,"Loss","BE")))</f>
        <v/>
      </c>
      <c r="BF234" s="5">
        <f>IF(O234="","",LOOKUP(O234,List_BucketStart,List_BucketLabel))</f>
        <v/>
      </c>
      <c r="BG234" s="57">
        <f>IF(B234="","",B234-WEEKDAY(B234,3))</f>
        <v/>
      </c>
      <c r="BH234" s="28">
        <f>IF(B234="","",COUNTIF($B$6:B234,B234))</f>
        <v/>
      </c>
      <c r="BI234" s="39">
        <f>IF(B234="","",SUMIFS($AU$6:AU234,$B$6:B234,B234)-N(AU234))</f>
        <v/>
      </c>
      <c r="BJ234" s="5">
        <f>IF(OR(B234="",E234=""),"",IF(AND(E234=0,I234="Sell",MAX(N(O234),N(AD234))&gt;ExpiryCutoff),"BREACH","OK"))</f>
        <v/>
      </c>
      <c r="BK234" s="5">
        <f>IF(B234="","",IF(OR(AC234&lt;&gt;"OK",BJ234="BREACH",BH234&gt;MaxTradesDay,BI234&lt;=-DailyLossLimit,OR(AF234="Panic",AF234="Revenge",AF234="Rule break")),"CHECK","OK"))</f>
        <v/>
      </c>
      <c r="BL234" s="39">
        <f>IF(AU234="","",SUM($AU$6:AU234))</f>
        <v/>
      </c>
      <c r="BM234" s="39">
        <f>IF(BL234="","",Capital+BL234)</f>
        <v/>
      </c>
      <c r="BN234" s="39">
        <f>IF(BM234="","",MAX(Capital,MAX($BM$6:BM234)))</f>
        <v/>
      </c>
      <c r="BO234" s="39">
        <f>IF(BM234="","",BN234-BM234)</f>
        <v/>
      </c>
      <c r="BP234" s="58">
        <f>IF(BO234="","",BO234/BN234)</f>
        <v/>
      </c>
      <c r="BQ234" s="28">
        <f>IF(AU234="","",IF(AU234&lt;0,N(BQ233)+1,0))</f>
        <v/>
      </c>
    </row>
    <row r="235">
      <c r="A235" s="28">
        <f>IF(B235="","",COUNT($B$6:B235))</f>
        <v/>
      </c>
      <c r="B235" s="27" t="n"/>
      <c r="C235" s="5">
        <f>IF(B235="","",TEXT(B235,"ddd"))</f>
        <v/>
      </c>
      <c r="D235" s="27" t="n"/>
      <c r="E235" s="28">
        <f>IF(OR(B235="",D235=""),"",MAX(0,NETWORKDAYS(B235,D235)-1))</f>
        <v/>
      </c>
      <c r="F235" s="37" t="n"/>
      <c r="G235" s="36" t="n"/>
      <c r="H235" s="37" t="n"/>
      <c r="I235" s="37" t="n"/>
      <c r="J235" s="37" t="n"/>
      <c r="K235" s="37" t="n"/>
      <c r="L235" s="36" t="n"/>
      <c r="M235" s="36" t="n"/>
      <c r="N235" s="33">
        <f>IF(M235="","",M235*LotSize)</f>
        <v/>
      </c>
      <c r="O235" s="51" t="n"/>
      <c r="P235" s="32" t="n"/>
      <c r="Q235" s="29" t="n"/>
      <c r="R235" s="30">
        <f>IF(OR(G235="",Q235="",H235=""),"",IF(H235="CE",G235-Q235,Q235-G235))</f>
        <v/>
      </c>
      <c r="S235" s="31">
        <f>IF(R235="","",R235/Q235)</f>
        <v/>
      </c>
      <c r="T235" s="38" t="n"/>
      <c r="U235" s="32" t="n"/>
      <c r="V235" s="52" t="n"/>
      <c r="W235" s="37" t="n"/>
      <c r="X235" s="32" t="n"/>
      <c r="Y235" s="32" t="n"/>
      <c r="Z235" s="39">
        <f>IF(OR(X235="",P235="",N235=""),"",ABS(X235-P235)*N235)</f>
        <v/>
      </c>
      <c r="AA235" s="53">
        <f>IF(OR(Z235="",Y235=""),"",IF(Z235=0,"",ABS(P235-Y235)*N235/Z235))</f>
        <v/>
      </c>
      <c r="AB235" s="54">
        <f>IF(Z235="","",Z235/Capital)</f>
        <v/>
      </c>
      <c r="AC235" s="5">
        <f>IF(B235="","",IF(X235="","NO SL",IF(OR(N(M235)&gt;MaxLots,N(AB235)&gt;RiskPct),"OVERSIZED","OK")))</f>
        <v/>
      </c>
      <c r="AD235" s="51" t="n"/>
      <c r="AE235" s="32" t="n"/>
      <c r="AF235" s="37" t="n"/>
      <c r="AG235" s="32" t="n"/>
      <c r="AH235" s="32" t="n"/>
      <c r="AI235" s="39">
        <f>IF(OR(AG235="",P235="",N235=""),"",ABS(AG235-P235)*N235)</f>
        <v/>
      </c>
      <c r="AJ235" s="39">
        <f>IF(OR(AH235="",P235="",N235=""),"",ABS(P235-AH235)*N235)</f>
        <v/>
      </c>
      <c r="AK235" s="39">
        <f>IF(OR(AE235="",P235="",N235=""),"",IF(I235="Buy",AE235-P235,P235-AE235)*N235)</f>
        <v/>
      </c>
      <c r="AL235" s="39">
        <f>IF(OR(AJ235="",AK235=""),"",MAX(0,AJ235-AK235))</f>
        <v/>
      </c>
      <c r="AM235" s="39">
        <f>IF(AK235="","",(P235+AE235)*N235)</f>
        <v/>
      </c>
      <c r="AN235" s="55">
        <f>IF(AK235="","",BrokeragePerOrder*2*MAX(1,N(L235)))</f>
        <v/>
      </c>
      <c r="AO235" s="55">
        <f>IF(AK235="","",STTRate*IF(I235="Buy",AE235,P235)*N235)</f>
        <v/>
      </c>
      <c r="AP235" s="55">
        <f>IF(AK235="","",ExchRate*AM235)</f>
        <v/>
      </c>
      <c r="AQ235" s="55">
        <f>IF(AK235="","",SEBIRate*AM235)</f>
        <v/>
      </c>
      <c r="AR235" s="55">
        <f>IF(AK235="","",StampRate*IF(I235="Buy",P235,AE235)*N235)</f>
        <v/>
      </c>
      <c r="AS235" s="55">
        <f>IF(AK235="","",GSTRate*(AN235+AP235+AQ235))</f>
        <v/>
      </c>
      <c r="AT235" s="55">
        <f>IF(AK235="","",AN235+AO235+AP235+AQ235+AR235+AS235)</f>
        <v/>
      </c>
      <c r="AU235" s="39">
        <f>IF(AK235="","",AK235-AT235)</f>
        <v/>
      </c>
      <c r="AV235" s="56">
        <f>IF(AU235="","",AU235/IF(N(Z235)&gt;0,Z235,RiskPerTrade))</f>
        <v/>
      </c>
      <c r="AW235" s="31">
        <f>IF(AU235="","",AU235/Capital)</f>
        <v/>
      </c>
      <c r="AX235" s="37" t="n"/>
      <c r="AY235" s="37" t="n"/>
      <c r="AZ235" s="37" t="n"/>
      <c r="BA235" s="37" t="n"/>
      <c r="BB235" s="37" t="n"/>
      <c r="BC235" s="37" t="n"/>
      <c r="BD235" s="37" t="n"/>
      <c r="BE235" s="5">
        <f>IF(AU235="","",IF(AU235&gt;0,"Win",IF(AU235&lt;0,"Loss","BE")))</f>
        <v/>
      </c>
      <c r="BF235" s="5">
        <f>IF(O235="","",LOOKUP(O235,List_BucketStart,List_BucketLabel))</f>
        <v/>
      </c>
      <c r="BG235" s="57">
        <f>IF(B235="","",B235-WEEKDAY(B235,3))</f>
        <v/>
      </c>
      <c r="BH235" s="28">
        <f>IF(B235="","",COUNTIF($B$6:B235,B235))</f>
        <v/>
      </c>
      <c r="BI235" s="39">
        <f>IF(B235="","",SUMIFS($AU$6:AU235,$B$6:B235,B235)-N(AU235))</f>
        <v/>
      </c>
      <c r="BJ235" s="5">
        <f>IF(OR(B235="",E235=""),"",IF(AND(E235=0,I235="Sell",MAX(N(O235),N(AD235))&gt;ExpiryCutoff),"BREACH","OK"))</f>
        <v/>
      </c>
      <c r="BK235" s="5">
        <f>IF(B235="","",IF(OR(AC235&lt;&gt;"OK",BJ235="BREACH",BH235&gt;MaxTradesDay,BI235&lt;=-DailyLossLimit,OR(AF235="Panic",AF235="Revenge",AF235="Rule break")),"CHECK","OK"))</f>
        <v/>
      </c>
      <c r="BL235" s="39">
        <f>IF(AU235="","",SUM($AU$6:AU235))</f>
        <v/>
      </c>
      <c r="BM235" s="39">
        <f>IF(BL235="","",Capital+BL235)</f>
        <v/>
      </c>
      <c r="BN235" s="39">
        <f>IF(BM235="","",MAX(Capital,MAX($BM$6:BM235)))</f>
        <v/>
      </c>
      <c r="BO235" s="39">
        <f>IF(BM235="","",BN235-BM235)</f>
        <v/>
      </c>
      <c r="BP235" s="58">
        <f>IF(BO235="","",BO235/BN235)</f>
        <v/>
      </c>
      <c r="BQ235" s="28">
        <f>IF(AU235="","",IF(AU235&lt;0,N(BQ234)+1,0))</f>
        <v/>
      </c>
    </row>
    <row r="236">
      <c r="A236" s="28">
        <f>IF(B236="","",COUNT($B$6:B236))</f>
        <v/>
      </c>
      <c r="B236" s="27" t="n"/>
      <c r="C236" s="5">
        <f>IF(B236="","",TEXT(B236,"ddd"))</f>
        <v/>
      </c>
      <c r="D236" s="27" t="n"/>
      <c r="E236" s="28">
        <f>IF(OR(B236="",D236=""),"",MAX(0,NETWORKDAYS(B236,D236)-1))</f>
        <v/>
      </c>
      <c r="F236" s="37" t="n"/>
      <c r="G236" s="36" t="n"/>
      <c r="H236" s="37" t="n"/>
      <c r="I236" s="37" t="n"/>
      <c r="J236" s="37" t="n"/>
      <c r="K236" s="37" t="n"/>
      <c r="L236" s="36" t="n"/>
      <c r="M236" s="36" t="n"/>
      <c r="N236" s="33">
        <f>IF(M236="","",M236*LotSize)</f>
        <v/>
      </c>
      <c r="O236" s="51" t="n"/>
      <c r="P236" s="32" t="n"/>
      <c r="Q236" s="29" t="n"/>
      <c r="R236" s="30">
        <f>IF(OR(G236="",Q236="",H236=""),"",IF(H236="CE",G236-Q236,Q236-G236))</f>
        <v/>
      </c>
      <c r="S236" s="31">
        <f>IF(R236="","",R236/Q236)</f>
        <v/>
      </c>
      <c r="T236" s="38" t="n"/>
      <c r="U236" s="32" t="n"/>
      <c r="V236" s="52" t="n"/>
      <c r="W236" s="37" t="n"/>
      <c r="X236" s="32" t="n"/>
      <c r="Y236" s="32" t="n"/>
      <c r="Z236" s="39">
        <f>IF(OR(X236="",P236="",N236=""),"",ABS(X236-P236)*N236)</f>
        <v/>
      </c>
      <c r="AA236" s="53">
        <f>IF(OR(Z236="",Y236=""),"",IF(Z236=0,"",ABS(P236-Y236)*N236/Z236))</f>
        <v/>
      </c>
      <c r="AB236" s="54">
        <f>IF(Z236="","",Z236/Capital)</f>
        <v/>
      </c>
      <c r="AC236" s="5">
        <f>IF(B236="","",IF(X236="","NO SL",IF(OR(N(M236)&gt;MaxLots,N(AB236)&gt;RiskPct),"OVERSIZED","OK")))</f>
        <v/>
      </c>
      <c r="AD236" s="51" t="n"/>
      <c r="AE236" s="32" t="n"/>
      <c r="AF236" s="37" t="n"/>
      <c r="AG236" s="32" t="n"/>
      <c r="AH236" s="32" t="n"/>
      <c r="AI236" s="39">
        <f>IF(OR(AG236="",P236="",N236=""),"",ABS(AG236-P236)*N236)</f>
        <v/>
      </c>
      <c r="AJ236" s="39">
        <f>IF(OR(AH236="",P236="",N236=""),"",ABS(P236-AH236)*N236)</f>
        <v/>
      </c>
      <c r="AK236" s="39">
        <f>IF(OR(AE236="",P236="",N236=""),"",IF(I236="Buy",AE236-P236,P236-AE236)*N236)</f>
        <v/>
      </c>
      <c r="AL236" s="39">
        <f>IF(OR(AJ236="",AK236=""),"",MAX(0,AJ236-AK236))</f>
        <v/>
      </c>
      <c r="AM236" s="39">
        <f>IF(AK236="","",(P236+AE236)*N236)</f>
        <v/>
      </c>
      <c r="AN236" s="55">
        <f>IF(AK236="","",BrokeragePerOrder*2*MAX(1,N(L236)))</f>
        <v/>
      </c>
      <c r="AO236" s="55">
        <f>IF(AK236="","",STTRate*IF(I236="Buy",AE236,P236)*N236)</f>
        <v/>
      </c>
      <c r="AP236" s="55">
        <f>IF(AK236="","",ExchRate*AM236)</f>
        <v/>
      </c>
      <c r="AQ236" s="55">
        <f>IF(AK236="","",SEBIRate*AM236)</f>
        <v/>
      </c>
      <c r="AR236" s="55">
        <f>IF(AK236="","",StampRate*IF(I236="Buy",P236,AE236)*N236)</f>
        <v/>
      </c>
      <c r="AS236" s="55">
        <f>IF(AK236="","",GSTRate*(AN236+AP236+AQ236))</f>
        <v/>
      </c>
      <c r="AT236" s="55">
        <f>IF(AK236="","",AN236+AO236+AP236+AQ236+AR236+AS236)</f>
        <v/>
      </c>
      <c r="AU236" s="39">
        <f>IF(AK236="","",AK236-AT236)</f>
        <v/>
      </c>
      <c r="AV236" s="56">
        <f>IF(AU236="","",AU236/IF(N(Z236)&gt;0,Z236,RiskPerTrade))</f>
        <v/>
      </c>
      <c r="AW236" s="31">
        <f>IF(AU236="","",AU236/Capital)</f>
        <v/>
      </c>
      <c r="AX236" s="37" t="n"/>
      <c r="AY236" s="37" t="n"/>
      <c r="AZ236" s="37" t="n"/>
      <c r="BA236" s="37" t="n"/>
      <c r="BB236" s="37" t="n"/>
      <c r="BC236" s="37" t="n"/>
      <c r="BD236" s="37" t="n"/>
      <c r="BE236" s="5">
        <f>IF(AU236="","",IF(AU236&gt;0,"Win",IF(AU236&lt;0,"Loss","BE")))</f>
        <v/>
      </c>
      <c r="BF236" s="5">
        <f>IF(O236="","",LOOKUP(O236,List_BucketStart,List_BucketLabel))</f>
        <v/>
      </c>
      <c r="BG236" s="57">
        <f>IF(B236="","",B236-WEEKDAY(B236,3))</f>
        <v/>
      </c>
      <c r="BH236" s="28">
        <f>IF(B236="","",COUNTIF($B$6:B236,B236))</f>
        <v/>
      </c>
      <c r="BI236" s="39">
        <f>IF(B236="","",SUMIFS($AU$6:AU236,$B$6:B236,B236)-N(AU236))</f>
        <v/>
      </c>
      <c r="BJ236" s="5">
        <f>IF(OR(B236="",E236=""),"",IF(AND(E236=0,I236="Sell",MAX(N(O236),N(AD236))&gt;ExpiryCutoff),"BREACH","OK"))</f>
        <v/>
      </c>
      <c r="BK236" s="5">
        <f>IF(B236="","",IF(OR(AC236&lt;&gt;"OK",BJ236="BREACH",BH236&gt;MaxTradesDay,BI236&lt;=-DailyLossLimit,OR(AF236="Panic",AF236="Revenge",AF236="Rule break")),"CHECK","OK"))</f>
        <v/>
      </c>
      <c r="BL236" s="39">
        <f>IF(AU236="","",SUM($AU$6:AU236))</f>
        <v/>
      </c>
      <c r="BM236" s="39">
        <f>IF(BL236="","",Capital+BL236)</f>
        <v/>
      </c>
      <c r="BN236" s="39">
        <f>IF(BM236="","",MAX(Capital,MAX($BM$6:BM236)))</f>
        <v/>
      </c>
      <c r="BO236" s="39">
        <f>IF(BM236="","",BN236-BM236)</f>
        <v/>
      </c>
      <c r="BP236" s="58">
        <f>IF(BO236="","",BO236/BN236)</f>
        <v/>
      </c>
      <c r="BQ236" s="28">
        <f>IF(AU236="","",IF(AU236&lt;0,N(BQ235)+1,0))</f>
        <v/>
      </c>
    </row>
    <row r="237">
      <c r="A237" s="28">
        <f>IF(B237="","",COUNT($B$6:B237))</f>
        <v/>
      </c>
      <c r="B237" s="27" t="n"/>
      <c r="C237" s="5">
        <f>IF(B237="","",TEXT(B237,"ddd"))</f>
        <v/>
      </c>
      <c r="D237" s="27" t="n"/>
      <c r="E237" s="28">
        <f>IF(OR(B237="",D237=""),"",MAX(0,NETWORKDAYS(B237,D237)-1))</f>
        <v/>
      </c>
      <c r="F237" s="37" t="n"/>
      <c r="G237" s="36" t="n"/>
      <c r="H237" s="37" t="n"/>
      <c r="I237" s="37" t="n"/>
      <c r="J237" s="37" t="n"/>
      <c r="K237" s="37" t="n"/>
      <c r="L237" s="36" t="n"/>
      <c r="M237" s="36" t="n"/>
      <c r="N237" s="33">
        <f>IF(M237="","",M237*LotSize)</f>
        <v/>
      </c>
      <c r="O237" s="51" t="n"/>
      <c r="P237" s="32" t="n"/>
      <c r="Q237" s="29" t="n"/>
      <c r="R237" s="30">
        <f>IF(OR(G237="",Q237="",H237=""),"",IF(H237="CE",G237-Q237,Q237-G237))</f>
        <v/>
      </c>
      <c r="S237" s="31">
        <f>IF(R237="","",R237/Q237)</f>
        <v/>
      </c>
      <c r="T237" s="38" t="n"/>
      <c r="U237" s="32" t="n"/>
      <c r="V237" s="52" t="n"/>
      <c r="W237" s="37" t="n"/>
      <c r="X237" s="32" t="n"/>
      <c r="Y237" s="32" t="n"/>
      <c r="Z237" s="39">
        <f>IF(OR(X237="",P237="",N237=""),"",ABS(X237-P237)*N237)</f>
        <v/>
      </c>
      <c r="AA237" s="53">
        <f>IF(OR(Z237="",Y237=""),"",IF(Z237=0,"",ABS(P237-Y237)*N237/Z237))</f>
        <v/>
      </c>
      <c r="AB237" s="54">
        <f>IF(Z237="","",Z237/Capital)</f>
        <v/>
      </c>
      <c r="AC237" s="5">
        <f>IF(B237="","",IF(X237="","NO SL",IF(OR(N(M237)&gt;MaxLots,N(AB237)&gt;RiskPct),"OVERSIZED","OK")))</f>
        <v/>
      </c>
      <c r="AD237" s="51" t="n"/>
      <c r="AE237" s="32" t="n"/>
      <c r="AF237" s="37" t="n"/>
      <c r="AG237" s="32" t="n"/>
      <c r="AH237" s="32" t="n"/>
      <c r="AI237" s="39">
        <f>IF(OR(AG237="",P237="",N237=""),"",ABS(AG237-P237)*N237)</f>
        <v/>
      </c>
      <c r="AJ237" s="39">
        <f>IF(OR(AH237="",P237="",N237=""),"",ABS(P237-AH237)*N237)</f>
        <v/>
      </c>
      <c r="AK237" s="39">
        <f>IF(OR(AE237="",P237="",N237=""),"",IF(I237="Buy",AE237-P237,P237-AE237)*N237)</f>
        <v/>
      </c>
      <c r="AL237" s="39">
        <f>IF(OR(AJ237="",AK237=""),"",MAX(0,AJ237-AK237))</f>
        <v/>
      </c>
      <c r="AM237" s="39">
        <f>IF(AK237="","",(P237+AE237)*N237)</f>
        <v/>
      </c>
      <c r="AN237" s="55">
        <f>IF(AK237="","",BrokeragePerOrder*2*MAX(1,N(L237)))</f>
        <v/>
      </c>
      <c r="AO237" s="55">
        <f>IF(AK237="","",STTRate*IF(I237="Buy",AE237,P237)*N237)</f>
        <v/>
      </c>
      <c r="AP237" s="55">
        <f>IF(AK237="","",ExchRate*AM237)</f>
        <v/>
      </c>
      <c r="AQ237" s="55">
        <f>IF(AK237="","",SEBIRate*AM237)</f>
        <v/>
      </c>
      <c r="AR237" s="55">
        <f>IF(AK237="","",StampRate*IF(I237="Buy",P237,AE237)*N237)</f>
        <v/>
      </c>
      <c r="AS237" s="55">
        <f>IF(AK237="","",GSTRate*(AN237+AP237+AQ237))</f>
        <v/>
      </c>
      <c r="AT237" s="55">
        <f>IF(AK237="","",AN237+AO237+AP237+AQ237+AR237+AS237)</f>
        <v/>
      </c>
      <c r="AU237" s="39">
        <f>IF(AK237="","",AK237-AT237)</f>
        <v/>
      </c>
      <c r="AV237" s="56">
        <f>IF(AU237="","",AU237/IF(N(Z237)&gt;0,Z237,RiskPerTrade))</f>
        <v/>
      </c>
      <c r="AW237" s="31">
        <f>IF(AU237="","",AU237/Capital)</f>
        <v/>
      </c>
      <c r="AX237" s="37" t="n"/>
      <c r="AY237" s="37" t="n"/>
      <c r="AZ237" s="37" t="n"/>
      <c r="BA237" s="37" t="n"/>
      <c r="BB237" s="37" t="n"/>
      <c r="BC237" s="37" t="n"/>
      <c r="BD237" s="37" t="n"/>
      <c r="BE237" s="5">
        <f>IF(AU237="","",IF(AU237&gt;0,"Win",IF(AU237&lt;0,"Loss","BE")))</f>
        <v/>
      </c>
      <c r="BF237" s="5">
        <f>IF(O237="","",LOOKUP(O237,List_BucketStart,List_BucketLabel))</f>
        <v/>
      </c>
      <c r="BG237" s="57">
        <f>IF(B237="","",B237-WEEKDAY(B237,3))</f>
        <v/>
      </c>
      <c r="BH237" s="28">
        <f>IF(B237="","",COUNTIF($B$6:B237,B237))</f>
        <v/>
      </c>
      <c r="BI237" s="39">
        <f>IF(B237="","",SUMIFS($AU$6:AU237,$B$6:B237,B237)-N(AU237))</f>
        <v/>
      </c>
      <c r="BJ237" s="5">
        <f>IF(OR(B237="",E237=""),"",IF(AND(E237=0,I237="Sell",MAX(N(O237),N(AD237))&gt;ExpiryCutoff),"BREACH","OK"))</f>
        <v/>
      </c>
      <c r="BK237" s="5">
        <f>IF(B237="","",IF(OR(AC237&lt;&gt;"OK",BJ237="BREACH",BH237&gt;MaxTradesDay,BI237&lt;=-DailyLossLimit,OR(AF237="Panic",AF237="Revenge",AF237="Rule break")),"CHECK","OK"))</f>
        <v/>
      </c>
      <c r="BL237" s="39">
        <f>IF(AU237="","",SUM($AU$6:AU237))</f>
        <v/>
      </c>
      <c r="BM237" s="39">
        <f>IF(BL237="","",Capital+BL237)</f>
        <v/>
      </c>
      <c r="BN237" s="39">
        <f>IF(BM237="","",MAX(Capital,MAX($BM$6:BM237)))</f>
        <v/>
      </c>
      <c r="BO237" s="39">
        <f>IF(BM237="","",BN237-BM237)</f>
        <v/>
      </c>
      <c r="BP237" s="58">
        <f>IF(BO237="","",BO237/BN237)</f>
        <v/>
      </c>
      <c r="BQ237" s="28">
        <f>IF(AU237="","",IF(AU237&lt;0,N(BQ236)+1,0))</f>
        <v/>
      </c>
    </row>
    <row r="238">
      <c r="A238" s="28">
        <f>IF(B238="","",COUNT($B$6:B238))</f>
        <v/>
      </c>
      <c r="B238" s="27" t="n"/>
      <c r="C238" s="5">
        <f>IF(B238="","",TEXT(B238,"ddd"))</f>
        <v/>
      </c>
      <c r="D238" s="27" t="n"/>
      <c r="E238" s="28">
        <f>IF(OR(B238="",D238=""),"",MAX(0,NETWORKDAYS(B238,D238)-1))</f>
        <v/>
      </c>
      <c r="F238" s="37" t="n"/>
      <c r="G238" s="36" t="n"/>
      <c r="H238" s="37" t="n"/>
      <c r="I238" s="37" t="n"/>
      <c r="J238" s="37" t="n"/>
      <c r="K238" s="37" t="n"/>
      <c r="L238" s="36" t="n"/>
      <c r="M238" s="36" t="n"/>
      <c r="N238" s="33">
        <f>IF(M238="","",M238*LotSize)</f>
        <v/>
      </c>
      <c r="O238" s="51" t="n"/>
      <c r="P238" s="32" t="n"/>
      <c r="Q238" s="29" t="n"/>
      <c r="R238" s="30">
        <f>IF(OR(G238="",Q238="",H238=""),"",IF(H238="CE",G238-Q238,Q238-G238))</f>
        <v/>
      </c>
      <c r="S238" s="31">
        <f>IF(R238="","",R238/Q238)</f>
        <v/>
      </c>
      <c r="T238" s="38" t="n"/>
      <c r="U238" s="32" t="n"/>
      <c r="V238" s="52" t="n"/>
      <c r="W238" s="37" t="n"/>
      <c r="X238" s="32" t="n"/>
      <c r="Y238" s="32" t="n"/>
      <c r="Z238" s="39">
        <f>IF(OR(X238="",P238="",N238=""),"",ABS(X238-P238)*N238)</f>
        <v/>
      </c>
      <c r="AA238" s="53">
        <f>IF(OR(Z238="",Y238=""),"",IF(Z238=0,"",ABS(P238-Y238)*N238/Z238))</f>
        <v/>
      </c>
      <c r="AB238" s="54">
        <f>IF(Z238="","",Z238/Capital)</f>
        <v/>
      </c>
      <c r="AC238" s="5">
        <f>IF(B238="","",IF(X238="","NO SL",IF(OR(N(M238)&gt;MaxLots,N(AB238)&gt;RiskPct),"OVERSIZED","OK")))</f>
        <v/>
      </c>
      <c r="AD238" s="51" t="n"/>
      <c r="AE238" s="32" t="n"/>
      <c r="AF238" s="37" t="n"/>
      <c r="AG238" s="32" t="n"/>
      <c r="AH238" s="32" t="n"/>
      <c r="AI238" s="39">
        <f>IF(OR(AG238="",P238="",N238=""),"",ABS(AG238-P238)*N238)</f>
        <v/>
      </c>
      <c r="AJ238" s="39">
        <f>IF(OR(AH238="",P238="",N238=""),"",ABS(P238-AH238)*N238)</f>
        <v/>
      </c>
      <c r="AK238" s="39">
        <f>IF(OR(AE238="",P238="",N238=""),"",IF(I238="Buy",AE238-P238,P238-AE238)*N238)</f>
        <v/>
      </c>
      <c r="AL238" s="39">
        <f>IF(OR(AJ238="",AK238=""),"",MAX(0,AJ238-AK238))</f>
        <v/>
      </c>
      <c r="AM238" s="39">
        <f>IF(AK238="","",(P238+AE238)*N238)</f>
        <v/>
      </c>
      <c r="AN238" s="55">
        <f>IF(AK238="","",BrokeragePerOrder*2*MAX(1,N(L238)))</f>
        <v/>
      </c>
      <c r="AO238" s="55">
        <f>IF(AK238="","",STTRate*IF(I238="Buy",AE238,P238)*N238)</f>
        <v/>
      </c>
      <c r="AP238" s="55">
        <f>IF(AK238="","",ExchRate*AM238)</f>
        <v/>
      </c>
      <c r="AQ238" s="55">
        <f>IF(AK238="","",SEBIRate*AM238)</f>
        <v/>
      </c>
      <c r="AR238" s="55">
        <f>IF(AK238="","",StampRate*IF(I238="Buy",P238,AE238)*N238)</f>
        <v/>
      </c>
      <c r="AS238" s="55">
        <f>IF(AK238="","",GSTRate*(AN238+AP238+AQ238))</f>
        <v/>
      </c>
      <c r="AT238" s="55">
        <f>IF(AK238="","",AN238+AO238+AP238+AQ238+AR238+AS238)</f>
        <v/>
      </c>
      <c r="AU238" s="39">
        <f>IF(AK238="","",AK238-AT238)</f>
        <v/>
      </c>
      <c r="AV238" s="56">
        <f>IF(AU238="","",AU238/IF(N(Z238)&gt;0,Z238,RiskPerTrade))</f>
        <v/>
      </c>
      <c r="AW238" s="31">
        <f>IF(AU238="","",AU238/Capital)</f>
        <v/>
      </c>
      <c r="AX238" s="37" t="n"/>
      <c r="AY238" s="37" t="n"/>
      <c r="AZ238" s="37" t="n"/>
      <c r="BA238" s="37" t="n"/>
      <c r="BB238" s="37" t="n"/>
      <c r="BC238" s="37" t="n"/>
      <c r="BD238" s="37" t="n"/>
      <c r="BE238" s="5">
        <f>IF(AU238="","",IF(AU238&gt;0,"Win",IF(AU238&lt;0,"Loss","BE")))</f>
        <v/>
      </c>
      <c r="BF238" s="5">
        <f>IF(O238="","",LOOKUP(O238,List_BucketStart,List_BucketLabel))</f>
        <v/>
      </c>
      <c r="BG238" s="57">
        <f>IF(B238="","",B238-WEEKDAY(B238,3))</f>
        <v/>
      </c>
      <c r="BH238" s="28">
        <f>IF(B238="","",COUNTIF($B$6:B238,B238))</f>
        <v/>
      </c>
      <c r="BI238" s="39">
        <f>IF(B238="","",SUMIFS($AU$6:AU238,$B$6:B238,B238)-N(AU238))</f>
        <v/>
      </c>
      <c r="BJ238" s="5">
        <f>IF(OR(B238="",E238=""),"",IF(AND(E238=0,I238="Sell",MAX(N(O238),N(AD238))&gt;ExpiryCutoff),"BREACH","OK"))</f>
        <v/>
      </c>
      <c r="BK238" s="5">
        <f>IF(B238="","",IF(OR(AC238&lt;&gt;"OK",BJ238="BREACH",BH238&gt;MaxTradesDay,BI238&lt;=-DailyLossLimit,OR(AF238="Panic",AF238="Revenge",AF238="Rule break")),"CHECK","OK"))</f>
        <v/>
      </c>
      <c r="BL238" s="39">
        <f>IF(AU238="","",SUM($AU$6:AU238))</f>
        <v/>
      </c>
      <c r="BM238" s="39">
        <f>IF(BL238="","",Capital+BL238)</f>
        <v/>
      </c>
      <c r="BN238" s="39">
        <f>IF(BM238="","",MAX(Capital,MAX($BM$6:BM238)))</f>
        <v/>
      </c>
      <c r="BO238" s="39">
        <f>IF(BM238="","",BN238-BM238)</f>
        <v/>
      </c>
      <c r="BP238" s="58">
        <f>IF(BO238="","",BO238/BN238)</f>
        <v/>
      </c>
      <c r="BQ238" s="28">
        <f>IF(AU238="","",IF(AU238&lt;0,N(BQ237)+1,0))</f>
        <v/>
      </c>
    </row>
    <row r="239">
      <c r="A239" s="28">
        <f>IF(B239="","",COUNT($B$6:B239))</f>
        <v/>
      </c>
      <c r="B239" s="27" t="n"/>
      <c r="C239" s="5">
        <f>IF(B239="","",TEXT(B239,"ddd"))</f>
        <v/>
      </c>
      <c r="D239" s="27" t="n"/>
      <c r="E239" s="28">
        <f>IF(OR(B239="",D239=""),"",MAX(0,NETWORKDAYS(B239,D239)-1))</f>
        <v/>
      </c>
      <c r="F239" s="37" t="n"/>
      <c r="G239" s="36" t="n"/>
      <c r="H239" s="37" t="n"/>
      <c r="I239" s="37" t="n"/>
      <c r="J239" s="37" t="n"/>
      <c r="K239" s="37" t="n"/>
      <c r="L239" s="36" t="n"/>
      <c r="M239" s="36" t="n"/>
      <c r="N239" s="33">
        <f>IF(M239="","",M239*LotSize)</f>
        <v/>
      </c>
      <c r="O239" s="51" t="n"/>
      <c r="P239" s="32" t="n"/>
      <c r="Q239" s="29" t="n"/>
      <c r="R239" s="30">
        <f>IF(OR(G239="",Q239="",H239=""),"",IF(H239="CE",G239-Q239,Q239-G239))</f>
        <v/>
      </c>
      <c r="S239" s="31">
        <f>IF(R239="","",R239/Q239)</f>
        <v/>
      </c>
      <c r="T239" s="38" t="n"/>
      <c r="U239" s="32" t="n"/>
      <c r="V239" s="52" t="n"/>
      <c r="W239" s="37" t="n"/>
      <c r="X239" s="32" t="n"/>
      <c r="Y239" s="32" t="n"/>
      <c r="Z239" s="39">
        <f>IF(OR(X239="",P239="",N239=""),"",ABS(X239-P239)*N239)</f>
        <v/>
      </c>
      <c r="AA239" s="53">
        <f>IF(OR(Z239="",Y239=""),"",IF(Z239=0,"",ABS(P239-Y239)*N239/Z239))</f>
        <v/>
      </c>
      <c r="AB239" s="54">
        <f>IF(Z239="","",Z239/Capital)</f>
        <v/>
      </c>
      <c r="AC239" s="5">
        <f>IF(B239="","",IF(X239="","NO SL",IF(OR(N(M239)&gt;MaxLots,N(AB239)&gt;RiskPct),"OVERSIZED","OK")))</f>
        <v/>
      </c>
      <c r="AD239" s="51" t="n"/>
      <c r="AE239" s="32" t="n"/>
      <c r="AF239" s="37" t="n"/>
      <c r="AG239" s="32" t="n"/>
      <c r="AH239" s="32" t="n"/>
      <c r="AI239" s="39">
        <f>IF(OR(AG239="",P239="",N239=""),"",ABS(AG239-P239)*N239)</f>
        <v/>
      </c>
      <c r="AJ239" s="39">
        <f>IF(OR(AH239="",P239="",N239=""),"",ABS(P239-AH239)*N239)</f>
        <v/>
      </c>
      <c r="AK239" s="39">
        <f>IF(OR(AE239="",P239="",N239=""),"",IF(I239="Buy",AE239-P239,P239-AE239)*N239)</f>
        <v/>
      </c>
      <c r="AL239" s="39">
        <f>IF(OR(AJ239="",AK239=""),"",MAX(0,AJ239-AK239))</f>
        <v/>
      </c>
      <c r="AM239" s="39">
        <f>IF(AK239="","",(P239+AE239)*N239)</f>
        <v/>
      </c>
      <c r="AN239" s="55">
        <f>IF(AK239="","",BrokeragePerOrder*2*MAX(1,N(L239)))</f>
        <v/>
      </c>
      <c r="AO239" s="55">
        <f>IF(AK239="","",STTRate*IF(I239="Buy",AE239,P239)*N239)</f>
        <v/>
      </c>
      <c r="AP239" s="55">
        <f>IF(AK239="","",ExchRate*AM239)</f>
        <v/>
      </c>
      <c r="AQ239" s="55">
        <f>IF(AK239="","",SEBIRate*AM239)</f>
        <v/>
      </c>
      <c r="AR239" s="55">
        <f>IF(AK239="","",StampRate*IF(I239="Buy",P239,AE239)*N239)</f>
        <v/>
      </c>
      <c r="AS239" s="55">
        <f>IF(AK239="","",GSTRate*(AN239+AP239+AQ239))</f>
        <v/>
      </c>
      <c r="AT239" s="55">
        <f>IF(AK239="","",AN239+AO239+AP239+AQ239+AR239+AS239)</f>
        <v/>
      </c>
      <c r="AU239" s="39">
        <f>IF(AK239="","",AK239-AT239)</f>
        <v/>
      </c>
      <c r="AV239" s="56">
        <f>IF(AU239="","",AU239/IF(N(Z239)&gt;0,Z239,RiskPerTrade))</f>
        <v/>
      </c>
      <c r="AW239" s="31">
        <f>IF(AU239="","",AU239/Capital)</f>
        <v/>
      </c>
      <c r="AX239" s="37" t="n"/>
      <c r="AY239" s="37" t="n"/>
      <c r="AZ239" s="37" t="n"/>
      <c r="BA239" s="37" t="n"/>
      <c r="BB239" s="37" t="n"/>
      <c r="BC239" s="37" t="n"/>
      <c r="BD239" s="37" t="n"/>
      <c r="BE239" s="5">
        <f>IF(AU239="","",IF(AU239&gt;0,"Win",IF(AU239&lt;0,"Loss","BE")))</f>
        <v/>
      </c>
      <c r="BF239" s="5">
        <f>IF(O239="","",LOOKUP(O239,List_BucketStart,List_BucketLabel))</f>
        <v/>
      </c>
      <c r="BG239" s="57">
        <f>IF(B239="","",B239-WEEKDAY(B239,3))</f>
        <v/>
      </c>
      <c r="BH239" s="28">
        <f>IF(B239="","",COUNTIF($B$6:B239,B239))</f>
        <v/>
      </c>
      <c r="BI239" s="39">
        <f>IF(B239="","",SUMIFS($AU$6:AU239,$B$6:B239,B239)-N(AU239))</f>
        <v/>
      </c>
      <c r="BJ239" s="5">
        <f>IF(OR(B239="",E239=""),"",IF(AND(E239=0,I239="Sell",MAX(N(O239),N(AD239))&gt;ExpiryCutoff),"BREACH","OK"))</f>
        <v/>
      </c>
      <c r="BK239" s="5">
        <f>IF(B239="","",IF(OR(AC239&lt;&gt;"OK",BJ239="BREACH",BH239&gt;MaxTradesDay,BI239&lt;=-DailyLossLimit,OR(AF239="Panic",AF239="Revenge",AF239="Rule break")),"CHECK","OK"))</f>
        <v/>
      </c>
      <c r="BL239" s="39">
        <f>IF(AU239="","",SUM($AU$6:AU239))</f>
        <v/>
      </c>
      <c r="BM239" s="39">
        <f>IF(BL239="","",Capital+BL239)</f>
        <v/>
      </c>
      <c r="BN239" s="39">
        <f>IF(BM239="","",MAX(Capital,MAX($BM$6:BM239)))</f>
        <v/>
      </c>
      <c r="BO239" s="39">
        <f>IF(BM239="","",BN239-BM239)</f>
        <v/>
      </c>
      <c r="BP239" s="58">
        <f>IF(BO239="","",BO239/BN239)</f>
        <v/>
      </c>
      <c r="BQ239" s="28">
        <f>IF(AU239="","",IF(AU239&lt;0,N(BQ238)+1,0))</f>
        <v/>
      </c>
    </row>
    <row r="240">
      <c r="A240" s="28">
        <f>IF(B240="","",COUNT($B$6:B240))</f>
        <v/>
      </c>
      <c r="B240" s="27" t="n"/>
      <c r="C240" s="5">
        <f>IF(B240="","",TEXT(B240,"ddd"))</f>
        <v/>
      </c>
      <c r="D240" s="27" t="n"/>
      <c r="E240" s="28">
        <f>IF(OR(B240="",D240=""),"",MAX(0,NETWORKDAYS(B240,D240)-1))</f>
        <v/>
      </c>
      <c r="F240" s="37" t="n"/>
      <c r="G240" s="36" t="n"/>
      <c r="H240" s="37" t="n"/>
      <c r="I240" s="37" t="n"/>
      <c r="J240" s="37" t="n"/>
      <c r="K240" s="37" t="n"/>
      <c r="L240" s="36" t="n"/>
      <c r="M240" s="36" t="n"/>
      <c r="N240" s="33">
        <f>IF(M240="","",M240*LotSize)</f>
        <v/>
      </c>
      <c r="O240" s="51" t="n"/>
      <c r="P240" s="32" t="n"/>
      <c r="Q240" s="29" t="n"/>
      <c r="R240" s="30">
        <f>IF(OR(G240="",Q240="",H240=""),"",IF(H240="CE",G240-Q240,Q240-G240))</f>
        <v/>
      </c>
      <c r="S240" s="31">
        <f>IF(R240="","",R240/Q240)</f>
        <v/>
      </c>
      <c r="T240" s="38" t="n"/>
      <c r="U240" s="32" t="n"/>
      <c r="V240" s="52" t="n"/>
      <c r="W240" s="37" t="n"/>
      <c r="X240" s="32" t="n"/>
      <c r="Y240" s="32" t="n"/>
      <c r="Z240" s="39">
        <f>IF(OR(X240="",P240="",N240=""),"",ABS(X240-P240)*N240)</f>
        <v/>
      </c>
      <c r="AA240" s="53">
        <f>IF(OR(Z240="",Y240=""),"",IF(Z240=0,"",ABS(P240-Y240)*N240/Z240))</f>
        <v/>
      </c>
      <c r="AB240" s="54">
        <f>IF(Z240="","",Z240/Capital)</f>
        <v/>
      </c>
      <c r="AC240" s="5">
        <f>IF(B240="","",IF(X240="","NO SL",IF(OR(N(M240)&gt;MaxLots,N(AB240)&gt;RiskPct),"OVERSIZED","OK")))</f>
        <v/>
      </c>
      <c r="AD240" s="51" t="n"/>
      <c r="AE240" s="32" t="n"/>
      <c r="AF240" s="37" t="n"/>
      <c r="AG240" s="32" t="n"/>
      <c r="AH240" s="32" t="n"/>
      <c r="AI240" s="39">
        <f>IF(OR(AG240="",P240="",N240=""),"",ABS(AG240-P240)*N240)</f>
        <v/>
      </c>
      <c r="AJ240" s="39">
        <f>IF(OR(AH240="",P240="",N240=""),"",ABS(P240-AH240)*N240)</f>
        <v/>
      </c>
      <c r="AK240" s="39">
        <f>IF(OR(AE240="",P240="",N240=""),"",IF(I240="Buy",AE240-P240,P240-AE240)*N240)</f>
        <v/>
      </c>
      <c r="AL240" s="39">
        <f>IF(OR(AJ240="",AK240=""),"",MAX(0,AJ240-AK240))</f>
        <v/>
      </c>
      <c r="AM240" s="39">
        <f>IF(AK240="","",(P240+AE240)*N240)</f>
        <v/>
      </c>
      <c r="AN240" s="55">
        <f>IF(AK240="","",BrokeragePerOrder*2*MAX(1,N(L240)))</f>
        <v/>
      </c>
      <c r="AO240" s="55">
        <f>IF(AK240="","",STTRate*IF(I240="Buy",AE240,P240)*N240)</f>
        <v/>
      </c>
      <c r="AP240" s="55">
        <f>IF(AK240="","",ExchRate*AM240)</f>
        <v/>
      </c>
      <c r="AQ240" s="55">
        <f>IF(AK240="","",SEBIRate*AM240)</f>
        <v/>
      </c>
      <c r="AR240" s="55">
        <f>IF(AK240="","",StampRate*IF(I240="Buy",P240,AE240)*N240)</f>
        <v/>
      </c>
      <c r="AS240" s="55">
        <f>IF(AK240="","",GSTRate*(AN240+AP240+AQ240))</f>
        <v/>
      </c>
      <c r="AT240" s="55">
        <f>IF(AK240="","",AN240+AO240+AP240+AQ240+AR240+AS240)</f>
        <v/>
      </c>
      <c r="AU240" s="39">
        <f>IF(AK240="","",AK240-AT240)</f>
        <v/>
      </c>
      <c r="AV240" s="56">
        <f>IF(AU240="","",AU240/IF(N(Z240)&gt;0,Z240,RiskPerTrade))</f>
        <v/>
      </c>
      <c r="AW240" s="31">
        <f>IF(AU240="","",AU240/Capital)</f>
        <v/>
      </c>
      <c r="AX240" s="37" t="n"/>
      <c r="AY240" s="37" t="n"/>
      <c r="AZ240" s="37" t="n"/>
      <c r="BA240" s="37" t="n"/>
      <c r="BB240" s="37" t="n"/>
      <c r="BC240" s="37" t="n"/>
      <c r="BD240" s="37" t="n"/>
      <c r="BE240" s="5">
        <f>IF(AU240="","",IF(AU240&gt;0,"Win",IF(AU240&lt;0,"Loss","BE")))</f>
        <v/>
      </c>
      <c r="BF240" s="5">
        <f>IF(O240="","",LOOKUP(O240,List_BucketStart,List_BucketLabel))</f>
        <v/>
      </c>
      <c r="BG240" s="57">
        <f>IF(B240="","",B240-WEEKDAY(B240,3))</f>
        <v/>
      </c>
      <c r="BH240" s="28">
        <f>IF(B240="","",COUNTIF($B$6:B240,B240))</f>
        <v/>
      </c>
      <c r="BI240" s="39">
        <f>IF(B240="","",SUMIFS($AU$6:AU240,$B$6:B240,B240)-N(AU240))</f>
        <v/>
      </c>
      <c r="BJ240" s="5">
        <f>IF(OR(B240="",E240=""),"",IF(AND(E240=0,I240="Sell",MAX(N(O240),N(AD240))&gt;ExpiryCutoff),"BREACH","OK"))</f>
        <v/>
      </c>
      <c r="BK240" s="5">
        <f>IF(B240="","",IF(OR(AC240&lt;&gt;"OK",BJ240="BREACH",BH240&gt;MaxTradesDay,BI240&lt;=-DailyLossLimit,OR(AF240="Panic",AF240="Revenge",AF240="Rule break")),"CHECK","OK"))</f>
        <v/>
      </c>
      <c r="BL240" s="39">
        <f>IF(AU240="","",SUM($AU$6:AU240))</f>
        <v/>
      </c>
      <c r="BM240" s="39">
        <f>IF(BL240="","",Capital+BL240)</f>
        <v/>
      </c>
      <c r="BN240" s="39">
        <f>IF(BM240="","",MAX(Capital,MAX($BM$6:BM240)))</f>
        <v/>
      </c>
      <c r="BO240" s="39">
        <f>IF(BM240="","",BN240-BM240)</f>
        <v/>
      </c>
      <c r="BP240" s="58">
        <f>IF(BO240="","",BO240/BN240)</f>
        <v/>
      </c>
      <c r="BQ240" s="28">
        <f>IF(AU240="","",IF(AU240&lt;0,N(BQ239)+1,0))</f>
        <v/>
      </c>
    </row>
    <row r="241">
      <c r="A241" s="28">
        <f>IF(B241="","",COUNT($B$6:B241))</f>
        <v/>
      </c>
      <c r="B241" s="27" t="n"/>
      <c r="C241" s="5">
        <f>IF(B241="","",TEXT(B241,"ddd"))</f>
        <v/>
      </c>
      <c r="D241" s="27" t="n"/>
      <c r="E241" s="28">
        <f>IF(OR(B241="",D241=""),"",MAX(0,NETWORKDAYS(B241,D241)-1))</f>
        <v/>
      </c>
      <c r="F241" s="37" t="n"/>
      <c r="G241" s="36" t="n"/>
      <c r="H241" s="37" t="n"/>
      <c r="I241" s="37" t="n"/>
      <c r="J241" s="37" t="n"/>
      <c r="K241" s="37" t="n"/>
      <c r="L241" s="36" t="n"/>
      <c r="M241" s="36" t="n"/>
      <c r="N241" s="33">
        <f>IF(M241="","",M241*LotSize)</f>
        <v/>
      </c>
      <c r="O241" s="51" t="n"/>
      <c r="P241" s="32" t="n"/>
      <c r="Q241" s="29" t="n"/>
      <c r="R241" s="30">
        <f>IF(OR(G241="",Q241="",H241=""),"",IF(H241="CE",G241-Q241,Q241-G241))</f>
        <v/>
      </c>
      <c r="S241" s="31">
        <f>IF(R241="","",R241/Q241)</f>
        <v/>
      </c>
      <c r="T241" s="38" t="n"/>
      <c r="U241" s="32" t="n"/>
      <c r="V241" s="52" t="n"/>
      <c r="W241" s="37" t="n"/>
      <c r="X241" s="32" t="n"/>
      <c r="Y241" s="32" t="n"/>
      <c r="Z241" s="39">
        <f>IF(OR(X241="",P241="",N241=""),"",ABS(X241-P241)*N241)</f>
        <v/>
      </c>
      <c r="AA241" s="53">
        <f>IF(OR(Z241="",Y241=""),"",IF(Z241=0,"",ABS(P241-Y241)*N241/Z241))</f>
        <v/>
      </c>
      <c r="AB241" s="54">
        <f>IF(Z241="","",Z241/Capital)</f>
        <v/>
      </c>
      <c r="AC241" s="5">
        <f>IF(B241="","",IF(X241="","NO SL",IF(OR(N(M241)&gt;MaxLots,N(AB241)&gt;RiskPct),"OVERSIZED","OK")))</f>
        <v/>
      </c>
      <c r="AD241" s="51" t="n"/>
      <c r="AE241" s="32" t="n"/>
      <c r="AF241" s="37" t="n"/>
      <c r="AG241" s="32" t="n"/>
      <c r="AH241" s="32" t="n"/>
      <c r="AI241" s="39">
        <f>IF(OR(AG241="",P241="",N241=""),"",ABS(AG241-P241)*N241)</f>
        <v/>
      </c>
      <c r="AJ241" s="39">
        <f>IF(OR(AH241="",P241="",N241=""),"",ABS(P241-AH241)*N241)</f>
        <v/>
      </c>
      <c r="AK241" s="39">
        <f>IF(OR(AE241="",P241="",N241=""),"",IF(I241="Buy",AE241-P241,P241-AE241)*N241)</f>
        <v/>
      </c>
      <c r="AL241" s="39">
        <f>IF(OR(AJ241="",AK241=""),"",MAX(0,AJ241-AK241))</f>
        <v/>
      </c>
      <c r="AM241" s="39">
        <f>IF(AK241="","",(P241+AE241)*N241)</f>
        <v/>
      </c>
      <c r="AN241" s="55">
        <f>IF(AK241="","",BrokeragePerOrder*2*MAX(1,N(L241)))</f>
        <v/>
      </c>
      <c r="AO241" s="55">
        <f>IF(AK241="","",STTRate*IF(I241="Buy",AE241,P241)*N241)</f>
        <v/>
      </c>
      <c r="AP241" s="55">
        <f>IF(AK241="","",ExchRate*AM241)</f>
        <v/>
      </c>
      <c r="AQ241" s="55">
        <f>IF(AK241="","",SEBIRate*AM241)</f>
        <v/>
      </c>
      <c r="AR241" s="55">
        <f>IF(AK241="","",StampRate*IF(I241="Buy",P241,AE241)*N241)</f>
        <v/>
      </c>
      <c r="AS241" s="55">
        <f>IF(AK241="","",GSTRate*(AN241+AP241+AQ241))</f>
        <v/>
      </c>
      <c r="AT241" s="55">
        <f>IF(AK241="","",AN241+AO241+AP241+AQ241+AR241+AS241)</f>
        <v/>
      </c>
      <c r="AU241" s="39">
        <f>IF(AK241="","",AK241-AT241)</f>
        <v/>
      </c>
      <c r="AV241" s="56">
        <f>IF(AU241="","",AU241/IF(N(Z241)&gt;0,Z241,RiskPerTrade))</f>
        <v/>
      </c>
      <c r="AW241" s="31">
        <f>IF(AU241="","",AU241/Capital)</f>
        <v/>
      </c>
      <c r="AX241" s="37" t="n"/>
      <c r="AY241" s="37" t="n"/>
      <c r="AZ241" s="37" t="n"/>
      <c r="BA241" s="37" t="n"/>
      <c r="BB241" s="37" t="n"/>
      <c r="BC241" s="37" t="n"/>
      <c r="BD241" s="37" t="n"/>
      <c r="BE241" s="5">
        <f>IF(AU241="","",IF(AU241&gt;0,"Win",IF(AU241&lt;0,"Loss","BE")))</f>
        <v/>
      </c>
      <c r="BF241" s="5">
        <f>IF(O241="","",LOOKUP(O241,List_BucketStart,List_BucketLabel))</f>
        <v/>
      </c>
      <c r="BG241" s="57">
        <f>IF(B241="","",B241-WEEKDAY(B241,3))</f>
        <v/>
      </c>
      <c r="BH241" s="28">
        <f>IF(B241="","",COUNTIF($B$6:B241,B241))</f>
        <v/>
      </c>
      <c r="BI241" s="39">
        <f>IF(B241="","",SUMIFS($AU$6:AU241,$B$6:B241,B241)-N(AU241))</f>
        <v/>
      </c>
      <c r="BJ241" s="5">
        <f>IF(OR(B241="",E241=""),"",IF(AND(E241=0,I241="Sell",MAX(N(O241),N(AD241))&gt;ExpiryCutoff),"BREACH","OK"))</f>
        <v/>
      </c>
      <c r="BK241" s="5">
        <f>IF(B241="","",IF(OR(AC241&lt;&gt;"OK",BJ241="BREACH",BH241&gt;MaxTradesDay,BI241&lt;=-DailyLossLimit,OR(AF241="Panic",AF241="Revenge",AF241="Rule break")),"CHECK","OK"))</f>
        <v/>
      </c>
      <c r="BL241" s="39">
        <f>IF(AU241="","",SUM($AU$6:AU241))</f>
        <v/>
      </c>
      <c r="BM241" s="39">
        <f>IF(BL241="","",Capital+BL241)</f>
        <v/>
      </c>
      <c r="BN241" s="39">
        <f>IF(BM241="","",MAX(Capital,MAX($BM$6:BM241)))</f>
        <v/>
      </c>
      <c r="BO241" s="39">
        <f>IF(BM241="","",BN241-BM241)</f>
        <v/>
      </c>
      <c r="BP241" s="58">
        <f>IF(BO241="","",BO241/BN241)</f>
        <v/>
      </c>
      <c r="BQ241" s="28">
        <f>IF(AU241="","",IF(AU241&lt;0,N(BQ240)+1,0))</f>
        <v/>
      </c>
    </row>
    <row r="242">
      <c r="A242" s="28">
        <f>IF(B242="","",COUNT($B$6:B242))</f>
        <v/>
      </c>
      <c r="B242" s="27" t="n"/>
      <c r="C242" s="5">
        <f>IF(B242="","",TEXT(B242,"ddd"))</f>
        <v/>
      </c>
      <c r="D242" s="27" t="n"/>
      <c r="E242" s="28">
        <f>IF(OR(B242="",D242=""),"",MAX(0,NETWORKDAYS(B242,D242)-1))</f>
        <v/>
      </c>
      <c r="F242" s="37" t="n"/>
      <c r="G242" s="36" t="n"/>
      <c r="H242" s="37" t="n"/>
      <c r="I242" s="37" t="n"/>
      <c r="J242" s="37" t="n"/>
      <c r="K242" s="37" t="n"/>
      <c r="L242" s="36" t="n"/>
      <c r="M242" s="36" t="n"/>
      <c r="N242" s="33">
        <f>IF(M242="","",M242*LotSize)</f>
        <v/>
      </c>
      <c r="O242" s="51" t="n"/>
      <c r="P242" s="32" t="n"/>
      <c r="Q242" s="29" t="n"/>
      <c r="R242" s="30">
        <f>IF(OR(G242="",Q242="",H242=""),"",IF(H242="CE",G242-Q242,Q242-G242))</f>
        <v/>
      </c>
      <c r="S242" s="31">
        <f>IF(R242="","",R242/Q242)</f>
        <v/>
      </c>
      <c r="T242" s="38" t="n"/>
      <c r="U242" s="32" t="n"/>
      <c r="V242" s="52" t="n"/>
      <c r="W242" s="37" t="n"/>
      <c r="X242" s="32" t="n"/>
      <c r="Y242" s="32" t="n"/>
      <c r="Z242" s="39">
        <f>IF(OR(X242="",P242="",N242=""),"",ABS(X242-P242)*N242)</f>
        <v/>
      </c>
      <c r="AA242" s="53">
        <f>IF(OR(Z242="",Y242=""),"",IF(Z242=0,"",ABS(P242-Y242)*N242/Z242))</f>
        <v/>
      </c>
      <c r="AB242" s="54">
        <f>IF(Z242="","",Z242/Capital)</f>
        <v/>
      </c>
      <c r="AC242" s="5">
        <f>IF(B242="","",IF(X242="","NO SL",IF(OR(N(M242)&gt;MaxLots,N(AB242)&gt;RiskPct),"OVERSIZED","OK")))</f>
        <v/>
      </c>
      <c r="AD242" s="51" t="n"/>
      <c r="AE242" s="32" t="n"/>
      <c r="AF242" s="37" t="n"/>
      <c r="AG242" s="32" t="n"/>
      <c r="AH242" s="32" t="n"/>
      <c r="AI242" s="39">
        <f>IF(OR(AG242="",P242="",N242=""),"",ABS(AG242-P242)*N242)</f>
        <v/>
      </c>
      <c r="AJ242" s="39">
        <f>IF(OR(AH242="",P242="",N242=""),"",ABS(P242-AH242)*N242)</f>
        <v/>
      </c>
      <c r="AK242" s="39">
        <f>IF(OR(AE242="",P242="",N242=""),"",IF(I242="Buy",AE242-P242,P242-AE242)*N242)</f>
        <v/>
      </c>
      <c r="AL242" s="39">
        <f>IF(OR(AJ242="",AK242=""),"",MAX(0,AJ242-AK242))</f>
        <v/>
      </c>
      <c r="AM242" s="39">
        <f>IF(AK242="","",(P242+AE242)*N242)</f>
        <v/>
      </c>
      <c r="AN242" s="55">
        <f>IF(AK242="","",BrokeragePerOrder*2*MAX(1,N(L242)))</f>
        <v/>
      </c>
      <c r="AO242" s="55">
        <f>IF(AK242="","",STTRate*IF(I242="Buy",AE242,P242)*N242)</f>
        <v/>
      </c>
      <c r="AP242" s="55">
        <f>IF(AK242="","",ExchRate*AM242)</f>
        <v/>
      </c>
      <c r="AQ242" s="55">
        <f>IF(AK242="","",SEBIRate*AM242)</f>
        <v/>
      </c>
      <c r="AR242" s="55">
        <f>IF(AK242="","",StampRate*IF(I242="Buy",P242,AE242)*N242)</f>
        <v/>
      </c>
      <c r="AS242" s="55">
        <f>IF(AK242="","",GSTRate*(AN242+AP242+AQ242))</f>
        <v/>
      </c>
      <c r="AT242" s="55">
        <f>IF(AK242="","",AN242+AO242+AP242+AQ242+AR242+AS242)</f>
        <v/>
      </c>
      <c r="AU242" s="39">
        <f>IF(AK242="","",AK242-AT242)</f>
        <v/>
      </c>
      <c r="AV242" s="56">
        <f>IF(AU242="","",AU242/IF(N(Z242)&gt;0,Z242,RiskPerTrade))</f>
        <v/>
      </c>
      <c r="AW242" s="31">
        <f>IF(AU242="","",AU242/Capital)</f>
        <v/>
      </c>
      <c r="AX242" s="37" t="n"/>
      <c r="AY242" s="37" t="n"/>
      <c r="AZ242" s="37" t="n"/>
      <c r="BA242" s="37" t="n"/>
      <c r="BB242" s="37" t="n"/>
      <c r="BC242" s="37" t="n"/>
      <c r="BD242" s="37" t="n"/>
      <c r="BE242" s="5">
        <f>IF(AU242="","",IF(AU242&gt;0,"Win",IF(AU242&lt;0,"Loss","BE")))</f>
        <v/>
      </c>
      <c r="BF242" s="5">
        <f>IF(O242="","",LOOKUP(O242,List_BucketStart,List_BucketLabel))</f>
        <v/>
      </c>
      <c r="BG242" s="57">
        <f>IF(B242="","",B242-WEEKDAY(B242,3))</f>
        <v/>
      </c>
      <c r="BH242" s="28">
        <f>IF(B242="","",COUNTIF($B$6:B242,B242))</f>
        <v/>
      </c>
      <c r="BI242" s="39">
        <f>IF(B242="","",SUMIFS($AU$6:AU242,$B$6:B242,B242)-N(AU242))</f>
        <v/>
      </c>
      <c r="BJ242" s="5">
        <f>IF(OR(B242="",E242=""),"",IF(AND(E242=0,I242="Sell",MAX(N(O242),N(AD242))&gt;ExpiryCutoff),"BREACH","OK"))</f>
        <v/>
      </c>
      <c r="BK242" s="5">
        <f>IF(B242="","",IF(OR(AC242&lt;&gt;"OK",BJ242="BREACH",BH242&gt;MaxTradesDay,BI242&lt;=-DailyLossLimit,OR(AF242="Panic",AF242="Revenge",AF242="Rule break")),"CHECK","OK"))</f>
        <v/>
      </c>
      <c r="BL242" s="39">
        <f>IF(AU242="","",SUM($AU$6:AU242))</f>
        <v/>
      </c>
      <c r="BM242" s="39">
        <f>IF(BL242="","",Capital+BL242)</f>
        <v/>
      </c>
      <c r="BN242" s="39">
        <f>IF(BM242="","",MAX(Capital,MAX($BM$6:BM242)))</f>
        <v/>
      </c>
      <c r="BO242" s="39">
        <f>IF(BM242="","",BN242-BM242)</f>
        <v/>
      </c>
      <c r="BP242" s="58">
        <f>IF(BO242="","",BO242/BN242)</f>
        <v/>
      </c>
      <c r="BQ242" s="28">
        <f>IF(AU242="","",IF(AU242&lt;0,N(BQ241)+1,0))</f>
        <v/>
      </c>
    </row>
    <row r="243">
      <c r="A243" s="28">
        <f>IF(B243="","",COUNT($B$6:B243))</f>
        <v/>
      </c>
      <c r="B243" s="27" t="n"/>
      <c r="C243" s="5">
        <f>IF(B243="","",TEXT(B243,"ddd"))</f>
        <v/>
      </c>
      <c r="D243" s="27" t="n"/>
      <c r="E243" s="28">
        <f>IF(OR(B243="",D243=""),"",MAX(0,NETWORKDAYS(B243,D243)-1))</f>
        <v/>
      </c>
      <c r="F243" s="37" t="n"/>
      <c r="G243" s="36" t="n"/>
      <c r="H243" s="37" t="n"/>
      <c r="I243" s="37" t="n"/>
      <c r="J243" s="37" t="n"/>
      <c r="K243" s="37" t="n"/>
      <c r="L243" s="36" t="n"/>
      <c r="M243" s="36" t="n"/>
      <c r="N243" s="33">
        <f>IF(M243="","",M243*LotSize)</f>
        <v/>
      </c>
      <c r="O243" s="51" t="n"/>
      <c r="P243" s="32" t="n"/>
      <c r="Q243" s="29" t="n"/>
      <c r="R243" s="30">
        <f>IF(OR(G243="",Q243="",H243=""),"",IF(H243="CE",G243-Q243,Q243-G243))</f>
        <v/>
      </c>
      <c r="S243" s="31">
        <f>IF(R243="","",R243/Q243)</f>
        <v/>
      </c>
      <c r="T243" s="38" t="n"/>
      <c r="U243" s="32" t="n"/>
      <c r="V243" s="52" t="n"/>
      <c r="W243" s="37" t="n"/>
      <c r="X243" s="32" t="n"/>
      <c r="Y243" s="32" t="n"/>
      <c r="Z243" s="39">
        <f>IF(OR(X243="",P243="",N243=""),"",ABS(X243-P243)*N243)</f>
        <v/>
      </c>
      <c r="AA243" s="53">
        <f>IF(OR(Z243="",Y243=""),"",IF(Z243=0,"",ABS(P243-Y243)*N243/Z243))</f>
        <v/>
      </c>
      <c r="AB243" s="54">
        <f>IF(Z243="","",Z243/Capital)</f>
        <v/>
      </c>
      <c r="AC243" s="5">
        <f>IF(B243="","",IF(X243="","NO SL",IF(OR(N(M243)&gt;MaxLots,N(AB243)&gt;RiskPct),"OVERSIZED","OK")))</f>
        <v/>
      </c>
      <c r="AD243" s="51" t="n"/>
      <c r="AE243" s="32" t="n"/>
      <c r="AF243" s="37" t="n"/>
      <c r="AG243" s="32" t="n"/>
      <c r="AH243" s="32" t="n"/>
      <c r="AI243" s="39">
        <f>IF(OR(AG243="",P243="",N243=""),"",ABS(AG243-P243)*N243)</f>
        <v/>
      </c>
      <c r="AJ243" s="39">
        <f>IF(OR(AH243="",P243="",N243=""),"",ABS(P243-AH243)*N243)</f>
        <v/>
      </c>
      <c r="AK243" s="39">
        <f>IF(OR(AE243="",P243="",N243=""),"",IF(I243="Buy",AE243-P243,P243-AE243)*N243)</f>
        <v/>
      </c>
      <c r="AL243" s="39">
        <f>IF(OR(AJ243="",AK243=""),"",MAX(0,AJ243-AK243))</f>
        <v/>
      </c>
      <c r="AM243" s="39">
        <f>IF(AK243="","",(P243+AE243)*N243)</f>
        <v/>
      </c>
      <c r="AN243" s="55">
        <f>IF(AK243="","",BrokeragePerOrder*2*MAX(1,N(L243)))</f>
        <v/>
      </c>
      <c r="AO243" s="55">
        <f>IF(AK243="","",STTRate*IF(I243="Buy",AE243,P243)*N243)</f>
        <v/>
      </c>
      <c r="AP243" s="55">
        <f>IF(AK243="","",ExchRate*AM243)</f>
        <v/>
      </c>
      <c r="AQ243" s="55">
        <f>IF(AK243="","",SEBIRate*AM243)</f>
        <v/>
      </c>
      <c r="AR243" s="55">
        <f>IF(AK243="","",StampRate*IF(I243="Buy",P243,AE243)*N243)</f>
        <v/>
      </c>
      <c r="AS243" s="55">
        <f>IF(AK243="","",GSTRate*(AN243+AP243+AQ243))</f>
        <v/>
      </c>
      <c r="AT243" s="55">
        <f>IF(AK243="","",AN243+AO243+AP243+AQ243+AR243+AS243)</f>
        <v/>
      </c>
      <c r="AU243" s="39">
        <f>IF(AK243="","",AK243-AT243)</f>
        <v/>
      </c>
      <c r="AV243" s="56">
        <f>IF(AU243="","",AU243/IF(N(Z243)&gt;0,Z243,RiskPerTrade))</f>
        <v/>
      </c>
      <c r="AW243" s="31">
        <f>IF(AU243="","",AU243/Capital)</f>
        <v/>
      </c>
      <c r="AX243" s="37" t="n"/>
      <c r="AY243" s="37" t="n"/>
      <c r="AZ243" s="37" t="n"/>
      <c r="BA243" s="37" t="n"/>
      <c r="BB243" s="37" t="n"/>
      <c r="BC243" s="37" t="n"/>
      <c r="BD243" s="37" t="n"/>
      <c r="BE243" s="5">
        <f>IF(AU243="","",IF(AU243&gt;0,"Win",IF(AU243&lt;0,"Loss","BE")))</f>
        <v/>
      </c>
      <c r="BF243" s="5">
        <f>IF(O243="","",LOOKUP(O243,List_BucketStart,List_BucketLabel))</f>
        <v/>
      </c>
      <c r="BG243" s="57">
        <f>IF(B243="","",B243-WEEKDAY(B243,3))</f>
        <v/>
      </c>
      <c r="BH243" s="28">
        <f>IF(B243="","",COUNTIF($B$6:B243,B243))</f>
        <v/>
      </c>
      <c r="BI243" s="39">
        <f>IF(B243="","",SUMIFS($AU$6:AU243,$B$6:B243,B243)-N(AU243))</f>
        <v/>
      </c>
      <c r="BJ243" s="5">
        <f>IF(OR(B243="",E243=""),"",IF(AND(E243=0,I243="Sell",MAX(N(O243),N(AD243))&gt;ExpiryCutoff),"BREACH","OK"))</f>
        <v/>
      </c>
      <c r="BK243" s="5">
        <f>IF(B243="","",IF(OR(AC243&lt;&gt;"OK",BJ243="BREACH",BH243&gt;MaxTradesDay,BI243&lt;=-DailyLossLimit,OR(AF243="Panic",AF243="Revenge",AF243="Rule break")),"CHECK","OK"))</f>
        <v/>
      </c>
      <c r="BL243" s="39">
        <f>IF(AU243="","",SUM($AU$6:AU243))</f>
        <v/>
      </c>
      <c r="BM243" s="39">
        <f>IF(BL243="","",Capital+BL243)</f>
        <v/>
      </c>
      <c r="BN243" s="39">
        <f>IF(BM243="","",MAX(Capital,MAX($BM$6:BM243)))</f>
        <v/>
      </c>
      <c r="BO243" s="39">
        <f>IF(BM243="","",BN243-BM243)</f>
        <v/>
      </c>
      <c r="BP243" s="58">
        <f>IF(BO243="","",BO243/BN243)</f>
        <v/>
      </c>
      <c r="BQ243" s="28">
        <f>IF(AU243="","",IF(AU243&lt;0,N(BQ242)+1,0))</f>
        <v/>
      </c>
    </row>
    <row r="244">
      <c r="A244" s="28">
        <f>IF(B244="","",COUNT($B$6:B244))</f>
        <v/>
      </c>
      <c r="B244" s="27" t="n"/>
      <c r="C244" s="5">
        <f>IF(B244="","",TEXT(B244,"ddd"))</f>
        <v/>
      </c>
      <c r="D244" s="27" t="n"/>
      <c r="E244" s="28">
        <f>IF(OR(B244="",D244=""),"",MAX(0,NETWORKDAYS(B244,D244)-1))</f>
        <v/>
      </c>
      <c r="F244" s="37" t="n"/>
      <c r="G244" s="36" t="n"/>
      <c r="H244" s="37" t="n"/>
      <c r="I244" s="37" t="n"/>
      <c r="J244" s="37" t="n"/>
      <c r="K244" s="37" t="n"/>
      <c r="L244" s="36" t="n"/>
      <c r="M244" s="36" t="n"/>
      <c r="N244" s="33">
        <f>IF(M244="","",M244*LotSize)</f>
        <v/>
      </c>
      <c r="O244" s="51" t="n"/>
      <c r="P244" s="32" t="n"/>
      <c r="Q244" s="29" t="n"/>
      <c r="R244" s="30">
        <f>IF(OR(G244="",Q244="",H244=""),"",IF(H244="CE",G244-Q244,Q244-G244))</f>
        <v/>
      </c>
      <c r="S244" s="31">
        <f>IF(R244="","",R244/Q244)</f>
        <v/>
      </c>
      <c r="T244" s="38" t="n"/>
      <c r="U244" s="32" t="n"/>
      <c r="V244" s="52" t="n"/>
      <c r="W244" s="37" t="n"/>
      <c r="X244" s="32" t="n"/>
      <c r="Y244" s="32" t="n"/>
      <c r="Z244" s="39">
        <f>IF(OR(X244="",P244="",N244=""),"",ABS(X244-P244)*N244)</f>
        <v/>
      </c>
      <c r="AA244" s="53">
        <f>IF(OR(Z244="",Y244=""),"",IF(Z244=0,"",ABS(P244-Y244)*N244/Z244))</f>
        <v/>
      </c>
      <c r="AB244" s="54">
        <f>IF(Z244="","",Z244/Capital)</f>
        <v/>
      </c>
      <c r="AC244" s="5">
        <f>IF(B244="","",IF(X244="","NO SL",IF(OR(N(M244)&gt;MaxLots,N(AB244)&gt;RiskPct),"OVERSIZED","OK")))</f>
        <v/>
      </c>
      <c r="AD244" s="51" t="n"/>
      <c r="AE244" s="32" t="n"/>
      <c r="AF244" s="37" t="n"/>
      <c r="AG244" s="32" t="n"/>
      <c r="AH244" s="32" t="n"/>
      <c r="AI244" s="39">
        <f>IF(OR(AG244="",P244="",N244=""),"",ABS(AG244-P244)*N244)</f>
        <v/>
      </c>
      <c r="AJ244" s="39">
        <f>IF(OR(AH244="",P244="",N244=""),"",ABS(P244-AH244)*N244)</f>
        <v/>
      </c>
      <c r="AK244" s="39">
        <f>IF(OR(AE244="",P244="",N244=""),"",IF(I244="Buy",AE244-P244,P244-AE244)*N244)</f>
        <v/>
      </c>
      <c r="AL244" s="39">
        <f>IF(OR(AJ244="",AK244=""),"",MAX(0,AJ244-AK244))</f>
        <v/>
      </c>
      <c r="AM244" s="39">
        <f>IF(AK244="","",(P244+AE244)*N244)</f>
        <v/>
      </c>
      <c r="AN244" s="55">
        <f>IF(AK244="","",BrokeragePerOrder*2*MAX(1,N(L244)))</f>
        <v/>
      </c>
      <c r="AO244" s="55">
        <f>IF(AK244="","",STTRate*IF(I244="Buy",AE244,P244)*N244)</f>
        <v/>
      </c>
      <c r="AP244" s="55">
        <f>IF(AK244="","",ExchRate*AM244)</f>
        <v/>
      </c>
      <c r="AQ244" s="55">
        <f>IF(AK244="","",SEBIRate*AM244)</f>
        <v/>
      </c>
      <c r="AR244" s="55">
        <f>IF(AK244="","",StampRate*IF(I244="Buy",P244,AE244)*N244)</f>
        <v/>
      </c>
      <c r="AS244" s="55">
        <f>IF(AK244="","",GSTRate*(AN244+AP244+AQ244))</f>
        <v/>
      </c>
      <c r="AT244" s="55">
        <f>IF(AK244="","",AN244+AO244+AP244+AQ244+AR244+AS244)</f>
        <v/>
      </c>
      <c r="AU244" s="39">
        <f>IF(AK244="","",AK244-AT244)</f>
        <v/>
      </c>
      <c r="AV244" s="56">
        <f>IF(AU244="","",AU244/IF(N(Z244)&gt;0,Z244,RiskPerTrade))</f>
        <v/>
      </c>
      <c r="AW244" s="31">
        <f>IF(AU244="","",AU244/Capital)</f>
        <v/>
      </c>
      <c r="AX244" s="37" t="n"/>
      <c r="AY244" s="37" t="n"/>
      <c r="AZ244" s="37" t="n"/>
      <c r="BA244" s="37" t="n"/>
      <c r="BB244" s="37" t="n"/>
      <c r="BC244" s="37" t="n"/>
      <c r="BD244" s="37" t="n"/>
      <c r="BE244" s="5">
        <f>IF(AU244="","",IF(AU244&gt;0,"Win",IF(AU244&lt;0,"Loss","BE")))</f>
        <v/>
      </c>
      <c r="BF244" s="5">
        <f>IF(O244="","",LOOKUP(O244,List_BucketStart,List_BucketLabel))</f>
        <v/>
      </c>
      <c r="BG244" s="57">
        <f>IF(B244="","",B244-WEEKDAY(B244,3))</f>
        <v/>
      </c>
      <c r="BH244" s="28">
        <f>IF(B244="","",COUNTIF($B$6:B244,B244))</f>
        <v/>
      </c>
      <c r="BI244" s="39">
        <f>IF(B244="","",SUMIFS($AU$6:AU244,$B$6:B244,B244)-N(AU244))</f>
        <v/>
      </c>
      <c r="BJ244" s="5">
        <f>IF(OR(B244="",E244=""),"",IF(AND(E244=0,I244="Sell",MAX(N(O244),N(AD244))&gt;ExpiryCutoff),"BREACH","OK"))</f>
        <v/>
      </c>
      <c r="BK244" s="5">
        <f>IF(B244="","",IF(OR(AC244&lt;&gt;"OK",BJ244="BREACH",BH244&gt;MaxTradesDay,BI244&lt;=-DailyLossLimit,OR(AF244="Panic",AF244="Revenge",AF244="Rule break")),"CHECK","OK"))</f>
        <v/>
      </c>
      <c r="BL244" s="39">
        <f>IF(AU244="","",SUM($AU$6:AU244))</f>
        <v/>
      </c>
      <c r="BM244" s="39">
        <f>IF(BL244="","",Capital+BL244)</f>
        <v/>
      </c>
      <c r="BN244" s="39">
        <f>IF(BM244="","",MAX(Capital,MAX($BM$6:BM244)))</f>
        <v/>
      </c>
      <c r="BO244" s="39">
        <f>IF(BM244="","",BN244-BM244)</f>
        <v/>
      </c>
      <c r="BP244" s="58">
        <f>IF(BO244="","",BO244/BN244)</f>
        <v/>
      </c>
      <c r="BQ244" s="28">
        <f>IF(AU244="","",IF(AU244&lt;0,N(BQ243)+1,0))</f>
        <v/>
      </c>
    </row>
    <row r="245">
      <c r="A245" s="28">
        <f>IF(B245="","",COUNT($B$6:B245))</f>
        <v/>
      </c>
      <c r="B245" s="27" t="n"/>
      <c r="C245" s="5">
        <f>IF(B245="","",TEXT(B245,"ddd"))</f>
        <v/>
      </c>
      <c r="D245" s="27" t="n"/>
      <c r="E245" s="28">
        <f>IF(OR(B245="",D245=""),"",MAX(0,NETWORKDAYS(B245,D245)-1))</f>
        <v/>
      </c>
      <c r="F245" s="37" t="n"/>
      <c r="G245" s="36" t="n"/>
      <c r="H245" s="37" t="n"/>
      <c r="I245" s="37" t="n"/>
      <c r="J245" s="37" t="n"/>
      <c r="K245" s="37" t="n"/>
      <c r="L245" s="36" t="n"/>
      <c r="M245" s="36" t="n"/>
      <c r="N245" s="33">
        <f>IF(M245="","",M245*LotSize)</f>
        <v/>
      </c>
      <c r="O245" s="51" t="n"/>
      <c r="P245" s="32" t="n"/>
      <c r="Q245" s="29" t="n"/>
      <c r="R245" s="30">
        <f>IF(OR(G245="",Q245="",H245=""),"",IF(H245="CE",G245-Q245,Q245-G245))</f>
        <v/>
      </c>
      <c r="S245" s="31">
        <f>IF(R245="","",R245/Q245)</f>
        <v/>
      </c>
      <c r="T245" s="38" t="n"/>
      <c r="U245" s="32" t="n"/>
      <c r="V245" s="52" t="n"/>
      <c r="W245" s="37" t="n"/>
      <c r="X245" s="32" t="n"/>
      <c r="Y245" s="32" t="n"/>
      <c r="Z245" s="39">
        <f>IF(OR(X245="",P245="",N245=""),"",ABS(X245-P245)*N245)</f>
        <v/>
      </c>
      <c r="AA245" s="53">
        <f>IF(OR(Z245="",Y245=""),"",IF(Z245=0,"",ABS(P245-Y245)*N245/Z245))</f>
        <v/>
      </c>
      <c r="AB245" s="54">
        <f>IF(Z245="","",Z245/Capital)</f>
        <v/>
      </c>
      <c r="AC245" s="5">
        <f>IF(B245="","",IF(X245="","NO SL",IF(OR(N(M245)&gt;MaxLots,N(AB245)&gt;RiskPct),"OVERSIZED","OK")))</f>
        <v/>
      </c>
      <c r="AD245" s="51" t="n"/>
      <c r="AE245" s="32" t="n"/>
      <c r="AF245" s="37" t="n"/>
      <c r="AG245" s="32" t="n"/>
      <c r="AH245" s="32" t="n"/>
      <c r="AI245" s="39">
        <f>IF(OR(AG245="",P245="",N245=""),"",ABS(AG245-P245)*N245)</f>
        <v/>
      </c>
      <c r="AJ245" s="39">
        <f>IF(OR(AH245="",P245="",N245=""),"",ABS(P245-AH245)*N245)</f>
        <v/>
      </c>
      <c r="AK245" s="39">
        <f>IF(OR(AE245="",P245="",N245=""),"",IF(I245="Buy",AE245-P245,P245-AE245)*N245)</f>
        <v/>
      </c>
      <c r="AL245" s="39">
        <f>IF(OR(AJ245="",AK245=""),"",MAX(0,AJ245-AK245))</f>
        <v/>
      </c>
      <c r="AM245" s="39">
        <f>IF(AK245="","",(P245+AE245)*N245)</f>
        <v/>
      </c>
      <c r="AN245" s="55">
        <f>IF(AK245="","",BrokeragePerOrder*2*MAX(1,N(L245)))</f>
        <v/>
      </c>
      <c r="AO245" s="55">
        <f>IF(AK245="","",STTRate*IF(I245="Buy",AE245,P245)*N245)</f>
        <v/>
      </c>
      <c r="AP245" s="55">
        <f>IF(AK245="","",ExchRate*AM245)</f>
        <v/>
      </c>
      <c r="AQ245" s="55">
        <f>IF(AK245="","",SEBIRate*AM245)</f>
        <v/>
      </c>
      <c r="AR245" s="55">
        <f>IF(AK245="","",StampRate*IF(I245="Buy",P245,AE245)*N245)</f>
        <v/>
      </c>
      <c r="AS245" s="55">
        <f>IF(AK245="","",GSTRate*(AN245+AP245+AQ245))</f>
        <v/>
      </c>
      <c r="AT245" s="55">
        <f>IF(AK245="","",AN245+AO245+AP245+AQ245+AR245+AS245)</f>
        <v/>
      </c>
      <c r="AU245" s="39">
        <f>IF(AK245="","",AK245-AT245)</f>
        <v/>
      </c>
      <c r="AV245" s="56">
        <f>IF(AU245="","",AU245/IF(N(Z245)&gt;0,Z245,RiskPerTrade))</f>
        <v/>
      </c>
      <c r="AW245" s="31">
        <f>IF(AU245="","",AU245/Capital)</f>
        <v/>
      </c>
      <c r="AX245" s="37" t="n"/>
      <c r="AY245" s="37" t="n"/>
      <c r="AZ245" s="37" t="n"/>
      <c r="BA245" s="37" t="n"/>
      <c r="BB245" s="37" t="n"/>
      <c r="BC245" s="37" t="n"/>
      <c r="BD245" s="37" t="n"/>
      <c r="BE245" s="5">
        <f>IF(AU245="","",IF(AU245&gt;0,"Win",IF(AU245&lt;0,"Loss","BE")))</f>
        <v/>
      </c>
      <c r="BF245" s="5">
        <f>IF(O245="","",LOOKUP(O245,List_BucketStart,List_BucketLabel))</f>
        <v/>
      </c>
      <c r="BG245" s="57">
        <f>IF(B245="","",B245-WEEKDAY(B245,3))</f>
        <v/>
      </c>
      <c r="BH245" s="28">
        <f>IF(B245="","",COUNTIF($B$6:B245,B245))</f>
        <v/>
      </c>
      <c r="BI245" s="39">
        <f>IF(B245="","",SUMIFS($AU$6:AU245,$B$6:B245,B245)-N(AU245))</f>
        <v/>
      </c>
      <c r="BJ245" s="5">
        <f>IF(OR(B245="",E245=""),"",IF(AND(E245=0,I245="Sell",MAX(N(O245),N(AD245))&gt;ExpiryCutoff),"BREACH","OK"))</f>
        <v/>
      </c>
      <c r="BK245" s="5">
        <f>IF(B245="","",IF(OR(AC245&lt;&gt;"OK",BJ245="BREACH",BH245&gt;MaxTradesDay,BI245&lt;=-DailyLossLimit,OR(AF245="Panic",AF245="Revenge",AF245="Rule break")),"CHECK","OK"))</f>
        <v/>
      </c>
      <c r="BL245" s="39">
        <f>IF(AU245="","",SUM($AU$6:AU245))</f>
        <v/>
      </c>
      <c r="BM245" s="39">
        <f>IF(BL245="","",Capital+BL245)</f>
        <v/>
      </c>
      <c r="BN245" s="39">
        <f>IF(BM245="","",MAX(Capital,MAX($BM$6:BM245)))</f>
        <v/>
      </c>
      <c r="BO245" s="39">
        <f>IF(BM245="","",BN245-BM245)</f>
        <v/>
      </c>
      <c r="BP245" s="58">
        <f>IF(BO245="","",BO245/BN245)</f>
        <v/>
      </c>
      <c r="BQ245" s="28">
        <f>IF(AU245="","",IF(AU245&lt;0,N(BQ244)+1,0))</f>
        <v/>
      </c>
    </row>
    <row r="246">
      <c r="A246" s="28">
        <f>IF(B246="","",COUNT($B$6:B246))</f>
        <v/>
      </c>
      <c r="B246" s="27" t="n"/>
      <c r="C246" s="5">
        <f>IF(B246="","",TEXT(B246,"ddd"))</f>
        <v/>
      </c>
      <c r="D246" s="27" t="n"/>
      <c r="E246" s="28">
        <f>IF(OR(B246="",D246=""),"",MAX(0,NETWORKDAYS(B246,D246)-1))</f>
        <v/>
      </c>
      <c r="F246" s="37" t="n"/>
      <c r="G246" s="36" t="n"/>
      <c r="H246" s="37" t="n"/>
      <c r="I246" s="37" t="n"/>
      <c r="J246" s="37" t="n"/>
      <c r="K246" s="37" t="n"/>
      <c r="L246" s="36" t="n"/>
      <c r="M246" s="36" t="n"/>
      <c r="N246" s="33">
        <f>IF(M246="","",M246*LotSize)</f>
        <v/>
      </c>
      <c r="O246" s="51" t="n"/>
      <c r="P246" s="32" t="n"/>
      <c r="Q246" s="29" t="n"/>
      <c r="R246" s="30">
        <f>IF(OR(G246="",Q246="",H246=""),"",IF(H246="CE",G246-Q246,Q246-G246))</f>
        <v/>
      </c>
      <c r="S246" s="31">
        <f>IF(R246="","",R246/Q246)</f>
        <v/>
      </c>
      <c r="T246" s="38" t="n"/>
      <c r="U246" s="32" t="n"/>
      <c r="V246" s="52" t="n"/>
      <c r="W246" s="37" t="n"/>
      <c r="X246" s="32" t="n"/>
      <c r="Y246" s="32" t="n"/>
      <c r="Z246" s="39">
        <f>IF(OR(X246="",P246="",N246=""),"",ABS(X246-P246)*N246)</f>
        <v/>
      </c>
      <c r="AA246" s="53">
        <f>IF(OR(Z246="",Y246=""),"",IF(Z246=0,"",ABS(P246-Y246)*N246/Z246))</f>
        <v/>
      </c>
      <c r="AB246" s="54">
        <f>IF(Z246="","",Z246/Capital)</f>
        <v/>
      </c>
      <c r="AC246" s="5">
        <f>IF(B246="","",IF(X246="","NO SL",IF(OR(N(M246)&gt;MaxLots,N(AB246)&gt;RiskPct),"OVERSIZED","OK")))</f>
        <v/>
      </c>
      <c r="AD246" s="51" t="n"/>
      <c r="AE246" s="32" t="n"/>
      <c r="AF246" s="37" t="n"/>
      <c r="AG246" s="32" t="n"/>
      <c r="AH246" s="32" t="n"/>
      <c r="AI246" s="39">
        <f>IF(OR(AG246="",P246="",N246=""),"",ABS(AG246-P246)*N246)</f>
        <v/>
      </c>
      <c r="AJ246" s="39">
        <f>IF(OR(AH246="",P246="",N246=""),"",ABS(P246-AH246)*N246)</f>
        <v/>
      </c>
      <c r="AK246" s="39">
        <f>IF(OR(AE246="",P246="",N246=""),"",IF(I246="Buy",AE246-P246,P246-AE246)*N246)</f>
        <v/>
      </c>
      <c r="AL246" s="39">
        <f>IF(OR(AJ246="",AK246=""),"",MAX(0,AJ246-AK246))</f>
        <v/>
      </c>
      <c r="AM246" s="39">
        <f>IF(AK246="","",(P246+AE246)*N246)</f>
        <v/>
      </c>
      <c r="AN246" s="55">
        <f>IF(AK246="","",BrokeragePerOrder*2*MAX(1,N(L246)))</f>
        <v/>
      </c>
      <c r="AO246" s="55">
        <f>IF(AK246="","",STTRate*IF(I246="Buy",AE246,P246)*N246)</f>
        <v/>
      </c>
      <c r="AP246" s="55">
        <f>IF(AK246="","",ExchRate*AM246)</f>
        <v/>
      </c>
      <c r="AQ246" s="55">
        <f>IF(AK246="","",SEBIRate*AM246)</f>
        <v/>
      </c>
      <c r="AR246" s="55">
        <f>IF(AK246="","",StampRate*IF(I246="Buy",P246,AE246)*N246)</f>
        <v/>
      </c>
      <c r="AS246" s="55">
        <f>IF(AK246="","",GSTRate*(AN246+AP246+AQ246))</f>
        <v/>
      </c>
      <c r="AT246" s="55">
        <f>IF(AK246="","",AN246+AO246+AP246+AQ246+AR246+AS246)</f>
        <v/>
      </c>
      <c r="AU246" s="39">
        <f>IF(AK246="","",AK246-AT246)</f>
        <v/>
      </c>
      <c r="AV246" s="56">
        <f>IF(AU246="","",AU246/IF(N(Z246)&gt;0,Z246,RiskPerTrade))</f>
        <v/>
      </c>
      <c r="AW246" s="31">
        <f>IF(AU246="","",AU246/Capital)</f>
        <v/>
      </c>
      <c r="AX246" s="37" t="n"/>
      <c r="AY246" s="37" t="n"/>
      <c r="AZ246" s="37" t="n"/>
      <c r="BA246" s="37" t="n"/>
      <c r="BB246" s="37" t="n"/>
      <c r="BC246" s="37" t="n"/>
      <c r="BD246" s="37" t="n"/>
      <c r="BE246" s="5">
        <f>IF(AU246="","",IF(AU246&gt;0,"Win",IF(AU246&lt;0,"Loss","BE")))</f>
        <v/>
      </c>
      <c r="BF246" s="5">
        <f>IF(O246="","",LOOKUP(O246,List_BucketStart,List_BucketLabel))</f>
        <v/>
      </c>
      <c r="BG246" s="57">
        <f>IF(B246="","",B246-WEEKDAY(B246,3))</f>
        <v/>
      </c>
      <c r="BH246" s="28">
        <f>IF(B246="","",COUNTIF($B$6:B246,B246))</f>
        <v/>
      </c>
      <c r="BI246" s="39">
        <f>IF(B246="","",SUMIFS($AU$6:AU246,$B$6:B246,B246)-N(AU246))</f>
        <v/>
      </c>
      <c r="BJ246" s="5">
        <f>IF(OR(B246="",E246=""),"",IF(AND(E246=0,I246="Sell",MAX(N(O246),N(AD246))&gt;ExpiryCutoff),"BREACH","OK"))</f>
        <v/>
      </c>
      <c r="BK246" s="5">
        <f>IF(B246="","",IF(OR(AC246&lt;&gt;"OK",BJ246="BREACH",BH246&gt;MaxTradesDay,BI246&lt;=-DailyLossLimit,OR(AF246="Panic",AF246="Revenge",AF246="Rule break")),"CHECK","OK"))</f>
        <v/>
      </c>
      <c r="BL246" s="39">
        <f>IF(AU246="","",SUM($AU$6:AU246))</f>
        <v/>
      </c>
      <c r="BM246" s="39">
        <f>IF(BL246="","",Capital+BL246)</f>
        <v/>
      </c>
      <c r="BN246" s="39">
        <f>IF(BM246="","",MAX(Capital,MAX($BM$6:BM246)))</f>
        <v/>
      </c>
      <c r="BO246" s="39">
        <f>IF(BM246="","",BN246-BM246)</f>
        <v/>
      </c>
      <c r="BP246" s="58">
        <f>IF(BO246="","",BO246/BN246)</f>
        <v/>
      </c>
      <c r="BQ246" s="28">
        <f>IF(AU246="","",IF(AU246&lt;0,N(BQ245)+1,0))</f>
        <v/>
      </c>
    </row>
    <row r="247">
      <c r="A247" s="28">
        <f>IF(B247="","",COUNT($B$6:B247))</f>
        <v/>
      </c>
      <c r="B247" s="27" t="n"/>
      <c r="C247" s="5">
        <f>IF(B247="","",TEXT(B247,"ddd"))</f>
        <v/>
      </c>
      <c r="D247" s="27" t="n"/>
      <c r="E247" s="28">
        <f>IF(OR(B247="",D247=""),"",MAX(0,NETWORKDAYS(B247,D247)-1))</f>
        <v/>
      </c>
      <c r="F247" s="37" t="n"/>
      <c r="G247" s="36" t="n"/>
      <c r="H247" s="37" t="n"/>
      <c r="I247" s="37" t="n"/>
      <c r="J247" s="37" t="n"/>
      <c r="K247" s="37" t="n"/>
      <c r="L247" s="36" t="n"/>
      <c r="M247" s="36" t="n"/>
      <c r="N247" s="33">
        <f>IF(M247="","",M247*LotSize)</f>
        <v/>
      </c>
      <c r="O247" s="51" t="n"/>
      <c r="P247" s="32" t="n"/>
      <c r="Q247" s="29" t="n"/>
      <c r="R247" s="30">
        <f>IF(OR(G247="",Q247="",H247=""),"",IF(H247="CE",G247-Q247,Q247-G247))</f>
        <v/>
      </c>
      <c r="S247" s="31">
        <f>IF(R247="","",R247/Q247)</f>
        <v/>
      </c>
      <c r="T247" s="38" t="n"/>
      <c r="U247" s="32" t="n"/>
      <c r="V247" s="52" t="n"/>
      <c r="W247" s="37" t="n"/>
      <c r="X247" s="32" t="n"/>
      <c r="Y247" s="32" t="n"/>
      <c r="Z247" s="39">
        <f>IF(OR(X247="",P247="",N247=""),"",ABS(X247-P247)*N247)</f>
        <v/>
      </c>
      <c r="AA247" s="53">
        <f>IF(OR(Z247="",Y247=""),"",IF(Z247=0,"",ABS(P247-Y247)*N247/Z247))</f>
        <v/>
      </c>
      <c r="AB247" s="54">
        <f>IF(Z247="","",Z247/Capital)</f>
        <v/>
      </c>
      <c r="AC247" s="5">
        <f>IF(B247="","",IF(X247="","NO SL",IF(OR(N(M247)&gt;MaxLots,N(AB247)&gt;RiskPct),"OVERSIZED","OK")))</f>
        <v/>
      </c>
      <c r="AD247" s="51" t="n"/>
      <c r="AE247" s="32" t="n"/>
      <c r="AF247" s="37" t="n"/>
      <c r="AG247" s="32" t="n"/>
      <c r="AH247" s="32" t="n"/>
      <c r="AI247" s="39">
        <f>IF(OR(AG247="",P247="",N247=""),"",ABS(AG247-P247)*N247)</f>
        <v/>
      </c>
      <c r="AJ247" s="39">
        <f>IF(OR(AH247="",P247="",N247=""),"",ABS(P247-AH247)*N247)</f>
        <v/>
      </c>
      <c r="AK247" s="39">
        <f>IF(OR(AE247="",P247="",N247=""),"",IF(I247="Buy",AE247-P247,P247-AE247)*N247)</f>
        <v/>
      </c>
      <c r="AL247" s="39">
        <f>IF(OR(AJ247="",AK247=""),"",MAX(0,AJ247-AK247))</f>
        <v/>
      </c>
      <c r="AM247" s="39">
        <f>IF(AK247="","",(P247+AE247)*N247)</f>
        <v/>
      </c>
      <c r="AN247" s="55">
        <f>IF(AK247="","",BrokeragePerOrder*2*MAX(1,N(L247)))</f>
        <v/>
      </c>
      <c r="AO247" s="55">
        <f>IF(AK247="","",STTRate*IF(I247="Buy",AE247,P247)*N247)</f>
        <v/>
      </c>
      <c r="AP247" s="55">
        <f>IF(AK247="","",ExchRate*AM247)</f>
        <v/>
      </c>
      <c r="AQ247" s="55">
        <f>IF(AK247="","",SEBIRate*AM247)</f>
        <v/>
      </c>
      <c r="AR247" s="55">
        <f>IF(AK247="","",StampRate*IF(I247="Buy",P247,AE247)*N247)</f>
        <v/>
      </c>
      <c r="AS247" s="55">
        <f>IF(AK247="","",GSTRate*(AN247+AP247+AQ247))</f>
        <v/>
      </c>
      <c r="AT247" s="55">
        <f>IF(AK247="","",AN247+AO247+AP247+AQ247+AR247+AS247)</f>
        <v/>
      </c>
      <c r="AU247" s="39">
        <f>IF(AK247="","",AK247-AT247)</f>
        <v/>
      </c>
      <c r="AV247" s="56">
        <f>IF(AU247="","",AU247/IF(N(Z247)&gt;0,Z247,RiskPerTrade))</f>
        <v/>
      </c>
      <c r="AW247" s="31">
        <f>IF(AU247="","",AU247/Capital)</f>
        <v/>
      </c>
      <c r="AX247" s="37" t="n"/>
      <c r="AY247" s="37" t="n"/>
      <c r="AZ247" s="37" t="n"/>
      <c r="BA247" s="37" t="n"/>
      <c r="BB247" s="37" t="n"/>
      <c r="BC247" s="37" t="n"/>
      <c r="BD247" s="37" t="n"/>
      <c r="BE247" s="5">
        <f>IF(AU247="","",IF(AU247&gt;0,"Win",IF(AU247&lt;0,"Loss","BE")))</f>
        <v/>
      </c>
      <c r="BF247" s="5">
        <f>IF(O247="","",LOOKUP(O247,List_BucketStart,List_BucketLabel))</f>
        <v/>
      </c>
      <c r="BG247" s="57">
        <f>IF(B247="","",B247-WEEKDAY(B247,3))</f>
        <v/>
      </c>
      <c r="BH247" s="28">
        <f>IF(B247="","",COUNTIF($B$6:B247,B247))</f>
        <v/>
      </c>
      <c r="BI247" s="39">
        <f>IF(B247="","",SUMIFS($AU$6:AU247,$B$6:B247,B247)-N(AU247))</f>
        <v/>
      </c>
      <c r="BJ247" s="5">
        <f>IF(OR(B247="",E247=""),"",IF(AND(E247=0,I247="Sell",MAX(N(O247),N(AD247))&gt;ExpiryCutoff),"BREACH","OK"))</f>
        <v/>
      </c>
      <c r="BK247" s="5">
        <f>IF(B247="","",IF(OR(AC247&lt;&gt;"OK",BJ247="BREACH",BH247&gt;MaxTradesDay,BI247&lt;=-DailyLossLimit,OR(AF247="Panic",AF247="Revenge",AF247="Rule break")),"CHECK","OK"))</f>
        <v/>
      </c>
      <c r="BL247" s="39">
        <f>IF(AU247="","",SUM($AU$6:AU247))</f>
        <v/>
      </c>
      <c r="BM247" s="39">
        <f>IF(BL247="","",Capital+BL247)</f>
        <v/>
      </c>
      <c r="BN247" s="39">
        <f>IF(BM247="","",MAX(Capital,MAX($BM$6:BM247)))</f>
        <v/>
      </c>
      <c r="BO247" s="39">
        <f>IF(BM247="","",BN247-BM247)</f>
        <v/>
      </c>
      <c r="BP247" s="58">
        <f>IF(BO247="","",BO247/BN247)</f>
        <v/>
      </c>
      <c r="BQ247" s="28">
        <f>IF(AU247="","",IF(AU247&lt;0,N(BQ246)+1,0))</f>
        <v/>
      </c>
    </row>
    <row r="248">
      <c r="A248" s="28">
        <f>IF(B248="","",COUNT($B$6:B248))</f>
        <v/>
      </c>
      <c r="B248" s="27" t="n"/>
      <c r="C248" s="5">
        <f>IF(B248="","",TEXT(B248,"ddd"))</f>
        <v/>
      </c>
      <c r="D248" s="27" t="n"/>
      <c r="E248" s="28">
        <f>IF(OR(B248="",D248=""),"",MAX(0,NETWORKDAYS(B248,D248)-1))</f>
        <v/>
      </c>
      <c r="F248" s="37" t="n"/>
      <c r="G248" s="36" t="n"/>
      <c r="H248" s="37" t="n"/>
      <c r="I248" s="37" t="n"/>
      <c r="J248" s="37" t="n"/>
      <c r="K248" s="37" t="n"/>
      <c r="L248" s="36" t="n"/>
      <c r="M248" s="36" t="n"/>
      <c r="N248" s="33">
        <f>IF(M248="","",M248*LotSize)</f>
        <v/>
      </c>
      <c r="O248" s="51" t="n"/>
      <c r="P248" s="32" t="n"/>
      <c r="Q248" s="29" t="n"/>
      <c r="R248" s="30">
        <f>IF(OR(G248="",Q248="",H248=""),"",IF(H248="CE",G248-Q248,Q248-G248))</f>
        <v/>
      </c>
      <c r="S248" s="31">
        <f>IF(R248="","",R248/Q248)</f>
        <v/>
      </c>
      <c r="T248" s="38" t="n"/>
      <c r="U248" s="32" t="n"/>
      <c r="V248" s="52" t="n"/>
      <c r="W248" s="37" t="n"/>
      <c r="X248" s="32" t="n"/>
      <c r="Y248" s="32" t="n"/>
      <c r="Z248" s="39">
        <f>IF(OR(X248="",P248="",N248=""),"",ABS(X248-P248)*N248)</f>
        <v/>
      </c>
      <c r="AA248" s="53">
        <f>IF(OR(Z248="",Y248=""),"",IF(Z248=0,"",ABS(P248-Y248)*N248/Z248))</f>
        <v/>
      </c>
      <c r="AB248" s="54">
        <f>IF(Z248="","",Z248/Capital)</f>
        <v/>
      </c>
      <c r="AC248" s="5">
        <f>IF(B248="","",IF(X248="","NO SL",IF(OR(N(M248)&gt;MaxLots,N(AB248)&gt;RiskPct),"OVERSIZED","OK")))</f>
        <v/>
      </c>
      <c r="AD248" s="51" t="n"/>
      <c r="AE248" s="32" t="n"/>
      <c r="AF248" s="37" t="n"/>
      <c r="AG248" s="32" t="n"/>
      <c r="AH248" s="32" t="n"/>
      <c r="AI248" s="39">
        <f>IF(OR(AG248="",P248="",N248=""),"",ABS(AG248-P248)*N248)</f>
        <v/>
      </c>
      <c r="AJ248" s="39">
        <f>IF(OR(AH248="",P248="",N248=""),"",ABS(P248-AH248)*N248)</f>
        <v/>
      </c>
      <c r="AK248" s="39">
        <f>IF(OR(AE248="",P248="",N248=""),"",IF(I248="Buy",AE248-P248,P248-AE248)*N248)</f>
        <v/>
      </c>
      <c r="AL248" s="39">
        <f>IF(OR(AJ248="",AK248=""),"",MAX(0,AJ248-AK248))</f>
        <v/>
      </c>
      <c r="AM248" s="39">
        <f>IF(AK248="","",(P248+AE248)*N248)</f>
        <v/>
      </c>
      <c r="AN248" s="55">
        <f>IF(AK248="","",BrokeragePerOrder*2*MAX(1,N(L248)))</f>
        <v/>
      </c>
      <c r="AO248" s="55">
        <f>IF(AK248="","",STTRate*IF(I248="Buy",AE248,P248)*N248)</f>
        <v/>
      </c>
      <c r="AP248" s="55">
        <f>IF(AK248="","",ExchRate*AM248)</f>
        <v/>
      </c>
      <c r="AQ248" s="55">
        <f>IF(AK248="","",SEBIRate*AM248)</f>
        <v/>
      </c>
      <c r="AR248" s="55">
        <f>IF(AK248="","",StampRate*IF(I248="Buy",P248,AE248)*N248)</f>
        <v/>
      </c>
      <c r="AS248" s="55">
        <f>IF(AK248="","",GSTRate*(AN248+AP248+AQ248))</f>
        <v/>
      </c>
      <c r="AT248" s="55">
        <f>IF(AK248="","",AN248+AO248+AP248+AQ248+AR248+AS248)</f>
        <v/>
      </c>
      <c r="AU248" s="39">
        <f>IF(AK248="","",AK248-AT248)</f>
        <v/>
      </c>
      <c r="AV248" s="56">
        <f>IF(AU248="","",AU248/IF(N(Z248)&gt;0,Z248,RiskPerTrade))</f>
        <v/>
      </c>
      <c r="AW248" s="31">
        <f>IF(AU248="","",AU248/Capital)</f>
        <v/>
      </c>
      <c r="AX248" s="37" t="n"/>
      <c r="AY248" s="37" t="n"/>
      <c r="AZ248" s="37" t="n"/>
      <c r="BA248" s="37" t="n"/>
      <c r="BB248" s="37" t="n"/>
      <c r="BC248" s="37" t="n"/>
      <c r="BD248" s="37" t="n"/>
      <c r="BE248" s="5">
        <f>IF(AU248="","",IF(AU248&gt;0,"Win",IF(AU248&lt;0,"Loss","BE")))</f>
        <v/>
      </c>
      <c r="BF248" s="5">
        <f>IF(O248="","",LOOKUP(O248,List_BucketStart,List_BucketLabel))</f>
        <v/>
      </c>
      <c r="BG248" s="57">
        <f>IF(B248="","",B248-WEEKDAY(B248,3))</f>
        <v/>
      </c>
      <c r="BH248" s="28">
        <f>IF(B248="","",COUNTIF($B$6:B248,B248))</f>
        <v/>
      </c>
      <c r="BI248" s="39">
        <f>IF(B248="","",SUMIFS($AU$6:AU248,$B$6:B248,B248)-N(AU248))</f>
        <v/>
      </c>
      <c r="BJ248" s="5">
        <f>IF(OR(B248="",E248=""),"",IF(AND(E248=0,I248="Sell",MAX(N(O248),N(AD248))&gt;ExpiryCutoff),"BREACH","OK"))</f>
        <v/>
      </c>
      <c r="BK248" s="5">
        <f>IF(B248="","",IF(OR(AC248&lt;&gt;"OK",BJ248="BREACH",BH248&gt;MaxTradesDay,BI248&lt;=-DailyLossLimit,OR(AF248="Panic",AF248="Revenge",AF248="Rule break")),"CHECK","OK"))</f>
        <v/>
      </c>
      <c r="BL248" s="39">
        <f>IF(AU248="","",SUM($AU$6:AU248))</f>
        <v/>
      </c>
      <c r="BM248" s="39">
        <f>IF(BL248="","",Capital+BL248)</f>
        <v/>
      </c>
      <c r="BN248" s="39">
        <f>IF(BM248="","",MAX(Capital,MAX($BM$6:BM248)))</f>
        <v/>
      </c>
      <c r="BO248" s="39">
        <f>IF(BM248="","",BN248-BM248)</f>
        <v/>
      </c>
      <c r="BP248" s="58">
        <f>IF(BO248="","",BO248/BN248)</f>
        <v/>
      </c>
      <c r="BQ248" s="28">
        <f>IF(AU248="","",IF(AU248&lt;0,N(BQ247)+1,0))</f>
        <v/>
      </c>
    </row>
    <row r="249">
      <c r="A249" s="28">
        <f>IF(B249="","",COUNT($B$6:B249))</f>
        <v/>
      </c>
      <c r="B249" s="27" t="n"/>
      <c r="C249" s="5">
        <f>IF(B249="","",TEXT(B249,"ddd"))</f>
        <v/>
      </c>
      <c r="D249" s="27" t="n"/>
      <c r="E249" s="28">
        <f>IF(OR(B249="",D249=""),"",MAX(0,NETWORKDAYS(B249,D249)-1))</f>
        <v/>
      </c>
      <c r="F249" s="37" t="n"/>
      <c r="G249" s="36" t="n"/>
      <c r="H249" s="37" t="n"/>
      <c r="I249" s="37" t="n"/>
      <c r="J249" s="37" t="n"/>
      <c r="K249" s="37" t="n"/>
      <c r="L249" s="36" t="n"/>
      <c r="M249" s="36" t="n"/>
      <c r="N249" s="33">
        <f>IF(M249="","",M249*LotSize)</f>
        <v/>
      </c>
      <c r="O249" s="51" t="n"/>
      <c r="P249" s="32" t="n"/>
      <c r="Q249" s="29" t="n"/>
      <c r="R249" s="30">
        <f>IF(OR(G249="",Q249="",H249=""),"",IF(H249="CE",G249-Q249,Q249-G249))</f>
        <v/>
      </c>
      <c r="S249" s="31">
        <f>IF(R249="","",R249/Q249)</f>
        <v/>
      </c>
      <c r="T249" s="38" t="n"/>
      <c r="U249" s="32" t="n"/>
      <c r="V249" s="52" t="n"/>
      <c r="W249" s="37" t="n"/>
      <c r="X249" s="32" t="n"/>
      <c r="Y249" s="32" t="n"/>
      <c r="Z249" s="39">
        <f>IF(OR(X249="",P249="",N249=""),"",ABS(X249-P249)*N249)</f>
        <v/>
      </c>
      <c r="AA249" s="53">
        <f>IF(OR(Z249="",Y249=""),"",IF(Z249=0,"",ABS(P249-Y249)*N249/Z249))</f>
        <v/>
      </c>
      <c r="AB249" s="54">
        <f>IF(Z249="","",Z249/Capital)</f>
        <v/>
      </c>
      <c r="AC249" s="5">
        <f>IF(B249="","",IF(X249="","NO SL",IF(OR(N(M249)&gt;MaxLots,N(AB249)&gt;RiskPct),"OVERSIZED","OK")))</f>
        <v/>
      </c>
      <c r="AD249" s="51" t="n"/>
      <c r="AE249" s="32" t="n"/>
      <c r="AF249" s="37" t="n"/>
      <c r="AG249" s="32" t="n"/>
      <c r="AH249" s="32" t="n"/>
      <c r="AI249" s="39">
        <f>IF(OR(AG249="",P249="",N249=""),"",ABS(AG249-P249)*N249)</f>
        <v/>
      </c>
      <c r="AJ249" s="39">
        <f>IF(OR(AH249="",P249="",N249=""),"",ABS(P249-AH249)*N249)</f>
        <v/>
      </c>
      <c r="AK249" s="39">
        <f>IF(OR(AE249="",P249="",N249=""),"",IF(I249="Buy",AE249-P249,P249-AE249)*N249)</f>
        <v/>
      </c>
      <c r="AL249" s="39">
        <f>IF(OR(AJ249="",AK249=""),"",MAX(0,AJ249-AK249))</f>
        <v/>
      </c>
      <c r="AM249" s="39">
        <f>IF(AK249="","",(P249+AE249)*N249)</f>
        <v/>
      </c>
      <c r="AN249" s="55">
        <f>IF(AK249="","",BrokeragePerOrder*2*MAX(1,N(L249)))</f>
        <v/>
      </c>
      <c r="AO249" s="55">
        <f>IF(AK249="","",STTRate*IF(I249="Buy",AE249,P249)*N249)</f>
        <v/>
      </c>
      <c r="AP249" s="55">
        <f>IF(AK249="","",ExchRate*AM249)</f>
        <v/>
      </c>
      <c r="AQ249" s="55">
        <f>IF(AK249="","",SEBIRate*AM249)</f>
        <v/>
      </c>
      <c r="AR249" s="55">
        <f>IF(AK249="","",StampRate*IF(I249="Buy",P249,AE249)*N249)</f>
        <v/>
      </c>
      <c r="AS249" s="55">
        <f>IF(AK249="","",GSTRate*(AN249+AP249+AQ249))</f>
        <v/>
      </c>
      <c r="AT249" s="55">
        <f>IF(AK249="","",AN249+AO249+AP249+AQ249+AR249+AS249)</f>
        <v/>
      </c>
      <c r="AU249" s="39">
        <f>IF(AK249="","",AK249-AT249)</f>
        <v/>
      </c>
      <c r="AV249" s="56">
        <f>IF(AU249="","",AU249/IF(N(Z249)&gt;0,Z249,RiskPerTrade))</f>
        <v/>
      </c>
      <c r="AW249" s="31">
        <f>IF(AU249="","",AU249/Capital)</f>
        <v/>
      </c>
      <c r="AX249" s="37" t="n"/>
      <c r="AY249" s="37" t="n"/>
      <c r="AZ249" s="37" t="n"/>
      <c r="BA249" s="37" t="n"/>
      <c r="BB249" s="37" t="n"/>
      <c r="BC249" s="37" t="n"/>
      <c r="BD249" s="37" t="n"/>
      <c r="BE249" s="5">
        <f>IF(AU249="","",IF(AU249&gt;0,"Win",IF(AU249&lt;0,"Loss","BE")))</f>
        <v/>
      </c>
      <c r="BF249" s="5">
        <f>IF(O249="","",LOOKUP(O249,List_BucketStart,List_BucketLabel))</f>
        <v/>
      </c>
      <c r="BG249" s="57">
        <f>IF(B249="","",B249-WEEKDAY(B249,3))</f>
        <v/>
      </c>
      <c r="BH249" s="28">
        <f>IF(B249="","",COUNTIF($B$6:B249,B249))</f>
        <v/>
      </c>
      <c r="BI249" s="39">
        <f>IF(B249="","",SUMIFS($AU$6:AU249,$B$6:B249,B249)-N(AU249))</f>
        <v/>
      </c>
      <c r="BJ249" s="5">
        <f>IF(OR(B249="",E249=""),"",IF(AND(E249=0,I249="Sell",MAX(N(O249),N(AD249))&gt;ExpiryCutoff),"BREACH","OK"))</f>
        <v/>
      </c>
      <c r="BK249" s="5">
        <f>IF(B249="","",IF(OR(AC249&lt;&gt;"OK",BJ249="BREACH",BH249&gt;MaxTradesDay,BI249&lt;=-DailyLossLimit,OR(AF249="Panic",AF249="Revenge",AF249="Rule break")),"CHECK","OK"))</f>
        <v/>
      </c>
      <c r="BL249" s="39">
        <f>IF(AU249="","",SUM($AU$6:AU249))</f>
        <v/>
      </c>
      <c r="BM249" s="39">
        <f>IF(BL249="","",Capital+BL249)</f>
        <v/>
      </c>
      <c r="BN249" s="39">
        <f>IF(BM249="","",MAX(Capital,MAX($BM$6:BM249)))</f>
        <v/>
      </c>
      <c r="BO249" s="39">
        <f>IF(BM249="","",BN249-BM249)</f>
        <v/>
      </c>
      <c r="BP249" s="58">
        <f>IF(BO249="","",BO249/BN249)</f>
        <v/>
      </c>
      <c r="BQ249" s="28">
        <f>IF(AU249="","",IF(AU249&lt;0,N(BQ248)+1,0))</f>
        <v/>
      </c>
    </row>
    <row r="250">
      <c r="A250" s="28">
        <f>IF(B250="","",COUNT($B$6:B250))</f>
        <v/>
      </c>
      <c r="B250" s="27" t="n"/>
      <c r="C250" s="5">
        <f>IF(B250="","",TEXT(B250,"ddd"))</f>
        <v/>
      </c>
      <c r="D250" s="27" t="n"/>
      <c r="E250" s="28">
        <f>IF(OR(B250="",D250=""),"",MAX(0,NETWORKDAYS(B250,D250)-1))</f>
        <v/>
      </c>
      <c r="F250" s="37" t="n"/>
      <c r="G250" s="36" t="n"/>
      <c r="H250" s="37" t="n"/>
      <c r="I250" s="37" t="n"/>
      <c r="J250" s="37" t="n"/>
      <c r="K250" s="37" t="n"/>
      <c r="L250" s="36" t="n"/>
      <c r="M250" s="36" t="n"/>
      <c r="N250" s="33">
        <f>IF(M250="","",M250*LotSize)</f>
        <v/>
      </c>
      <c r="O250" s="51" t="n"/>
      <c r="P250" s="32" t="n"/>
      <c r="Q250" s="29" t="n"/>
      <c r="R250" s="30">
        <f>IF(OR(G250="",Q250="",H250=""),"",IF(H250="CE",G250-Q250,Q250-G250))</f>
        <v/>
      </c>
      <c r="S250" s="31">
        <f>IF(R250="","",R250/Q250)</f>
        <v/>
      </c>
      <c r="T250" s="38" t="n"/>
      <c r="U250" s="32" t="n"/>
      <c r="V250" s="52" t="n"/>
      <c r="W250" s="37" t="n"/>
      <c r="X250" s="32" t="n"/>
      <c r="Y250" s="32" t="n"/>
      <c r="Z250" s="39">
        <f>IF(OR(X250="",P250="",N250=""),"",ABS(X250-P250)*N250)</f>
        <v/>
      </c>
      <c r="AA250" s="53">
        <f>IF(OR(Z250="",Y250=""),"",IF(Z250=0,"",ABS(P250-Y250)*N250/Z250))</f>
        <v/>
      </c>
      <c r="AB250" s="54">
        <f>IF(Z250="","",Z250/Capital)</f>
        <v/>
      </c>
      <c r="AC250" s="5">
        <f>IF(B250="","",IF(X250="","NO SL",IF(OR(N(M250)&gt;MaxLots,N(AB250)&gt;RiskPct),"OVERSIZED","OK")))</f>
        <v/>
      </c>
      <c r="AD250" s="51" t="n"/>
      <c r="AE250" s="32" t="n"/>
      <c r="AF250" s="37" t="n"/>
      <c r="AG250" s="32" t="n"/>
      <c r="AH250" s="32" t="n"/>
      <c r="AI250" s="39">
        <f>IF(OR(AG250="",P250="",N250=""),"",ABS(AG250-P250)*N250)</f>
        <v/>
      </c>
      <c r="AJ250" s="39">
        <f>IF(OR(AH250="",P250="",N250=""),"",ABS(P250-AH250)*N250)</f>
        <v/>
      </c>
      <c r="AK250" s="39">
        <f>IF(OR(AE250="",P250="",N250=""),"",IF(I250="Buy",AE250-P250,P250-AE250)*N250)</f>
        <v/>
      </c>
      <c r="AL250" s="39">
        <f>IF(OR(AJ250="",AK250=""),"",MAX(0,AJ250-AK250))</f>
        <v/>
      </c>
      <c r="AM250" s="39">
        <f>IF(AK250="","",(P250+AE250)*N250)</f>
        <v/>
      </c>
      <c r="AN250" s="55">
        <f>IF(AK250="","",BrokeragePerOrder*2*MAX(1,N(L250)))</f>
        <v/>
      </c>
      <c r="AO250" s="55">
        <f>IF(AK250="","",STTRate*IF(I250="Buy",AE250,P250)*N250)</f>
        <v/>
      </c>
      <c r="AP250" s="55">
        <f>IF(AK250="","",ExchRate*AM250)</f>
        <v/>
      </c>
      <c r="AQ250" s="55">
        <f>IF(AK250="","",SEBIRate*AM250)</f>
        <v/>
      </c>
      <c r="AR250" s="55">
        <f>IF(AK250="","",StampRate*IF(I250="Buy",P250,AE250)*N250)</f>
        <v/>
      </c>
      <c r="AS250" s="55">
        <f>IF(AK250="","",GSTRate*(AN250+AP250+AQ250))</f>
        <v/>
      </c>
      <c r="AT250" s="55">
        <f>IF(AK250="","",AN250+AO250+AP250+AQ250+AR250+AS250)</f>
        <v/>
      </c>
      <c r="AU250" s="39">
        <f>IF(AK250="","",AK250-AT250)</f>
        <v/>
      </c>
      <c r="AV250" s="56">
        <f>IF(AU250="","",AU250/IF(N(Z250)&gt;0,Z250,RiskPerTrade))</f>
        <v/>
      </c>
      <c r="AW250" s="31">
        <f>IF(AU250="","",AU250/Capital)</f>
        <v/>
      </c>
      <c r="AX250" s="37" t="n"/>
      <c r="AY250" s="37" t="n"/>
      <c r="AZ250" s="37" t="n"/>
      <c r="BA250" s="37" t="n"/>
      <c r="BB250" s="37" t="n"/>
      <c r="BC250" s="37" t="n"/>
      <c r="BD250" s="37" t="n"/>
      <c r="BE250" s="5">
        <f>IF(AU250="","",IF(AU250&gt;0,"Win",IF(AU250&lt;0,"Loss","BE")))</f>
        <v/>
      </c>
      <c r="BF250" s="5">
        <f>IF(O250="","",LOOKUP(O250,List_BucketStart,List_BucketLabel))</f>
        <v/>
      </c>
      <c r="BG250" s="57">
        <f>IF(B250="","",B250-WEEKDAY(B250,3))</f>
        <v/>
      </c>
      <c r="BH250" s="28">
        <f>IF(B250="","",COUNTIF($B$6:B250,B250))</f>
        <v/>
      </c>
      <c r="BI250" s="39">
        <f>IF(B250="","",SUMIFS($AU$6:AU250,$B$6:B250,B250)-N(AU250))</f>
        <v/>
      </c>
      <c r="BJ250" s="5">
        <f>IF(OR(B250="",E250=""),"",IF(AND(E250=0,I250="Sell",MAX(N(O250),N(AD250))&gt;ExpiryCutoff),"BREACH","OK"))</f>
        <v/>
      </c>
      <c r="BK250" s="5">
        <f>IF(B250="","",IF(OR(AC250&lt;&gt;"OK",BJ250="BREACH",BH250&gt;MaxTradesDay,BI250&lt;=-DailyLossLimit,OR(AF250="Panic",AF250="Revenge",AF250="Rule break")),"CHECK","OK"))</f>
        <v/>
      </c>
      <c r="BL250" s="39">
        <f>IF(AU250="","",SUM($AU$6:AU250))</f>
        <v/>
      </c>
      <c r="BM250" s="39">
        <f>IF(BL250="","",Capital+BL250)</f>
        <v/>
      </c>
      <c r="BN250" s="39">
        <f>IF(BM250="","",MAX(Capital,MAX($BM$6:BM250)))</f>
        <v/>
      </c>
      <c r="BO250" s="39">
        <f>IF(BM250="","",BN250-BM250)</f>
        <v/>
      </c>
      <c r="BP250" s="58">
        <f>IF(BO250="","",BO250/BN250)</f>
        <v/>
      </c>
      <c r="BQ250" s="28">
        <f>IF(AU250="","",IF(AU250&lt;0,N(BQ249)+1,0))</f>
        <v/>
      </c>
    </row>
    <row r="251">
      <c r="A251" s="28">
        <f>IF(B251="","",COUNT($B$6:B251))</f>
        <v/>
      </c>
      <c r="B251" s="27" t="n"/>
      <c r="C251" s="5">
        <f>IF(B251="","",TEXT(B251,"ddd"))</f>
        <v/>
      </c>
      <c r="D251" s="27" t="n"/>
      <c r="E251" s="28">
        <f>IF(OR(B251="",D251=""),"",MAX(0,NETWORKDAYS(B251,D251)-1))</f>
        <v/>
      </c>
      <c r="F251" s="37" t="n"/>
      <c r="G251" s="36" t="n"/>
      <c r="H251" s="37" t="n"/>
      <c r="I251" s="37" t="n"/>
      <c r="J251" s="37" t="n"/>
      <c r="K251" s="37" t="n"/>
      <c r="L251" s="36" t="n"/>
      <c r="M251" s="36" t="n"/>
      <c r="N251" s="33">
        <f>IF(M251="","",M251*LotSize)</f>
        <v/>
      </c>
      <c r="O251" s="51" t="n"/>
      <c r="P251" s="32" t="n"/>
      <c r="Q251" s="29" t="n"/>
      <c r="R251" s="30">
        <f>IF(OR(G251="",Q251="",H251=""),"",IF(H251="CE",G251-Q251,Q251-G251))</f>
        <v/>
      </c>
      <c r="S251" s="31">
        <f>IF(R251="","",R251/Q251)</f>
        <v/>
      </c>
      <c r="T251" s="38" t="n"/>
      <c r="U251" s="32" t="n"/>
      <c r="V251" s="52" t="n"/>
      <c r="W251" s="37" t="n"/>
      <c r="X251" s="32" t="n"/>
      <c r="Y251" s="32" t="n"/>
      <c r="Z251" s="39">
        <f>IF(OR(X251="",P251="",N251=""),"",ABS(X251-P251)*N251)</f>
        <v/>
      </c>
      <c r="AA251" s="53">
        <f>IF(OR(Z251="",Y251=""),"",IF(Z251=0,"",ABS(P251-Y251)*N251/Z251))</f>
        <v/>
      </c>
      <c r="AB251" s="54">
        <f>IF(Z251="","",Z251/Capital)</f>
        <v/>
      </c>
      <c r="AC251" s="5">
        <f>IF(B251="","",IF(X251="","NO SL",IF(OR(N(M251)&gt;MaxLots,N(AB251)&gt;RiskPct),"OVERSIZED","OK")))</f>
        <v/>
      </c>
      <c r="AD251" s="51" t="n"/>
      <c r="AE251" s="32" t="n"/>
      <c r="AF251" s="37" t="n"/>
      <c r="AG251" s="32" t="n"/>
      <c r="AH251" s="32" t="n"/>
      <c r="AI251" s="39">
        <f>IF(OR(AG251="",P251="",N251=""),"",ABS(AG251-P251)*N251)</f>
        <v/>
      </c>
      <c r="AJ251" s="39">
        <f>IF(OR(AH251="",P251="",N251=""),"",ABS(P251-AH251)*N251)</f>
        <v/>
      </c>
      <c r="AK251" s="39">
        <f>IF(OR(AE251="",P251="",N251=""),"",IF(I251="Buy",AE251-P251,P251-AE251)*N251)</f>
        <v/>
      </c>
      <c r="AL251" s="39">
        <f>IF(OR(AJ251="",AK251=""),"",MAX(0,AJ251-AK251))</f>
        <v/>
      </c>
      <c r="AM251" s="39">
        <f>IF(AK251="","",(P251+AE251)*N251)</f>
        <v/>
      </c>
      <c r="AN251" s="55">
        <f>IF(AK251="","",BrokeragePerOrder*2*MAX(1,N(L251)))</f>
        <v/>
      </c>
      <c r="AO251" s="55">
        <f>IF(AK251="","",STTRate*IF(I251="Buy",AE251,P251)*N251)</f>
        <v/>
      </c>
      <c r="AP251" s="55">
        <f>IF(AK251="","",ExchRate*AM251)</f>
        <v/>
      </c>
      <c r="AQ251" s="55">
        <f>IF(AK251="","",SEBIRate*AM251)</f>
        <v/>
      </c>
      <c r="AR251" s="55">
        <f>IF(AK251="","",StampRate*IF(I251="Buy",P251,AE251)*N251)</f>
        <v/>
      </c>
      <c r="AS251" s="55">
        <f>IF(AK251="","",GSTRate*(AN251+AP251+AQ251))</f>
        <v/>
      </c>
      <c r="AT251" s="55">
        <f>IF(AK251="","",AN251+AO251+AP251+AQ251+AR251+AS251)</f>
        <v/>
      </c>
      <c r="AU251" s="39">
        <f>IF(AK251="","",AK251-AT251)</f>
        <v/>
      </c>
      <c r="AV251" s="56">
        <f>IF(AU251="","",AU251/IF(N(Z251)&gt;0,Z251,RiskPerTrade))</f>
        <v/>
      </c>
      <c r="AW251" s="31">
        <f>IF(AU251="","",AU251/Capital)</f>
        <v/>
      </c>
      <c r="AX251" s="37" t="n"/>
      <c r="AY251" s="37" t="n"/>
      <c r="AZ251" s="37" t="n"/>
      <c r="BA251" s="37" t="n"/>
      <c r="BB251" s="37" t="n"/>
      <c r="BC251" s="37" t="n"/>
      <c r="BD251" s="37" t="n"/>
      <c r="BE251" s="5">
        <f>IF(AU251="","",IF(AU251&gt;0,"Win",IF(AU251&lt;0,"Loss","BE")))</f>
        <v/>
      </c>
      <c r="BF251" s="5">
        <f>IF(O251="","",LOOKUP(O251,List_BucketStart,List_BucketLabel))</f>
        <v/>
      </c>
      <c r="BG251" s="57">
        <f>IF(B251="","",B251-WEEKDAY(B251,3))</f>
        <v/>
      </c>
      <c r="BH251" s="28">
        <f>IF(B251="","",COUNTIF($B$6:B251,B251))</f>
        <v/>
      </c>
      <c r="BI251" s="39">
        <f>IF(B251="","",SUMIFS($AU$6:AU251,$B$6:B251,B251)-N(AU251))</f>
        <v/>
      </c>
      <c r="BJ251" s="5">
        <f>IF(OR(B251="",E251=""),"",IF(AND(E251=0,I251="Sell",MAX(N(O251),N(AD251))&gt;ExpiryCutoff),"BREACH","OK"))</f>
        <v/>
      </c>
      <c r="BK251" s="5">
        <f>IF(B251="","",IF(OR(AC251&lt;&gt;"OK",BJ251="BREACH",BH251&gt;MaxTradesDay,BI251&lt;=-DailyLossLimit,OR(AF251="Panic",AF251="Revenge",AF251="Rule break")),"CHECK","OK"))</f>
        <v/>
      </c>
      <c r="BL251" s="39">
        <f>IF(AU251="","",SUM($AU$6:AU251))</f>
        <v/>
      </c>
      <c r="BM251" s="39">
        <f>IF(BL251="","",Capital+BL251)</f>
        <v/>
      </c>
      <c r="BN251" s="39">
        <f>IF(BM251="","",MAX(Capital,MAX($BM$6:BM251)))</f>
        <v/>
      </c>
      <c r="BO251" s="39">
        <f>IF(BM251="","",BN251-BM251)</f>
        <v/>
      </c>
      <c r="BP251" s="58">
        <f>IF(BO251="","",BO251/BN251)</f>
        <v/>
      </c>
      <c r="BQ251" s="28">
        <f>IF(AU251="","",IF(AU251&lt;0,N(BQ250)+1,0))</f>
        <v/>
      </c>
    </row>
    <row r="252">
      <c r="A252" s="28">
        <f>IF(B252="","",COUNT($B$6:B252))</f>
        <v/>
      </c>
      <c r="B252" s="27" t="n"/>
      <c r="C252" s="5">
        <f>IF(B252="","",TEXT(B252,"ddd"))</f>
        <v/>
      </c>
      <c r="D252" s="27" t="n"/>
      <c r="E252" s="28">
        <f>IF(OR(B252="",D252=""),"",MAX(0,NETWORKDAYS(B252,D252)-1))</f>
        <v/>
      </c>
      <c r="F252" s="37" t="n"/>
      <c r="G252" s="36" t="n"/>
      <c r="H252" s="37" t="n"/>
      <c r="I252" s="37" t="n"/>
      <c r="J252" s="37" t="n"/>
      <c r="K252" s="37" t="n"/>
      <c r="L252" s="36" t="n"/>
      <c r="M252" s="36" t="n"/>
      <c r="N252" s="33">
        <f>IF(M252="","",M252*LotSize)</f>
        <v/>
      </c>
      <c r="O252" s="51" t="n"/>
      <c r="P252" s="32" t="n"/>
      <c r="Q252" s="29" t="n"/>
      <c r="R252" s="30">
        <f>IF(OR(G252="",Q252="",H252=""),"",IF(H252="CE",G252-Q252,Q252-G252))</f>
        <v/>
      </c>
      <c r="S252" s="31">
        <f>IF(R252="","",R252/Q252)</f>
        <v/>
      </c>
      <c r="T252" s="38" t="n"/>
      <c r="U252" s="32" t="n"/>
      <c r="V252" s="52" t="n"/>
      <c r="W252" s="37" t="n"/>
      <c r="X252" s="32" t="n"/>
      <c r="Y252" s="32" t="n"/>
      <c r="Z252" s="39">
        <f>IF(OR(X252="",P252="",N252=""),"",ABS(X252-P252)*N252)</f>
        <v/>
      </c>
      <c r="AA252" s="53">
        <f>IF(OR(Z252="",Y252=""),"",IF(Z252=0,"",ABS(P252-Y252)*N252/Z252))</f>
        <v/>
      </c>
      <c r="AB252" s="54">
        <f>IF(Z252="","",Z252/Capital)</f>
        <v/>
      </c>
      <c r="AC252" s="5">
        <f>IF(B252="","",IF(X252="","NO SL",IF(OR(N(M252)&gt;MaxLots,N(AB252)&gt;RiskPct),"OVERSIZED","OK")))</f>
        <v/>
      </c>
      <c r="AD252" s="51" t="n"/>
      <c r="AE252" s="32" t="n"/>
      <c r="AF252" s="37" t="n"/>
      <c r="AG252" s="32" t="n"/>
      <c r="AH252" s="32" t="n"/>
      <c r="AI252" s="39">
        <f>IF(OR(AG252="",P252="",N252=""),"",ABS(AG252-P252)*N252)</f>
        <v/>
      </c>
      <c r="AJ252" s="39">
        <f>IF(OR(AH252="",P252="",N252=""),"",ABS(P252-AH252)*N252)</f>
        <v/>
      </c>
      <c r="AK252" s="39">
        <f>IF(OR(AE252="",P252="",N252=""),"",IF(I252="Buy",AE252-P252,P252-AE252)*N252)</f>
        <v/>
      </c>
      <c r="AL252" s="39">
        <f>IF(OR(AJ252="",AK252=""),"",MAX(0,AJ252-AK252))</f>
        <v/>
      </c>
      <c r="AM252" s="39">
        <f>IF(AK252="","",(P252+AE252)*N252)</f>
        <v/>
      </c>
      <c r="AN252" s="55">
        <f>IF(AK252="","",BrokeragePerOrder*2*MAX(1,N(L252)))</f>
        <v/>
      </c>
      <c r="AO252" s="55">
        <f>IF(AK252="","",STTRate*IF(I252="Buy",AE252,P252)*N252)</f>
        <v/>
      </c>
      <c r="AP252" s="55">
        <f>IF(AK252="","",ExchRate*AM252)</f>
        <v/>
      </c>
      <c r="AQ252" s="55">
        <f>IF(AK252="","",SEBIRate*AM252)</f>
        <v/>
      </c>
      <c r="AR252" s="55">
        <f>IF(AK252="","",StampRate*IF(I252="Buy",P252,AE252)*N252)</f>
        <v/>
      </c>
      <c r="AS252" s="55">
        <f>IF(AK252="","",GSTRate*(AN252+AP252+AQ252))</f>
        <v/>
      </c>
      <c r="AT252" s="55">
        <f>IF(AK252="","",AN252+AO252+AP252+AQ252+AR252+AS252)</f>
        <v/>
      </c>
      <c r="AU252" s="39">
        <f>IF(AK252="","",AK252-AT252)</f>
        <v/>
      </c>
      <c r="AV252" s="56">
        <f>IF(AU252="","",AU252/IF(N(Z252)&gt;0,Z252,RiskPerTrade))</f>
        <v/>
      </c>
      <c r="AW252" s="31">
        <f>IF(AU252="","",AU252/Capital)</f>
        <v/>
      </c>
      <c r="AX252" s="37" t="n"/>
      <c r="AY252" s="37" t="n"/>
      <c r="AZ252" s="37" t="n"/>
      <c r="BA252" s="37" t="n"/>
      <c r="BB252" s="37" t="n"/>
      <c r="BC252" s="37" t="n"/>
      <c r="BD252" s="37" t="n"/>
      <c r="BE252" s="5">
        <f>IF(AU252="","",IF(AU252&gt;0,"Win",IF(AU252&lt;0,"Loss","BE")))</f>
        <v/>
      </c>
      <c r="BF252" s="5">
        <f>IF(O252="","",LOOKUP(O252,List_BucketStart,List_BucketLabel))</f>
        <v/>
      </c>
      <c r="BG252" s="57">
        <f>IF(B252="","",B252-WEEKDAY(B252,3))</f>
        <v/>
      </c>
      <c r="BH252" s="28">
        <f>IF(B252="","",COUNTIF($B$6:B252,B252))</f>
        <v/>
      </c>
      <c r="BI252" s="39">
        <f>IF(B252="","",SUMIFS($AU$6:AU252,$B$6:B252,B252)-N(AU252))</f>
        <v/>
      </c>
      <c r="BJ252" s="5">
        <f>IF(OR(B252="",E252=""),"",IF(AND(E252=0,I252="Sell",MAX(N(O252),N(AD252))&gt;ExpiryCutoff),"BREACH","OK"))</f>
        <v/>
      </c>
      <c r="BK252" s="5">
        <f>IF(B252="","",IF(OR(AC252&lt;&gt;"OK",BJ252="BREACH",BH252&gt;MaxTradesDay,BI252&lt;=-DailyLossLimit,OR(AF252="Panic",AF252="Revenge",AF252="Rule break")),"CHECK","OK"))</f>
        <v/>
      </c>
      <c r="BL252" s="39">
        <f>IF(AU252="","",SUM($AU$6:AU252))</f>
        <v/>
      </c>
      <c r="BM252" s="39">
        <f>IF(BL252="","",Capital+BL252)</f>
        <v/>
      </c>
      <c r="BN252" s="39">
        <f>IF(BM252="","",MAX(Capital,MAX($BM$6:BM252)))</f>
        <v/>
      </c>
      <c r="BO252" s="39">
        <f>IF(BM252="","",BN252-BM252)</f>
        <v/>
      </c>
      <c r="BP252" s="58">
        <f>IF(BO252="","",BO252/BN252)</f>
        <v/>
      </c>
      <c r="BQ252" s="28">
        <f>IF(AU252="","",IF(AU252&lt;0,N(BQ251)+1,0))</f>
        <v/>
      </c>
    </row>
    <row r="253">
      <c r="A253" s="28">
        <f>IF(B253="","",COUNT($B$6:B253))</f>
        <v/>
      </c>
      <c r="B253" s="27" t="n"/>
      <c r="C253" s="5">
        <f>IF(B253="","",TEXT(B253,"ddd"))</f>
        <v/>
      </c>
      <c r="D253" s="27" t="n"/>
      <c r="E253" s="28">
        <f>IF(OR(B253="",D253=""),"",MAX(0,NETWORKDAYS(B253,D253)-1))</f>
        <v/>
      </c>
      <c r="F253" s="37" t="n"/>
      <c r="G253" s="36" t="n"/>
      <c r="H253" s="37" t="n"/>
      <c r="I253" s="37" t="n"/>
      <c r="J253" s="37" t="n"/>
      <c r="K253" s="37" t="n"/>
      <c r="L253" s="36" t="n"/>
      <c r="M253" s="36" t="n"/>
      <c r="N253" s="33">
        <f>IF(M253="","",M253*LotSize)</f>
        <v/>
      </c>
      <c r="O253" s="51" t="n"/>
      <c r="P253" s="32" t="n"/>
      <c r="Q253" s="29" t="n"/>
      <c r="R253" s="30">
        <f>IF(OR(G253="",Q253="",H253=""),"",IF(H253="CE",G253-Q253,Q253-G253))</f>
        <v/>
      </c>
      <c r="S253" s="31">
        <f>IF(R253="","",R253/Q253)</f>
        <v/>
      </c>
      <c r="T253" s="38" t="n"/>
      <c r="U253" s="32" t="n"/>
      <c r="V253" s="52" t="n"/>
      <c r="W253" s="37" t="n"/>
      <c r="X253" s="32" t="n"/>
      <c r="Y253" s="32" t="n"/>
      <c r="Z253" s="39">
        <f>IF(OR(X253="",P253="",N253=""),"",ABS(X253-P253)*N253)</f>
        <v/>
      </c>
      <c r="AA253" s="53">
        <f>IF(OR(Z253="",Y253=""),"",IF(Z253=0,"",ABS(P253-Y253)*N253/Z253))</f>
        <v/>
      </c>
      <c r="AB253" s="54">
        <f>IF(Z253="","",Z253/Capital)</f>
        <v/>
      </c>
      <c r="AC253" s="5">
        <f>IF(B253="","",IF(X253="","NO SL",IF(OR(N(M253)&gt;MaxLots,N(AB253)&gt;RiskPct),"OVERSIZED","OK")))</f>
        <v/>
      </c>
      <c r="AD253" s="51" t="n"/>
      <c r="AE253" s="32" t="n"/>
      <c r="AF253" s="37" t="n"/>
      <c r="AG253" s="32" t="n"/>
      <c r="AH253" s="32" t="n"/>
      <c r="AI253" s="39">
        <f>IF(OR(AG253="",P253="",N253=""),"",ABS(AG253-P253)*N253)</f>
        <v/>
      </c>
      <c r="AJ253" s="39">
        <f>IF(OR(AH253="",P253="",N253=""),"",ABS(P253-AH253)*N253)</f>
        <v/>
      </c>
      <c r="AK253" s="39">
        <f>IF(OR(AE253="",P253="",N253=""),"",IF(I253="Buy",AE253-P253,P253-AE253)*N253)</f>
        <v/>
      </c>
      <c r="AL253" s="39">
        <f>IF(OR(AJ253="",AK253=""),"",MAX(0,AJ253-AK253))</f>
        <v/>
      </c>
      <c r="AM253" s="39">
        <f>IF(AK253="","",(P253+AE253)*N253)</f>
        <v/>
      </c>
      <c r="AN253" s="55">
        <f>IF(AK253="","",BrokeragePerOrder*2*MAX(1,N(L253)))</f>
        <v/>
      </c>
      <c r="AO253" s="55">
        <f>IF(AK253="","",STTRate*IF(I253="Buy",AE253,P253)*N253)</f>
        <v/>
      </c>
      <c r="AP253" s="55">
        <f>IF(AK253="","",ExchRate*AM253)</f>
        <v/>
      </c>
      <c r="AQ253" s="55">
        <f>IF(AK253="","",SEBIRate*AM253)</f>
        <v/>
      </c>
      <c r="AR253" s="55">
        <f>IF(AK253="","",StampRate*IF(I253="Buy",P253,AE253)*N253)</f>
        <v/>
      </c>
      <c r="AS253" s="55">
        <f>IF(AK253="","",GSTRate*(AN253+AP253+AQ253))</f>
        <v/>
      </c>
      <c r="AT253" s="55">
        <f>IF(AK253="","",AN253+AO253+AP253+AQ253+AR253+AS253)</f>
        <v/>
      </c>
      <c r="AU253" s="39">
        <f>IF(AK253="","",AK253-AT253)</f>
        <v/>
      </c>
      <c r="AV253" s="56">
        <f>IF(AU253="","",AU253/IF(N(Z253)&gt;0,Z253,RiskPerTrade))</f>
        <v/>
      </c>
      <c r="AW253" s="31">
        <f>IF(AU253="","",AU253/Capital)</f>
        <v/>
      </c>
      <c r="AX253" s="37" t="n"/>
      <c r="AY253" s="37" t="n"/>
      <c r="AZ253" s="37" t="n"/>
      <c r="BA253" s="37" t="n"/>
      <c r="BB253" s="37" t="n"/>
      <c r="BC253" s="37" t="n"/>
      <c r="BD253" s="37" t="n"/>
      <c r="BE253" s="5">
        <f>IF(AU253="","",IF(AU253&gt;0,"Win",IF(AU253&lt;0,"Loss","BE")))</f>
        <v/>
      </c>
      <c r="BF253" s="5">
        <f>IF(O253="","",LOOKUP(O253,List_BucketStart,List_BucketLabel))</f>
        <v/>
      </c>
      <c r="BG253" s="57">
        <f>IF(B253="","",B253-WEEKDAY(B253,3))</f>
        <v/>
      </c>
      <c r="BH253" s="28">
        <f>IF(B253="","",COUNTIF($B$6:B253,B253))</f>
        <v/>
      </c>
      <c r="BI253" s="39">
        <f>IF(B253="","",SUMIFS($AU$6:AU253,$B$6:B253,B253)-N(AU253))</f>
        <v/>
      </c>
      <c r="BJ253" s="5">
        <f>IF(OR(B253="",E253=""),"",IF(AND(E253=0,I253="Sell",MAX(N(O253),N(AD253))&gt;ExpiryCutoff),"BREACH","OK"))</f>
        <v/>
      </c>
      <c r="BK253" s="5">
        <f>IF(B253="","",IF(OR(AC253&lt;&gt;"OK",BJ253="BREACH",BH253&gt;MaxTradesDay,BI253&lt;=-DailyLossLimit,OR(AF253="Panic",AF253="Revenge",AF253="Rule break")),"CHECK","OK"))</f>
        <v/>
      </c>
      <c r="BL253" s="39">
        <f>IF(AU253="","",SUM($AU$6:AU253))</f>
        <v/>
      </c>
      <c r="BM253" s="39">
        <f>IF(BL253="","",Capital+BL253)</f>
        <v/>
      </c>
      <c r="BN253" s="39">
        <f>IF(BM253="","",MAX(Capital,MAX($BM$6:BM253)))</f>
        <v/>
      </c>
      <c r="BO253" s="39">
        <f>IF(BM253="","",BN253-BM253)</f>
        <v/>
      </c>
      <c r="BP253" s="58">
        <f>IF(BO253="","",BO253/BN253)</f>
        <v/>
      </c>
      <c r="BQ253" s="28">
        <f>IF(AU253="","",IF(AU253&lt;0,N(BQ252)+1,0))</f>
        <v/>
      </c>
    </row>
    <row r="254">
      <c r="A254" s="28">
        <f>IF(B254="","",COUNT($B$6:B254))</f>
        <v/>
      </c>
      <c r="B254" s="27" t="n"/>
      <c r="C254" s="5">
        <f>IF(B254="","",TEXT(B254,"ddd"))</f>
        <v/>
      </c>
      <c r="D254" s="27" t="n"/>
      <c r="E254" s="28">
        <f>IF(OR(B254="",D254=""),"",MAX(0,NETWORKDAYS(B254,D254)-1))</f>
        <v/>
      </c>
      <c r="F254" s="37" t="n"/>
      <c r="G254" s="36" t="n"/>
      <c r="H254" s="37" t="n"/>
      <c r="I254" s="37" t="n"/>
      <c r="J254" s="37" t="n"/>
      <c r="K254" s="37" t="n"/>
      <c r="L254" s="36" t="n"/>
      <c r="M254" s="36" t="n"/>
      <c r="N254" s="33">
        <f>IF(M254="","",M254*LotSize)</f>
        <v/>
      </c>
      <c r="O254" s="51" t="n"/>
      <c r="P254" s="32" t="n"/>
      <c r="Q254" s="29" t="n"/>
      <c r="R254" s="30">
        <f>IF(OR(G254="",Q254="",H254=""),"",IF(H254="CE",G254-Q254,Q254-G254))</f>
        <v/>
      </c>
      <c r="S254" s="31">
        <f>IF(R254="","",R254/Q254)</f>
        <v/>
      </c>
      <c r="T254" s="38" t="n"/>
      <c r="U254" s="32" t="n"/>
      <c r="V254" s="52" t="n"/>
      <c r="W254" s="37" t="n"/>
      <c r="X254" s="32" t="n"/>
      <c r="Y254" s="32" t="n"/>
      <c r="Z254" s="39">
        <f>IF(OR(X254="",P254="",N254=""),"",ABS(X254-P254)*N254)</f>
        <v/>
      </c>
      <c r="AA254" s="53">
        <f>IF(OR(Z254="",Y254=""),"",IF(Z254=0,"",ABS(P254-Y254)*N254/Z254))</f>
        <v/>
      </c>
      <c r="AB254" s="54">
        <f>IF(Z254="","",Z254/Capital)</f>
        <v/>
      </c>
      <c r="AC254" s="5">
        <f>IF(B254="","",IF(X254="","NO SL",IF(OR(N(M254)&gt;MaxLots,N(AB254)&gt;RiskPct),"OVERSIZED","OK")))</f>
        <v/>
      </c>
      <c r="AD254" s="51" t="n"/>
      <c r="AE254" s="32" t="n"/>
      <c r="AF254" s="37" t="n"/>
      <c r="AG254" s="32" t="n"/>
      <c r="AH254" s="32" t="n"/>
      <c r="AI254" s="39">
        <f>IF(OR(AG254="",P254="",N254=""),"",ABS(AG254-P254)*N254)</f>
        <v/>
      </c>
      <c r="AJ254" s="39">
        <f>IF(OR(AH254="",P254="",N254=""),"",ABS(P254-AH254)*N254)</f>
        <v/>
      </c>
      <c r="AK254" s="39">
        <f>IF(OR(AE254="",P254="",N254=""),"",IF(I254="Buy",AE254-P254,P254-AE254)*N254)</f>
        <v/>
      </c>
      <c r="AL254" s="39">
        <f>IF(OR(AJ254="",AK254=""),"",MAX(0,AJ254-AK254))</f>
        <v/>
      </c>
      <c r="AM254" s="39">
        <f>IF(AK254="","",(P254+AE254)*N254)</f>
        <v/>
      </c>
      <c r="AN254" s="55">
        <f>IF(AK254="","",BrokeragePerOrder*2*MAX(1,N(L254)))</f>
        <v/>
      </c>
      <c r="AO254" s="55">
        <f>IF(AK254="","",STTRate*IF(I254="Buy",AE254,P254)*N254)</f>
        <v/>
      </c>
      <c r="AP254" s="55">
        <f>IF(AK254="","",ExchRate*AM254)</f>
        <v/>
      </c>
      <c r="AQ254" s="55">
        <f>IF(AK254="","",SEBIRate*AM254)</f>
        <v/>
      </c>
      <c r="AR254" s="55">
        <f>IF(AK254="","",StampRate*IF(I254="Buy",P254,AE254)*N254)</f>
        <v/>
      </c>
      <c r="AS254" s="55">
        <f>IF(AK254="","",GSTRate*(AN254+AP254+AQ254))</f>
        <v/>
      </c>
      <c r="AT254" s="55">
        <f>IF(AK254="","",AN254+AO254+AP254+AQ254+AR254+AS254)</f>
        <v/>
      </c>
      <c r="AU254" s="39">
        <f>IF(AK254="","",AK254-AT254)</f>
        <v/>
      </c>
      <c r="AV254" s="56">
        <f>IF(AU254="","",AU254/IF(N(Z254)&gt;0,Z254,RiskPerTrade))</f>
        <v/>
      </c>
      <c r="AW254" s="31">
        <f>IF(AU254="","",AU254/Capital)</f>
        <v/>
      </c>
      <c r="AX254" s="37" t="n"/>
      <c r="AY254" s="37" t="n"/>
      <c r="AZ254" s="37" t="n"/>
      <c r="BA254" s="37" t="n"/>
      <c r="BB254" s="37" t="n"/>
      <c r="BC254" s="37" t="n"/>
      <c r="BD254" s="37" t="n"/>
      <c r="BE254" s="5">
        <f>IF(AU254="","",IF(AU254&gt;0,"Win",IF(AU254&lt;0,"Loss","BE")))</f>
        <v/>
      </c>
      <c r="BF254" s="5">
        <f>IF(O254="","",LOOKUP(O254,List_BucketStart,List_BucketLabel))</f>
        <v/>
      </c>
      <c r="BG254" s="57">
        <f>IF(B254="","",B254-WEEKDAY(B254,3))</f>
        <v/>
      </c>
      <c r="BH254" s="28">
        <f>IF(B254="","",COUNTIF($B$6:B254,B254))</f>
        <v/>
      </c>
      <c r="BI254" s="39">
        <f>IF(B254="","",SUMIFS($AU$6:AU254,$B$6:B254,B254)-N(AU254))</f>
        <v/>
      </c>
      <c r="BJ254" s="5">
        <f>IF(OR(B254="",E254=""),"",IF(AND(E254=0,I254="Sell",MAX(N(O254),N(AD254))&gt;ExpiryCutoff),"BREACH","OK"))</f>
        <v/>
      </c>
      <c r="BK254" s="5">
        <f>IF(B254="","",IF(OR(AC254&lt;&gt;"OK",BJ254="BREACH",BH254&gt;MaxTradesDay,BI254&lt;=-DailyLossLimit,OR(AF254="Panic",AF254="Revenge",AF254="Rule break")),"CHECK","OK"))</f>
        <v/>
      </c>
      <c r="BL254" s="39">
        <f>IF(AU254="","",SUM($AU$6:AU254))</f>
        <v/>
      </c>
      <c r="BM254" s="39">
        <f>IF(BL254="","",Capital+BL254)</f>
        <v/>
      </c>
      <c r="BN254" s="39">
        <f>IF(BM254="","",MAX(Capital,MAX($BM$6:BM254)))</f>
        <v/>
      </c>
      <c r="BO254" s="39">
        <f>IF(BM254="","",BN254-BM254)</f>
        <v/>
      </c>
      <c r="BP254" s="58">
        <f>IF(BO254="","",BO254/BN254)</f>
        <v/>
      </c>
      <c r="BQ254" s="28">
        <f>IF(AU254="","",IF(AU254&lt;0,N(BQ253)+1,0))</f>
        <v/>
      </c>
    </row>
    <row r="255">
      <c r="A255" s="28">
        <f>IF(B255="","",COUNT($B$6:B255))</f>
        <v/>
      </c>
      <c r="B255" s="27" t="n"/>
      <c r="C255" s="5">
        <f>IF(B255="","",TEXT(B255,"ddd"))</f>
        <v/>
      </c>
      <c r="D255" s="27" t="n"/>
      <c r="E255" s="28">
        <f>IF(OR(B255="",D255=""),"",MAX(0,NETWORKDAYS(B255,D255)-1))</f>
        <v/>
      </c>
      <c r="F255" s="37" t="n"/>
      <c r="G255" s="36" t="n"/>
      <c r="H255" s="37" t="n"/>
      <c r="I255" s="37" t="n"/>
      <c r="J255" s="37" t="n"/>
      <c r="K255" s="37" t="n"/>
      <c r="L255" s="36" t="n"/>
      <c r="M255" s="36" t="n"/>
      <c r="N255" s="33">
        <f>IF(M255="","",M255*LotSize)</f>
        <v/>
      </c>
      <c r="O255" s="51" t="n"/>
      <c r="P255" s="32" t="n"/>
      <c r="Q255" s="29" t="n"/>
      <c r="R255" s="30">
        <f>IF(OR(G255="",Q255="",H255=""),"",IF(H255="CE",G255-Q255,Q255-G255))</f>
        <v/>
      </c>
      <c r="S255" s="31">
        <f>IF(R255="","",R255/Q255)</f>
        <v/>
      </c>
      <c r="T255" s="38" t="n"/>
      <c r="U255" s="32" t="n"/>
      <c r="V255" s="52" t="n"/>
      <c r="W255" s="37" t="n"/>
      <c r="X255" s="32" t="n"/>
      <c r="Y255" s="32" t="n"/>
      <c r="Z255" s="39">
        <f>IF(OR(X255="",P255="",N255=""),"",ABS(X255-P255)*N255)</f>
        <v/>
      </c>
      <c r="AA255" s="53">
        <f>IF(OR(Z255="",Y255=""),"",IF(Z255=0,"",ABS(P255-Y255)*N255/Z255))</f>
        <v/>
      </c>
      <c r="AB255" s="54">
        <f>IF(Z255="","",Z255/Capital)</f>
        <v/>
      </c>
      <c r="AC255" s="5">
        <f>IF(B255="","",IF(X255="","NO SL",IF(OR(N(M255)&gt;MaxLots,N(AB255)&gt;RiskPct),"OVERSIZED","OK")))</f>
        <v/>
      </c>
      <c r="AD255" s="51" t="n"/>
      <c r="AE255" s="32" t="n"/>
      <c r="AF255" s="37" t="n"/>
      <c r="AG255" s="32" t="n"/>
      <c r="AH255" s="32" t="n"/>
      <c r="AI255" s="39">
        <f>IF(OR(AG255="",P255="",N255=""),"",ABS(AG255-P255)*N255)</f>
        <v/>
      </c>
      <c r="AJ255" s="39">
        <f>IF(OR(AH255="",P255="",N255=""),"",ABS(P255-AH255)*N255)</f>
        <v/>
      </c>
      <c r="AK255" s="39">
        <f>IF(OR(AE255="",P255="",N255=""),"",IF(I255="Buy",AE255-P255,P255-AE255)*N255)</f>
        <v/>
      </c>
      <c r="AL255" s="39">
        <f>IF(OR(AJ255="",AK255=""),"",MAX(0,AJ255-AK255))</f>
        <v/>
      </c>
      <c r="AM255" s="39">
        <f>IF(AK255="","",(P255+AE255)*N255)</f>
        <v/>
      </c>
      <c r="AN255" s="55">
        <f>IF(AK255="","",BrokeragePerOrder*2*MAX(1,N(L255)))</f>
        <v/>
      </c>
      <c r="AO255" s="55">
        <f>IF(AK255="","",STTRate*IF(I255="Buy",AE255,P255)*N255)</f>
        <v/>
      </c>
      <c r="AP255" s="55">
        <f>IF(AK255="","",ExchRate*AM255)</f>
        <v/>
      </c>
      <c r="AQ255" s="55">
        <f>IF(AK255="","",SEBIRate*AM255)</f>
        <v/>
      </c>
      <c r="AR255" s="55">
        <f>IF(AK255="","",StampRate*IF(I255="Buy",P255,AE255)*N255)</f>
        <v/>
      </c>
      <c r="AS255" s="55">
        <f>IF(AK255="","",GSTRate*(AN255+AP255+AQ255))</f>
        <v/>
      </c>
      <c r="AT255" s="55">
        <f>IF(AK255="","",AN255+AO255+AP255+AQ255+AR255+AS255)</f>
        <v/>
      </c>
      <c r="AU255" s="39">
        <f>IF(AK255="","",AK255-AT255)</f>
        <v/>
      </c>
      <c r="AV255" s="56">
        <f>IF(AU255="","",AU255/IF(N(Z255)&gt;0,Z255,RiskPerTrade))</f>
        <v/>
      </c>
      <c r="AW255" s="31">
        <f>IF(AU255="","",AU255/Capital)</f>
        <v/>
      </c>
      <c r="AX255" s="37" t="n"/>
      <c r="AY255" s="37" t="n"/>
      <c r="AZ255" s="37" t="n"/>
      <c r="BA255" s="37" t="n"/>
      <c r="BB255" s="37" t="n"/>
      <c r="BC255" s="37" t="n"/>
      <c r="BD255" s="37" t="n"/>
      <c r="BE255" s="5">
        <f>IF(AU255="","",IF(AU255&gt;0,"Win",IF(AU255&lt;0,"Loss","BE")))</f>
        <v/>
      </c>
      <c r="BF255" s="5">
        <f>IF(O255="","",LOOKUP(O255,List_BucketStart,List_BucketLabel))</f>
        <v/>
      </c>
      <c r="BG255" s="57">
        <f>IF(B255="","",B255-WEEKDAY(B255,3))</f>
        <v/>
      </c>
      <c r="BH255" s="28">
        <f>IF(B255="","",COUNTIF($B$6:B255,B255))</f>
        <v/>
      </c>
      <c r="BI255" s="39">
        <f>IF(B255="","",SUMIFS($AU$6:AU255,$B$6:B255,B255)-N(AU255))</f>
        <v/>
      </c>
      <c r="BJ255" s="5">
        <f>IF(OR(B255="",E255=""),"",IF(AND(E255=0,I255="Sell",MAX(N(O255),N(AD255))&gt;ExpiryCutoff),"BREACH","OK"))</f>
        <v/>
      </c>
      <c r="BK255" s="5">
        <f>IF(B255="","",IF(OR(AC255&lt;&gt;"OK",BJ255="BREACH",BH255&gt;MaxTradesDay,BI255&lt;=-DailyLossLimit,OR(AF255="Panic",AF255="Revenge",AF255="Rule break")),"CHECK","OK"))</f>
        <v/>
      </c>
      <c r="BL255" s="39">
        <f>IF(AU255="","",SUM($AU$6:AU255))</f>
        <v/>
      </c>
      <c r="BM255" s="39">
        <f>IF(BL255="","",Capital+BL255)</f>
        <v/>
      </c>
      <c r="BN255" s="39">
        <f>IF(BM255="","",MAX(Capital,MAX($BM$6:BM255)))</f>
        <v/>
      </c>
      <c r="BO255" s="39">
        <f>IF(BM255="","",BN255-BM255)</f>
        <v/>
      </c>
      <c r="BP255" s="58">
        <f>IF(BO255="","",BO255/BN255)</f>
        <v/>
      </c>
      <c r="BQ255" s="28">
        <f>IF(AU255="","",IF(AU255&lt;0,N(BQ254)+1,0))</f>
        <v/>
      </c>
    </row>
    <row r="256">
      <c r="A256" s="28">
        <f>IF(B256="","",COUNT($B$6:B256))</f>
        <v/>
      </c>
      <c r="B256" s="27" t="n"/>
      <c r="C256" s="5">
        <f>IF(B256="","",TEXT(B256,"ddd"))</f>
        <v/>
      </c>
      <c r="D256" s="27" t="n"/>
      <c r="E256" s="28">
        <f>IF(OR(B256="",D256=""),"",MAX(0,NETWORKDAYS(B256,D256)-1))</f>
        <v/>
      </c>
      <c r="F256" s="37" t="n"/>
      <c r="G256" s="36" t="n"/>
      <c r="H256" s="37" t="n"/>
      <c r="I256" s="37" t="n"/>
      <c r="J256" s="37" t="n"/>
      <c r="K256" s="37" t="n"/>
      <c r="L256" s="36" t="n"/>
      <c r="M256" s="36" t="n"/>
      <c r="N256" s="33">
        <f>IF(M256="","",M256*LotSize)</f>
        <v/>
      </c>
      <c r="O256" s="51" t="n"/>
      <c r="P256" s="32" t="n"/>
      <c r="Q256" s="29" t="n"/>
      <c r="R256" s="30">
        <f>IF(OR(G256="",Q256="",H256=""),"",IF(H256="CE",G256-Q256,Q256-G256))</f>
        <v/>
      </c>
      <c r="S256" s="31">
        <f>IF(R256="","",R256/Q256)</f>
        <v/>
      </c>
      <c r="T256" s="38" t="n"/>
      <c r="U256" s="32" t="n"/>
      <c r="V256" s="52" t="n"/>
      <c r="W256" s="37" t="n"/>
      <c r="X256" s="32" t="n"/>
      <c r="Y256" s="32" t="n"/>
      <c r="Z256" s="39">
        <f>IF(OR(X256="",P256="",N256=""),"",ABS(X256-P256)*N256)</f>
        <v/>
      </c>
      <c r="AA256" s="53">
        <f>IF(OR(Z256="",Y256=""),"",IF(Z256=0,"",ABS(P256-Y256)*N256/Z256))</f>
        <v/>
      </c>
      <c r="AB256" s="54">
        <f>IF(Z256="","",Z256/Capital)</f>
        <v/>
      </c>
      <c r="AC256" s="5">
        <f>IF(B256="","",IF(X256="","NO SL",IF(OR(N(M256)&gt;MaxLots,N(AB256)&gt;RiskPct),"OVERSIZED","OK")))</f>
        <v/>
      </c>
      <c r="AD256" s="51" t="n"/>
      <c r="AE256" s="32" t="n"/>
      <c r="AF256" s="37" t="n"/>
      <c r="AG256" s="32" t="n"/>
      <c r="AH256" s="32" t="n"/>
      <c r="AI256" s="39">
        <f>IF(OR(AG256="",P256="",N256=""),"",ABS(AG256-P256)*N256)</f>
        <v/>
      </c>
      <c r="AJ256" s="39">
        <f>IF(OR(AH256="",P256="",N256=""),"",ABS(P256-AH256)*N256)</f>
        <v/>
      </c>
      <c r="AK256" s="39">
        <f>IF(OR(AE256="",P256="",N256=""),"",IF(I256="Buy",AE256-P256,P256-AE256)*N256)</f>
        <v/>
      </c>
      <c r="AL256" s="39">
        <f>IF(OR(AJ256="",AK256=""),"",MAX(0,AJ256-AK256))</f>
        <v/>
      </c>
      <c r="AM256" s="39">
        <f>IF(AK256="","",(P256+AE256)*N256)</f>
        <v/>
      </c>
      <c r="AN256" s="55">
        <f>IF(AK256="","",BrokeragePerOrder*2*MAX(1,N(L256)))</f>
        <v/>
      </c>
      <c r="AO256" s="55">
        <f>IF(AK256="","",STTRate*IF(I256="Buy",AE256,P256)*N256)</f>
        <v/>
      </c>
      <c r="AP256" s="55">
        <f>IF(AK256="","",ExchRate*AM256)</f>
        <v/>
      </c>
      <c r="AQ256" s="55">
        <f>IF(AK256="","",SEBIRate*AM256)</f>
        <v/>
      </c>
      <c r="AR256" s="55">
        <f>IF(AK256="","",StampRate*IF(I256="Buy",P256,AE256)*N256)</f>
        <v/>
      </c>
      <c r="AS256" s="55">
        <f>IF(AK256="","",GSTRate*(AN256+AP256+AQ256))</f>
        <v/>
      </c>
      <c r="AT256" s="55">
        <f>IF(AK256="","",AN256+AO256+AP256+AQ256+AR256+AS256)</f>
        <v/>
      </c>
      <c r="AU256" s="39">
        <f>IF(AK256="","",AK256-AT256)</f>
        <v/>
      </c>
      <c r="AV256" s="56">
        <f>IF(AU256="","",AU256/IF(N(Z256)&gt;0,Z256,RiskPerTrade))</f>
        <v/>
      </c>
      <c r="AW256" s="31">
        <f>IF(AU256="","",AU256/Capital)</f>
        <v/>
      </c>
      <c r="AX256" s="37" t="n"/>
      <c r="AY256" s="37" t="n"/>
      <c r="AZ256" s="37" t="n"/>
      <c r="BA256" s="37" t="n"/>
      <c r="BB256" s="37" t="n"/>
      <c r="BC256" s="37" t="n"/>
      <c r="BD256" s="37" t="n"/>
      <c r="BE256" s="5">
        <f>IF(AU256="","",IF(AU256&gt;0,"Win",IF(AU256&lt;0,"Loss","BE")))</f>
        <v/>
      </c>
      <c r="BF256" s="5">
        <f>IF(O256="","",LOOKUP(O256,List_BucketStart,List_BucketLabel))</f>
        <v/>
      </c>
      <c r="BG256" s="57">
        <f>IF(B256="","",B256-WEEKDAY(B256,3))</f>
        <v/>
      </c>
      <c r="BH256" s="28">
        <f>IF(B256="","",COUNTIF($B$6:B256,B256))</f>
        <v/>
      </c>
      <c r="BI256" s="39">
        <f>IF(B256="","",SUMIFS($AU$6:AU256,$B$6:B256,B256)-N(AU256))</f>
        <v/>
      </c>
      <c r="BJ256" s="5">
        <f>IF(OR(B256="",E256=""),"",IF(AND(E256=0,I256="Sell",MAX(N(O256),N(AD256))&gt;ExpiryCutoff),"BREACH","OK"))</f>
        <v/>
      </c>
      <c r="BK256" s="5">
        <f>IF(B256="","",IF(OR(AC256&lt;&gt;"OK",BJ256="BREACH",BH256&gt;MaxTradesDay,BI256&lt;=-DailyLossLimit,OR(AF256="Panic",AF256="Revenge",AF256="Rule break")),"CHECK","OK"))</f>
        <v/>
      </c>
      <c r="BL256" s="39">
        <f>IF(AU256="","",SUM($AU$6:AU256))</f>
        <v/>
      </c>
      <c r="BM256" s="39">
        <f>IF(BL256="","",Capital+BL256)</f>
        <v/>
      </c>
      <c r="BN256" s="39">
        <f>IF(BM256="","",MAX(Capital,MAX($BM$6:BM256)))</f>
        <v/>
      </c>
      <c r="BO256" s="39">
        <f>IF(BM256="","",BN256-BM256)</f>
        <v/>
      </c>
      <c r="BP256" s="58">
        <f>IF(BO256="","",BO256/BN256)</f>
        <v/>
      </c>
      <c r="BQ256" s="28">
        <f>IF(AU256="","",IF(AU256&lt;0,N(BQ255)+1,0))</f>
        <v/>
      </c>
    </row>
    <row r="257">
      <c r="A257" s="28">
        <f>IF(B257="","",COUNT($B$6:B257))</f>
        <v/>
      </c>
      <c r="B257" s="27" t="n"/>
      <c r="C257" s="5">
        <f>IF(B257="","",TEXT(B257,"ddd"))</f>
        <v/>
      </c>
      <c r="D257" s="27" t="n"/>
      <c r="E257" s="28">
        <f>IF(OR(B257="",D257=""),"",MAX(0,NETWORKDAYS(B257,D257)-1))</f>
        <v/>
      </c>
      <c r="F257" s="37" t="n"/>
      <c r="G257" s="36" t="n"/>
      <c r="H257" s="37" t="n"/>
      <c r="I257" s="37" t="n"/>
      <c r="J257" s="37" t="n"/>
      <c r="K257" s="37" t="n"/>
      <c r="L257" s="36" t="n"/>
      <c r="M257" s="36" t="n"/>
      <c r="N257" s="33">
        <f>IF(M257="","",M257*LotSize)</f>
        <v/>
      </c>
      <c r="O257" s="51" t="n"/>
      <c r="P257" s="32" t="n"/>
      <c r="Q257" s="29" t="n"/>
      <c r="R257" s="30">
        <f>IF(OR(G257="",Q257="",H257=""),"",IF(H257="CE",G257-Q257,Q257-G257))</f>
        <v/>
      </c>
      <c r="S257" s="31">
        <f>IF(R257="","",R257/Q257)</f>
        <v/>
      </c>
      <c r="T257" s="38" t="n"/>
      <c r="U257" s="32" t="n"/>
      <c r="V257" s="52" t="n"/>
      <c r="W257" s="37" t="n"/>
      <c r="X257" s="32" t="n"/>
      <c r="Y257" s="32" t="n"/>
      <c r="Z257" s="39">
        <f>IF(OR(X257="",P257="",N257=""),"",ABS(X257-P257)*N257)</f>
        <v/>
      </c>
      <c r="AA257" s="53">
        <f>IF(OR(Z257="",Y257=""),"",IF(Z257=0,"",ABS(P257-Y257)*N257/Z257))</f>
        <v/>
      </c>
      <c r="AB257" s="54">
        <f>IF(Z257="","",Z257/Capital)</f>
        <v/>
      </c>
      <c r="AC257" s="5">
        <f>IF(B257="","",IF(X257="","NO SL",IF(OR(N(M257)&gt;MaxLots,N(AB257)&gt;RiskPct),"OVERSIZED","OK")))</f>
        <v/>
      </c>
      <c r="AD257" s="51" t="n"/>
      <c r="AE257" s="32" t="n"/>
      <c r="AF257" s="37" t="n"/>
      <c r="AG257" s="32" t="n"/>
      <c r="AH257" s="32" t="n"/>
      <c r="AI257" s="39">
        <f>IF(OR(AG257="",P257="",N257=""),"",ABS(AG257-P257)*N257)</f>
        <v/>
      </c>
      <c r="AJ257" s="39">
        <f>IF(OR(AH257="",P257="",N257=""),"",ABS(P257-AH257)*N257)</f>
        <v/>
      </c>
      <c r="AK257" s="39">
        <f>IF(OR(AE257="",P257="",N257=""),"",IF(I257="Buy",AE257-P257,P257-AE257)*N257)</f>
        <v/>
      </c>
      <c r="AL257" s="39">
        <f>IF(OR(AJ257="",AK257=""),"",MAX(0,AJ257-AK257))</f>
        <v/>
      </c>
      <c r="AM257" s="39">
        <f>IF(AK257="","",(P257+AE257)*N257)</f>
        <v/>
      </c>
      <c r="AN257" s="55">
        <f>IF(AK257="","",BrokeragePerOrder*2*MAX(1,N(L257)))</f>
        <v/>
      </c>
      <c r="AO257" s="55">
        <f>IF(AK257="","",STTRate*IF(I257="Buy",AE257,P257)*N257)</f>
        <v/>
      </c>
      <c r="AP257" s="55">
        <f>IF(AK257="","",ExchRate*AM257)</f>
        <v/>
      </c>
      <c r="AQ257" s="55">
        <f>IF(AK257="","",SEBIRate*AM257)</f>
        <v/>
      </c>
      <c r="AR257" s="55">
        <f>IF(AK257="","",StampRate*IF(I257="Buy",P257,AE257)*N257)</f>
        <v/>
      </c>
      <c r="AS257" s="55">
        <f>IF(AK257="","",GSTRate*(AN257+AP257+AQ257))</f>
        <v/>
      </c>
      <c r="AT257" s="55">
        <f>IF(AK257="","",AN257+AO257+AP257+AQ257+AR257+AS257)</f>
        <v/>
      </c>
      <c r="AU257" s="39">
        <f>IF(AK257="","",AK257-AT257)</f>
        <v/>
      </c>
      <c r="AV257" s="56">
        <f>IF(AU257="","",AU257/IF(N(Z257)&gt;0,Z257,RiskPerTrade))</f>
        <v/>
      </c>
      <c r="AW257" s="31">
        <f>IF(AU257="","",AU257/Capital)</f>
        <v/>
      </c>
      <c r="AX257" s="37" t="n"/>
      <c r="AY257" s="37" t="n"/>
      <c r="AZ257" s="37" t="n"/>
      <c r="BA257" s="37" t="n"/>
      <c r="BB257" s="37" t="n"/>
      <c r="BC257" s="37" t="n"/>
      <c r="BD257" s="37" t="n"/>
      <c r="BE257" s="5">
        <f>IF(AU257="","",IF(AU257&gt;0,"Win",IF(AU257&lt;0,"Loss","BE")))</f>
        <v/>
      </c>
      <c r="BF257" s="5">
        <f>IF(O257="","",LOOKUP(O257,List_BucketStart,List_BucketLabel))</f>
        <v/>
      </c>
      <c r="BG257" s="57">
        <f>IF(B257="","",B257-WEEKDAY(B257,3))</f>
        <v/>
      </c>
      <c r="BH257" s="28">
        <f>IF(B257="","",COUNTIF($B$6:B257,B257))</f>
        <v/>
      </c>
      <c r="BI257" s="39">
        <f>IF(B257="","",SUMIFS($AU$6:AU257,$B$6:B257,B257)-N(AU257))</f>
        <v/>
      </c>
      <c r="BJ257" s="5">
        <f>IF(OR(B257="",E257=""),"",IF(AND(E257=0,I257="Sell",MAX(N(O257),N(AD257))&gt;ExpiryCutoff),"BREACH","OK"))</f>
        <v/>
      </c>
      <c r="BK257" s="5">
        <f>IF(B257="","",IF(OR(AC257&lt;&gt;"OK",BJ257="BREACH",BH257&gt;MaxTradesDay,BI257&lt;=-DailyLossLimit,OR(AF257="Panic",AF257="Revenge",AF257="Rule break")),"CHECK","OK"))</f>
        <v/>
      </c>
      <c r="BL257" s="39">
        <f>IF(AU257="","",SUM($AU$6:AU257))</f>
        <v/>
      </c>
      <c r="BM257" s="39">
        <f>IF(BL257="","",Capital+BL257)</f>
        <v/>
      </c>
      <c r="BN257" s="39">
        <f>IF(BM257="","",MAX(Capital,MAX($BM$6:BM257)))</f>
        <v/>
      </c>
      <c r="BO257" s="39">
        <f>IF(BM257="","",BN257-BM257)</f>
        <v/>
      </c>
      <c r="BP257" s="58">
        <f>IF(BO257="","",BO257/BN257)</f>
        <v/>
      </c>
      <c r="BQ257" s="28">
        <f>IF(AU257="","",IF(AU257&lt;0,N(BQ256)+1,0))</f>
        <v/>
      </c>
    </row>
    <row r="258">
      <c r="A258" s="28">
        <f>IF(B258="","",COUNT($B$6:B258))</f>
        <v/>
      </c>
      <c r="B258" s="27" t="n"/>
      <c r="C258" s="5">
        <f>IF(B258="","",TEXT(B258,"ddd"))</f>
        <v/>
      </c>
      <c r="D258" s="27" t="n"/>
      <c r="E258" s="28">
        <f>IF(OR(B258="",D258=""),"",MAX(0,NETWORKDAYS(B258,D258)-1))</f>
        <v/>
      </c>
      <c r="F258" s="37" t="n"/>
      <c r="G258" s="36" t="n"/>
      <c r="H258" s="37" t="n"/>
      <c r="I258" s="37" t="n"/>
      <c r="J258" s="37" t="n"/>
      <c r="K258" s="37" t="n"/>
      <c r="L258" s="36" t="n"/>
      <c r="M258" s="36" t="n"/>
      <c r="N258" s="33">
        <f>IF(M258="","",M258*LotSize)</f>
        <v/>
      </c>
      <c r="O258" s="51" t="n"/>
      <c r="P258" s="32" t="n"/>
      <c r="Q258" s="29" t="n"/>
      <c r="R258" s="30">
        <f>IF(OR(G258="",Q258="",H258=""),"",IF(H258="CE",G258-Q258,Q258-G258))</f>
        <v/>
      </c>
      <c r="S258" s="31">
        <f>IF(R258="","",R258/Q258)</f>
        <v/>
      </c>
      <c r="T258" s="38" t="n"/>
      <c r="U258" s="32" t="n"/>
      <c r="V258" s="52" t="n"/>
      <c r="W258" s="37" t="n"/>
      <c r="X258" s="32" t="n"/>
      <c r="Y258" s="32" t="n"/>
      <c r="Z258" s="39">
        <f>IF(OR(X258="",P258="",N258=""),"",ABS(X258-P258)*N258)</f>
        <v/>
      </c>
      <c r="AA258" s="53">
        <f>IF(OR(Z258="",Y258=""),"",IF(Z258=0,"",ABS(P258-Y258)*N258/Z258))</f>
        <v/>
      </c>
      <c r="AB258" s="54">
        <f>IF(Z258="","",Z258/Capital)</f>
        <v/>
      </c>
      <c r="AC258" s="5">
        <f>IF(B258="","",IF(X258="","NO SL",IF(OR(N(M258)&gt;MaxLots,N(AB258)&gt;RiskPct),"OVERSIZED","OK")))</f>
        <v/>
      </c>
      <c r="AD258" s="51" t="n"/>
      <c r="AE258" s="32" t="n"/>
      <c r="AF258" s="37" t="n"/>
      <c r="AG258" s="32" t="n"/>
      <c r="AH258" s="32" t="n"/>
      <c r="AI258" s="39">
        <f>IF(OR(AG258="",P258="",N258=""),"",ABS(AG258-P258)*N258)</f>
        <v/>
      </c>
      <c r="AJ258" s="39">
        <f>IF(OR(AH258="",P258="",N258=""),"",ABS(P258-AH258)*N258)</f>
        <v/>
      </c>
      <c r="AK258" s="39">
        <f>IF(OR(AE258="",P258="",N258=""),"",IF(I258="Buy",AE258-P258,P258-AE258)*N258)</f>
        <v/>
      </c>
      <c r="AL258" s="39">
        <f>IF(OR(AJ258="",AK258=""),"",MAX(0,AJ258-AK258))</f>
        <v/>
      </c>
      <c r="AM258" s="39">
        <f>IF(AK258="","",(P258+AE258)*N258)</f>
        <v/>
      </c>
      <c r="AN258" s="55">
        <f>IF(AK258="","",BrokeragePerOrder*2*MAX(1,N(L258)))</f>
        <v/>
      </c>
      <c r="AO258" s="55">
        <f>IF(AK258="","",STTRate*IF(I258="Buy",AE258,P258)*N258)</f>
        <v/>
      </c>
      <c r="AP258" s="55">
        <f>IF(AK258="","",ExchRate*AM258)</f>
        <v/>
      </c>
      <c r="AQ258" s="55">
        <f>IF(AK258="","",SEBIRate*AM258)</f>
        <v/>
      </c>
      <c r="AR258" s="55">
        <f>IF(AK258="","",StampRate*IF(I258="Buy",P258,AE258)*N258)</f>
        <v/>
      </c>
      <c r="AS258" s="55">
        <f>IF(AK258="","",GSTRate*(AN258+AP258+AQ258))</f>
        <v/>
      </c>
      <c r="AT258" s="55">
        <f>IF(AK258="","",AN258+AO258+AP258+AQ258+AR258+AS258)</f>
        <v/>
      </c>
      <c r="AU258" s="39">
        <f>IF(AK258="","",AK258-AT258)</f>
        <v/>
      </c>
      <c r="AV258" s="56">
        <f>IF(AU258="","",AU258/IF(N(Z258)&gt;0,Z258,RiskPerTrade))</f>
        <v/>
      </c>
      <c r="AW258" s="31">
        <f>IF(AU258="","",AU258/Capital)</f>
        <v/>
      </c>
      <c r="AX258" s="37" t="n"/>
      <c r="AY258" s="37" t="n"/>
      <c r="AZ258" s="37" t="n"/>
      <c r="BA258" s="37" t="n"/>
      <c r="BB258" s="37" t="n"/>
      <c r="BC258" s="37" t="n"/>
      <c r="BD258" s="37" t="n"/>
      <c r="BE258" s="5">
        <f>IF(AU258="","",IF(AU258&gt;0,"Win",IF(AU258&lt;0,"Loss","BE")))</f>
        <v/>
      </c>
      <c r="BF258" s="5">
        <f>IF(O258="","",LOOKUP(O258,List_BucketStart,List_BucketLabel))</f>
        <v/>
      </c>
      <c r="BG258" s="57">
        <f>IF(B258="","",B258-WEEKDAY(B258,3))</f>
        <v/>
      </c>
      <c r="BH258" s="28">
        <f>IF(B258="","",COUNTIF($B$6:B258,B258))</f>
        <v/>
      </c>
      <c r="BI258" s="39">
        <f>IF(B258="","",SUMIFS($AU$6:AU258,$B$6:B258,B258)-N(AU258))</f>
        <v/>
      </c>
      <c r="BJ258" s="5">
        <f>IF(OR(B258="",E258=""),"",IF(AND(E258=0,I258="Sell",MAX(N(O258),N(AD258))&gt;ExpiryCutoff),"BREACH","OK"))</f>
        <v/>
      </c>
      <c r="BK258" s="5">
        <f>IF(B258="","",IF(OR(AC258&lt;&gt;"OK",BJ258="BREACH",BH258&gt;MaxTradesDay,BI258&lt;=-DailyLossLimit,OR(AF258="Panic",AF258="Revenge",AF258="Rule break")),"CHECK","OK"))</f>
        <v/>
      </c>
      <c r="BL258" s="39">
        <f>IF(AU258="","",SUM($AU$6:AU258))</f>
        <v/>
      </c>
      <c r="BM258" s="39">
        <f>IF(BL258="","",Capital+BL258)</f>
        <v/>
      </c>
      <c r="BN258" s="39">
        <f>IF(BM258="","",MAX(Capital,MAX($BM$6:BM258)))</f>
        <v/>
      </c>
      <c r="BO258" s="39">
        <f>IF(BM258="","",BN258-BM258)</f>
        <v/>
      </c>
      <c r="BP258" s="58">
        <f>IF(BO258="","",BO258/BN258)</f>
        <v/>
      </c>
      <c r="BQ258" s="28">
        <f>IF(AU258="","",IF(AU258&lt;0,N(BQ257)+1,0))</f>
        <v/>
      </c>
    </row>
    <row r="259">
      <c r="A259" s="28">
        <f>IF(B259="","",COUNT($B$6:B259))</f>
        <v/>
      </c>
      <c r="B259" s="27" t="n"/>
      <c r="C259" s="5">
        <f>IF(B259="","",TEXT(B259,"ddd"))</f>
        <v/>
      </c>
      <c r="D259" s="27" t="n"/>
      <c r="E259" s="28">
        <f>IF(OR(B259="",D259=""),"",MAX(0,NETWORKDAYS(B259,D259)-1))</f>
        <v/>
      </c>
      <c r="F259" s="37" t="n"/>
      <c r="G259" s="36" t="n"/>
      <c r="H259" s="37" t="n"/>
      <c r="I259" s="37" t="n"/>
      <c r="J259" s="37" t="n"/>
      <c r="K259" s="37" t="n"/>
      <c r="L259" s="36" t="n"/>
      <c r="M259" s="36" t="n"/>
      <c r="N259" s="33">
        <f>IF(M259="","",M259*LotSize)</f>
        <v/>
      </c>
      <c r="O259" s="51" t="n"/>
      <c r="P259" s="32" t="n"/>
      <c r="Q259" s="29" t="n"/>
      <c r="R259" s="30">
        <f>IF(OR(G259="",Q259="",H259=""),"",IF(H259="CE",G259-Q259,Q259-G259))</f>
        <v/>
      </c>
      <c r="S259" s="31">
        <f>IF(R259="","",R259/Q259)</f>
        <v/>
      </c>
      <c r="T259" s="38" t="n"/>
      <c r="U259" s="32" t="n"/>
      <c r="V259" s="52" t="n"/>
      <c r="W259" s="37" t="n"/>
      <c r="X259" s="32" t="n"/>
      <c r="Y259" s="32" t="n"/>
      <c r="Z259" s="39">
        <f>IF(OR(X259="",P259="",N259=""),"",ABS(X259-P259)*N259)</f>
        <v/>
      </c>
      <c r="AA259" s="53">
        <f>IF(OR(Z259="",Y259=""),"",IF(Z259=0,"",ABS(P259-Y259)*N259/Z259))</f>
        <v/>
      </c>
      <c r="AB259" s="54">
        <f>IF(Z259="","",Z259/Capital)</f>
        <v/>
      </c>
      <c r="AC259" s="5">
        <f>IF(B259="","",IF(X259="","NO SL",IF(OR(N(M259)&gt;MaxLots,N(AB259)&gt;RiskPct),"OVERSIZED","OK")))</f>
        <v/>
      </c>
      <c r="AD259" s="51" t="n"/>
      <c r="AE259" s="32" t="n"/>
      <c r="AF259" s="37" t="n"/>
      <c r="AG259" s="32" t="n"/>
      <c r="AH259" s="32" t="n"/>
      <c r="AI259" s="39">
        <f>IF(OR(AG259="",P259="",N259=""),"",ABS(AG259-P259)*N259)</f>
        <v/>
      </c>
      <c r="AJ259" s="39">
        <f>IF(OR(AH259="",P259="",N259=""),"",ABS(P259-AH259)*N259)</f>
        <v/>
      </c>
      <c r="AK259" s="39">
        <f>IF(OR(AE259="",P259="",N259=""),"",IF(I259="Buy",AE259-P259,P259-AE259)*N259)</f>
        <v/>
      </c>
      <c r="AL259" s="39">
        <f>IF(OR(AJ259="",AK259=""),"",MAX(0,AJ259-AK259))</f>
        <v/>
      </c>
      <c r="AM259" s="39">
        <f>IF(AK259="","",(P259+AE259)*N259)</f>
        <v/>
      </c>
      <c r="AN259" s="55">
        <f>IF(AK259="","",BrokeragePerOrder*2*MAX(1,N(L259)))</f>
        <v/>
      </c>
      <c r="AO259" s="55">
        <f>IF(AK259="","",STTRate*IF(I259="Buy",AE259,P259)*N259)</f>
        <v/>
      </c>
      <c r="AP259" s="55">
        <f>IF(AK259="","",ExchRate*AM259)</f>
        <v/>
      </c>
      <c r="AQ259" s="55">
        <f>IF(AK259="","",SEBIRate*AM259)</f>
        <v/>
      </c>
      <c r="AR259" s="55">
        <f>IF(AK259="","",StampRate*IF(I259="Buy",P259,AE259)*N259)</f>
        <v/>
      </c>
      <c r="AS259" s="55">
        <f>IF(AK259="","",GSTRate*(AN259+AP259+AQ259))</f>
        <v/>
      </c>
      <c r="AT259" s="55">
        <f>IF(AK259="","",AN259+AO259+AP259+AQ259+AR259+AS259)</f>
        <v/>
      </c>
      <c r="AU259" s="39">
        <f>IF(AK259="","",AK259-AT259)</f>
        <v/>
      </c>
      <c r="AV259" s="56">
        <f>IF(AU259="","",AU259/IF(N(Z259)&gt;0,Z259,RiskPerTrade))</f>
        <v/>
      </c>
      <c r="AW259" s="31">
        <f>IF(AU259="","",AU259/Capital)</f>
        <v/>
      </c>
      <c r="AX259" s="37" t="n"/>
      <c r="AY259" s="37" t="n"/>
      <c r="AZ259" s="37" t="n"/>
      <c r="BA259" s="37" t="n"/>
      <c r="BB259" s="37" t="n"/>
      <c r="BC259" s="37" t="n"/>
      <c r="BD259" s="37" t="n"/>
      <c r="BE259" s="5">
        <f>IF(AU259="","",IF(AU259&gt;0,"Win",IF(AU259&lt;0,"Loss","BE")))</f>
        <v/>
      </c>
      <c r="BF259" s="5">
        <f>IF(O259="","",LOOKUP(O259,List_BucketStart,List_BucketLabel))</f>
        <v/>
      </c>
      <c r="BG259" s="57">
        <f>IF(B259="","",B259-WEEKDAY(B259,3))</f>
        <v/>
      </c>
      <c r="BH259" s="28">
        <f>IF(B259="","",COUNTIF($B$6:B259,B259))</f>
        <v/>
      </c>
      <c r="BI259" s="39">
        <f>IF(B259="","",SUMIFS($AU$6:AU259,$B$6:B259,B259)-N(AU259))</f>
        <v/>
      </c>
      <c r="BJ259" s="5">
        <f>IF(OR(B259="",E259=""),"",IF(AND(E259=0,I259="Sell",MAX(N(O259),N(AD259))&gt;ExpiryCutoff),"BREACH","OK"))</f>
        <v/>
      </c>
      <c r="BK259" s="5">
        <f>IF(B259="","",IF(OR(AC259&lt;&gt;"OK",BJ259="BREACH",BH259&gt;MaxTradesDay,BI259&lt;=-DailyLossLimit,OR(AF259="Panic",AF259="Revenge",AF259="Rule break")),"CHECK","OK"))</f>
        <v/>
      </c>
      <c r="BL259" s="39">
        <f>IF(AU259="","",SUM($AU$6:AU259))</f>
        <v/>
      </c>
      <c r="BM259" s="39">
        <f>IF(BL259="","",Capital+BL259)</f>
        <v/>
      </c>
      <c r="BN259" s="39">
        <f>IF(BM259="","",MAX(Capital,MAX($BM$6:BM259)))</f>
        <v/>
      </c>
      <c r="BO259" s="39">
        <f>IF(BM259="","",BN259-BM259)</f>
        <v/>
      </c>
      <c r="BP259" s="58">
        <f>IF(BO259="","",BO259/BN259)</f>
        <v/>
      </c>
      <c r="BQ259" s="28">
        <f>IF(AU259="","",IF(AU259&lt;0,N(BQ258)+1,0))</f>
        <v/>
      </c>
    </row>
    <row r="260">
      <c r="A260" s="28">
        <f>IF(B260="","",COUNT($B$6:B260))</f>
        <v/>
      </c>
      <c r="B260" s="27" t="n"/>
      <c r="C260" s="5">
        <f>IF(B260="","",TEXT(B260,"ddd"))</f>
        <v/>
      </c>
      <c r="D260" s="27" t="n"/>
      <c r="E260" s="28">
        <f>IF(OR(B260="",D260=""),"",MAX(0,NETWORKDAYS(B260,D260)-1))</f>
        <v/>
      </c>
      <c r="F260" s="37" t="n"/>
      <c r="G260" s="36" t="n"/>
      <c r="H260" s="37" t="n"/>
      <c r="I260" s="37" t="n"/>
      <c r="J260" s="37" t="n"/>
      <c r="K260" s="37" t="n"/>
      <c r="L260" s="36" t="n"/>
      <c r="M260" s="36" t="n"/>
      <c r="N260" s="33">
        <f>IF(M260="","",M260*LotSize)</f>
        <v/>
      </c>
      <c r="O260" s="51" t="n"/>
      <c r="P260" s="32" t="n"/>
      <c r="Q260" s="29" t="n"/>
      <c r="R260" s="30">
        <f>IF(OR(G260="",Q260="",H260=""),"",IF(H260="CE",G260-Q260,Q260-G260))</f>
        <v/>
      </c>
      <c r="S260" s="31">
        <f>IF(R260="","",R260/Q260)</f>
        <v/>
      </c>
      <c r="T260" s="38" t="n"/>
      <c r="U260" s="32" t="n"/>
      <c r="V260" s="52" t="n"/>
      <c r="W260" s="37" t="n"/>
      <c r="X260" s="32" t="n"/>
      <c r="Y260" s="32" t="n"/>
      <c r="Z260" s="39">
        <f>IF(OR(X260="",P260="",N260=""),"",ABS(X260-P260)*N260)</f>
        <v/>
      </c>
      <c r="AA260" s="53">
        <f>IF(OR(Z260="",Y260=""),"",IF(Z260=0,"",ABS(P260-Y260)*N260/Z260))</f>
        <v/>
      </c>
      <c r="AB260" s="54">
        <f>IF(Z260="","",Z260/Capital)</f>
        <v/>
      </c>
      <c r="AC260" s="5">
        <f>IF(B260="","",IF(X260="","NO SL",IF(OR(N(M260)&gt;MaxLots,N(AB260)&gt;RiskPct),"OVERSIZED","OK")))</f>
        <v/>
      </c>
      <c r="AD260" s="51" t="n"/>
      <c r="AE260" s="32" t="n"/>
      <c r="AF260" s="37" t="n"/>
      <c r="AG260" s="32" t="n"/>
      <c r="AH260" s="32" t="n"/>
      <c r="AI260" s="39">
        <f>IF(OR(AG260="",P260="",N260=""),"",ABS(AG260-P260)*N260)</f>
        <v/>
      </c>
      <c r="AJ260" s="39">
        <f>IF(OR(AH260="",P260="",N260=""),"",ABS(P260-AH260)*N260)</f>
        <v/>
      </c>
      <c r="AK260" s="39">
        <f>IF(OR(AE260="",P260="",N260=""),"",IF(I260="Buy",AE260-P260,P260-AE260)*N260)</f>
        <v/>
      </c>
      <c r="AL260" s="39">
        <f>IF(OR(AJ260="",AK260=""),"",MAX(0,AJ260-AK260))</f>
        <v/>
      </c>
      <c r="AM260" s="39">
        <f>IF(AK260="","",(P260+AE260)*N260)</f>
        <v/>
      </c>
      <c r="AN260" s="55">
        <f>IF(AK260="","",BrokeragePerOrder*2*MAX(1,N(L260)))</f>
        <v/>
      </c>
      <c r="AO260" s="55">
        <f>IF(AK260="","",STTRate*IF(I260="Buy",AE260,P260)*N260)</f>
        <v/>
      </c>
      <c r="AP260" s="55">
        <f>IF(AK260="","",ExchRate*AM260)</f>
        <v/>
      </c>
      <c r="AQ260" s="55">
        <f>IF(AK260="","",SEBIRate*AM260)</f>
        <v/>
      </c>
      <c r="AR260" s="55">
        <f>IF(AK260="","",StampRate*IF(I260="Buy",P260,AE260)*N260)</f>
        <v/>
      </c>
      <c r="AS260" s="55">
        <f>IF(AK260="","",GSTRate*(AN260+AP260+AQ260))</f>
        <v/>
      </c>
      <c r="AT260" s="55">
        <f>IF(AK260="","",AN260+AO260+AP260+AQ260+AR260+AS260)</f>
        <v/>
      </c>
      <c r="AU260" s="39">
        <f>IF(AK260="","",AK260-AT260)</f>
        <v/>
      </c>
      <c r="AV260" s="56">
        <f>IF(AU260="","",AU260/IF(N(Z260)&gt;0,Z260,RiskPerTrade))</f>
        <v/>
      </c>
      <c r="AW260" s="31">
        <f>IF(AU260="","",AU260/Capital)</f>
        <v/>
      </c>
      <c r="AX260" s="37" t="n"/>
      <c r="AY260" s="37" t="n"/>
      <c r="AZ260" s="37" t="n"/>
      <c r="BA260" s="37" t="n"/>
      <c r="BB260" s="37" t="n"/>
      <c r="BC260" s="37" t="n"/>
      <c r="BD260" s="37" t="n"/>
      <c r="BE260" s="5">
        <f>IF(AU260="","",IF(AU260&gt;0,"Win",IF(AU260&lt;0,"Loss","BE")))</f>
        <v/>
      </c>
      <c r="BF260" s="5">
        <f>IF(O260="","",LOOKUP(O260,List_BucketStart,List_BucketLabel))</f>
        <v/>
      </c>
      <c r="BG260" s="57">
        <f>IF(B260="","",B260-WEEKDAY(B260,3))</f>
        <v/>
      </c>
      <c r="BH260" s="28">
        <f>IF(B260="","",COUNTIF($B$6:B260,B260))</f>
        <v/>
      </c>
      <c r="BI260" s="39">
        <f>IF(B260="","",SUMIFS($AU$6:AU260,$B$6:B260,B260)-N(AU260))</f>
        <v/>
      </c>
      <c r="BJ260" s="5">
        <f>IF(OR(B260="",E260=""),"",IF(AND(E260=0,I260="Sell",MAX(N(O260),N(AD260))&gt;ExpiryCutoff),"BREACH","OK"))</f>
        <v/>
      </c>
      <c r="BK260" s="5">
        <f>IF(B260="","",IF(OR(AC260&lt;&gt;"OK",BJ260="BREACH",BH260&gt;MaxTradesDay,BI260&lt;=-DailyLossLimit,OR(AF260="Panic",AF260="Revenge",AF260="Rule break")),"CHECK","OK"))</f>
        <v/>
      </c>
      <c r="BL260" s="39">
        <f>IF(AU260="","",SUM($AU$6:AU260))</f>
        <v/>
      </c>
      <c r="BM260" s="39">
        <f>IF(BL260="","",Capital+BL260)</f>
        <v/>
      </c>
      <c r="BN260" s="39">
        <f>IF(BM260="","",MAX(Capital,MAX($BM$6:BM260)))</f>
        <v/>
      </c>
      <c r="BO260" s="39">
        <f>IF(BM260="","",BN260-BM260)</f>
        <v/>
      </c>
      <c r="BP260" s="58">
        <f>IF(BO260="","",BO260/BN260)</f>
        <v/>
      </c>
      <c r="BQ260" s="28">
        <f>IF(AU260="","",IF(AU260&lt;0,N(BQ259)+1,0))</f>
        <v/>
      </c>
    </row>
    <row r="261">
      <c r="A261" s="28">
        <f>IF(B261="","",COUNT($B$6:B261))</f>
        <v/>
      </c>
      <c r="B261" s="27" t="n"/>
      <c r="C261" s="5">
        <f>IF(B261="","",TEXT(B261,"ddd"))</f>
        <v/>
      </c>
      <c r="D261" s="27" t="n"/>
      <c r="E261" s="28">
        <f>IF(OR(B261="",D261=""),"",MAX(0,NETWORKDAYS(B261,D261)-1))</f>
        <v/>
      </c>
      <c r="F261" s="37" t="n"/>
      <c r="G261" s="36" t="n"/>
      <c r="H261" s="37" t="n"/>
      <c r="I261" s="37" t="n"/>
      <c r="J261" s="37" t="n"/>
      <c r="K261" s="37" t="n"/>
      <c r="L261" s="36" t="n"/>
      <c r="M261" s="36" t="n"/>
      <c r="N261" s="33">
        <f>IF(M261="","",M261*LotSize)</f>
        <v/>
      </c>
      <c r="O261" s="51" t="n"/>
      <c r="P261" s="32" t="n"/>
      <c r="Q261" s="29" t="n"/>
      <c r="R261" s="30">
        <f>IF(OR(G261="",Q261="",H261=""),"",IF(H261="CE",G261-Q261,Q261-G261))</f>
        <v/>
      </c>
      <c r="S261" s="31">
        <f>IF(R261="","",R261/Q261)</f>
        <v/>
      </c>
      <c r="T261" s="38" t="n"/>
      <c r="U261" s="32" t="n"/>
      <c r="V261" s="52" t="n"/>
      <c r="W261" s="37" t="n"/>
      <c r="X261" s="32" t="n"/>
      <c r="Y261" s="32" t="n"/>
      <c r="Z261" s="39">
        <f>IF(OR(X261="",P261="",N261=""),"",ABS(X261-P261)*N261)</f>
        <v/>
      </c>
      <c r="AA261" s="53">
        <f>IF(OR(Z261="",Y261=""),"",IF(Z261=0,"",ABS(P261-Y261)*N261/Z261))</f>
        <v/>
      </c>
      <c r="AB261" s="54">
        <f>IF(Z261="","",Z261/Capital)</f>
        <v/>
      </c>
      <c r="AC261" s="5">
        <f>IF(B261="","",IF(X261="","NO SL",IF(OR(N(M261)&gt;MaxLots,N(AB261)&gt;RiskPct),"OVERSIZED","OK")))</f>
        <v/>
      </c>
      <c r="AD261" s="51" t="n"/>
      <c r="AE261" s="32" t="n"/>
      <c r="AF261" s="37" t="n"/>
      <c r="AG261" s="32" t="n"/>
      <c r="AH261" s="32" t="n"/>
      <c r="AI261" s="39">
        <f>IF(OR(AG261="",P261="",N261=""),"",ABS(AG261-P261)*N261)</f>
        <v/>
      </c>
      <c r="AJ261" s="39">
        <f>IF(OR(AH261="",P261="",N261=""),"",ABS(P261-AH261)*N261)</f>
        <v/>
      </c>
      <c r="AK261" s="39">
        <f>IF(OR(AE261="",P261="",N261=""),"",IF(I261="Buy",AE261-P261,P261-AE261)*N261)</f>
        <v/>
      </c>
      <c r="AL261" s="39">
        <f>IF(OR(AJ261="",AK261=""),"",MAX(0,AJ261-AK261))</f>
        <v/>
      </c>
      <c r="AM261" s="39">
        <f>IF(AK261="","",(P261+AE261)*N261)</f>
        <v/>
      </c>
      <c r="AN261" s="55">
        <f>IF(AK261="","",BrokeragePerOrder*2*MAX(1,N(L261)))</f>
        <v/>
      </c>
      <c r="AO261" s="55">
        <f>IF(AK261="","",STTRate*IF(I261="Buy",AE261,P261)*N261)</f>
        <v/>
      </c>
      <c r="AP261" s="55">
        <f>IF(AK261="","",ExchRate*AM261)</f>
        <v/>
      </c>
      <c r="AQ261" s="55">
        <f>IF(AK261="","",SEBIRate*AM261)</f>
        <v/>
      </c>
      <c r="AR261" s="55">
        <f>IF(AK261="","",StampRate*IF(I261="Buy",P261,AE261)*N261)</f>
        <v/>
      </c>
      <c r="AS261" s="55">
        <f>IF(AK261="","",GSTRate*(AN261+AP261+AQ261))</f>
        <v/>
      </c>
      <c r="AT261" s="55">
        <f>IF(AK261="","",AN261+AO261+AP261+AQ261+AR261+AS261)</f>
        <v/>
      </c>
      <c r="AU261" s="39">
        <f>IF(AK261="","",AK261-AT261)</f>
        <v/>
      </c>
      <c r="AV261" s="56">
        <f>IF(AU261="","",AU261/IF(N(Z261)&gt;0,Z261,RiskPerTrade))</f>
        <v/>
      </c>
      <c r="AW261" s="31">
        <f>IF(AU261="","",AU261/Capital)</f>
        <v/>
      </c>
      <c r="AX261" s="37" t="n"/>
      <c r="AY261" s="37" t="n"/>
      <c r="AZ261" s="37" t="n"/>
      <c r="BA261" s="37" t="n"/>
      <c r="BB261" s="37" t="n"/>
      <c r="BC261" s="37" t="n"/>
      <c r="BD261" s="37" t="n"/>
      <c r="BE261" s="5">
        <f>IF(AU261="","",IF(AU261&gt;0,"Win",IF(AU261&lt;0,"Loss","BE")))</f>
        <v/>
      </c>
      <c r="BF261" s="5">
        <f>IF(O261="","",LOOKUP(O261,List_BucketStart,List_BucketLabel))</f>
        <v/>
      </c>
      <c r="BG261" s="57">
        <f>IF(B261="","",B261-WEEKDAY(B261,3))</f>
        <v/>
      </c>
      <c r="BH261" s="28">
        <f>IF(B261="","",COUNTIF($B$6:B261,B261))</f>
        <v/>
      </c>
      <c r="BI261" s="39">
        <f>IF(B261="","",SUMIFS($AU$6:AU261,$B$6:B261,B261)-N(AU261))</f>
        <v/>
      </c>
      <c r="BJ261" s="5">
        <f>IF(OR(B261="",E261=""),"",IF(AND(E261=0,I261="Sell",MAX(N(O261),N(AD261))&gt;ExpiryCutoff),"BREACH","OK"))</f>
        <v/>
      </c>
      <c r="BK261" s="5">
        <f>IF(B261="","",IF(OR(AC261&lt;&gt;"OK",BJ261="BREACH",BH261&gt;MaxTradesDay,BI261&lt;=-DailyLossLimit,OR(AF261="Panic",AF261="Revenge",AF261="Rule break")),"CHECK","OK"))</f>
        <v/>
      </c>
      <c r="BL261" s="39">
        <f>IF(AU261="","",SUM($AU$6:AU261))</f>
        <v/>
      </c>
      <c r="BM261" s="39">
        <f>IF(BL261="","",Capital+BL261)</f>
        <v/>
      </c>
      <c r="BN261" s="39">
        <f>IF(BM261="","",MAX(Capital,MAX($BM$6:BM261)))</f>
        <v/>
      </c>
      <c r="BO261" s="39">
        <f>IF(BM261="","",BN261-BM261)</f>
        <v/>
      </c>
      <c r="BP261" s="58">
        <f>IF(BO261="","",BO261/BN261)</f>
        <v/>
      </c>
      <c r="BQ261" s="28">
        <f>IF(AU261="","",IF(AU261&lt;0,N(BQ260)+1,0))</f>
        <v/>
      </c>
    </row>
    <row r="262">
      <c r="A262" s="28">
        <f>IF(B262="","",COUNT($B$6:B262))</f>
        <v/>
      </c>
      <c r="B262" s="27" t="n"/>
      <c r="C262" s="5">
        <f>IF(B262="","",TEXT(B262,"ddd"))</f>
        <v/>
      </c>
      <c r="D262" s="27" t="n"/>
      <c r="E262" s="28">
        <f>IF(OR(B262="",D262=""),"",MAX(0,NETWORKDAYS(B262,D262)-1))</f>
        <v/>
      </c>
      <c r="F262" s="37" t="n"/>
      <c r="G262" s="36" t="n"/>
      <c r="H262" s="37" t="n"/>
      <c r="I262" s="37" t="n"/>
      <c r="J262" s="37" t="n"/>
      <c r="K262" s="37" t="n"/>
      <c r="L262" s="36" t="n"/>
      <c r="M262" s="36" t="n"/>
      <c r="N262" s="33">
        <f>IF(M262="","",M262*LotSize)</f>
        <v/>
      </c>
      <c r="O262" s="51" t="n"/>
      <c r="P262" s="32" t="n"/>
      <c r="Q262" s="29" t="n"/>
      <c r="R262" s="30">
        <f>IF(OR(G262="",Q262="",H262=""),"",IF(H262="CE",G262-Q262,Q262-G262))</f>
        <v/>
      </c>
      <c r="S262" s="31">
        <f>IF(R262="","",R262/Q262)</f>
        <v/>
      </c>
      <c r="T262" s="38" t="n"/>
      <c r="U262" s="32" t="n"/>
      <c r="V262" s="52" t="n"/>
      <c r="W262" s="37" t="n"/>
      <c r="X262" s="32" t="n"/>
      <c r="Y262" s="32" t="n"/>
      <c r="Z262" s="39">
        <f>IF(OR(X262="",P262="",N262=""),"",ABS(X262-P262)*N262)</f>
        <v/>
      </c>
      <c r="AA262" s="53">
        <f>IF(OR(Z262="",Y262=""),"",IF(Z262=0,"",ABS(P262-Y262)*N262/Z262))</f>
        <v/>
      </c>
      <c r="AB262" s="54">
        <f>IF(Z262="","",Z262/Capital)</f>
        <v/>
      </c>
      <c r="AC262" s="5">
        <f>IF(B262="","",IF(X262="","NO SL",IF(OR(N(M262)&gt;MaxLots,N(AB262)&gt;RiskPct),"OVERSIZED","OK")))</f>
        <v/>
      </c>
      <c r="AD262" s="51" t="n"/>
      <c r="AE262" s="32" t="n"/>
      <c r="AF262" s="37" t="n"/>
      <c r="AG262" s="32" t="n"/>
      <c r="AH262" s="32" t="n"/>
      <c r="AI262" s="39">
        <f>IF(OR(AG262="",P262="",N262=""),"",ABS(AG262-P262)*N262)</f>
        <v/>
      </c>
      <c r="AJ262" s="39">
        <f>IF(OR(AH262="",P262="",N262=""),"",ABS(P262-AH262)*N262)</f>
        <v/>
      </c>
      <c r="AK262" s="39">
        <f>IF(OR(AE262="",P262="",N262=""),"",IF(I262="Buy",AE262-P262,P262-AE262)*N262)</f>
        <v/>
      </c>
      <c r="AL262" s="39">
        <f>IF(OR(AJ262="",AK262=""),"",MAX(0,AJ262-AK262))</f>
        <v/>
      </c>
      <c r="AM262" s="39">
        <f>IF(AK262="","",(P262+AE262)*N262)</f>
        <v/>
      </c>
      <c r="AN262" s="55">
        <f>IF(AK262="","",BrokeragePerOrder*2*MAX(1,N(L262)))</f>
        <v/>
      </c>
      <c r="AO262" s="55">
        <f>IF(AK262="","",STTRate*IF(I262="Buy",AE262,P262)*N262)</f>
        <v/>
      </c>
      <c r="AP262" s="55">
        <f>IF(AK262="","",ExchRate*AM262)</f>
        <v/>
      </c>
      <c r="AQ262" s="55">
        <f>IF(AK262="","",SEBIRate*AM262)</f>
        <v/>
      </c>
      <c r="AR262" s="55">
        <f>IF(AK262="","",StampRate*IF(I262="Buy",P262,AE262)*N262)</f>
        <v/>
      </c>
      <c r="AS262" s="55">
        <f>IF(AK262="","",GSTRate*(AN262+AP262+AQ262))</f>
        <v/>
      </c>
      <c r="AT262" s="55">
        <f>IF(AK262="","",AN262+AO262+AP262+AQ262+AR262+AS262)</f>
        <v/>
      </c>
      <c r="AU262" s="39">
        <f>IF(AK262="","",AK262-AT262)</f>
        <v/>
      </c>
      <c r="AV262" s="56">
        <f>IF(AU262="","",AU262/IF(N(Z262)&gt;0,Z262,RiskPerTrade))</f>
        <v/>
      </c>
      <c r="AW262" s="31">
        <f>IF(AU262="","",AU262/Capital)</f>
        <v/>
      </c>
      <c r="AX262" s="37" t="n"/>
      <c r="AY262" s="37" t="n"/>
      <c r="AZ262" s="37" t="n"/>
      <c r="BA262" s="37" t="n"/>
      <c r="BB262" s="37" t="n"/>
      <c r="BC262" s="37" t="n"/>
      <c r="BD262" s="37" t="n"/>
      <c r="BE262" s="5">
        <f>IF(AU262="","",IF(AU262&gt;0,"Win",IF(AU262&lt;0,"Loss","BE")))</f>
        <v/>
      </c>
      <c r="BF262" s="5">
        <f>IF(O262="","",LOOKUP(O262,List_BucketStart,List_BucketLabel))</f>
        <v/>
      </c>
      <c r="BG262" s="57">
        <f>IF(B262="","",B262-WEEKDAY(B262,3))</f>
        <v/>
      </c>
      <c r="BH262" s="28">
        <f>IF(B262="","",COUNTIF($B$6:B262,B262))</f>
        <v/>
      </c>
      <c r="BI262" s="39">
        <f>IF(B262="","",SUMIFS($AU$6:AU262,$B$6:B262,B262)-N(AU262))</f>
        <v/>
      </c>
      <c r="BJ262" s="5">
        <f>IF(OR(B262="",E262=""),"",IF(AND(E262=0,I262="Sell",MAX(N(O262),N(AD262))&gt;ExpiryCutoff),"BREACH","OK"))</f>
        <v/>
      </c>
      <c r="BK262" s="5">
        <f>IF(B262="","",IF(OR(AC262&lt;&gt;"OK",BJ262="BREACH",BH262&gt;MaxTradesDay,BI262&lt;=-DailyLossLimit,OR(AF262="Panic",AF262="Revenge",AF262="Rule break")),"CHECK","OK"))</f>
        <v/>
      </c>
      <c r="BL262" s="39">
        <f>IF(AU262="","",SUM($AU$6:AU262))</f>
        <v/>
      </c>
      <c r="BM262" s="39">
        <f>IF(BL262="","",Capital+BL262)</f>
        <v/>
      </c>
      <c r="BN262" s="39">
        <f>IF(BM262="","",MAX(Capital,MAX($BM$6:BM262)))</f>
        <v/>
      </c>
      <c r="BO262" s="39">
        <f>IF(BM262="","",BN262-BM262)</f>
        <v/>
      </c>
      <c r="BP262" s="58">
        <f>IF(BO262="","",BO262/BN262)</f>
        <v/>
      </c>
      <c r="BQ262" s="28">
        <f>IF(AU262="","",IF(AU262&lt;0,N(BQ261)+1,0))</f>
        <v/>
      </c>
    </row>
    <row r="263">
      <c r="A263" s="28">
        <f>IF(B263="","",COUNT($B$6:B263))</f>
        <v/>
      </c>
      <c r="B263" s="27" t="n"/>
      <c r="C263" s="5">
        <f>IF(B263="","",TEXT(B263,"ddd"))</f>
        <v/>
      </c>
      <c r="D263" s="27" t="n"/>
      <c r="E263" s="28">
        <f>IF(OR(B263="",D263=""),"",MAX(0,NETWORKDAYS(B263,D263)-1))</f>
        <v/>
      </c>
      <c r="F263" s="37" t="n"/>
      <c r="G263" s="36" t="n"/>
      <c r="H263" s="37" t="n"/>
      <c r="I263" s="37" t="n"/>
      <c r="J263" s="37" t="n"/>
      <c r="K263" s="37" t="n"/>
      <c r="L263" s="36" t="n"/>
      <c r="M263" s="36" t="n"/>
      <c r="N263" s="33">
        <f>IF(M263="","",M263*LotSize)</f>
        <v/>
      </c>
      <c r="O263" s="51" t="n"/>
      <c r="P263" s="32" t="n"/>
      <c r="Q263" s="29" t="n"/>
      <c r="R263" s="30">
        <f>IF(OR(G263="",Q263="",H263=""),"",IF(H263="CE",G263-Q263,Q263-G263))</f>
        <v/>
      </c>
      <c r="S263" s="31">
        <f>IF(R263="","",R263/Q263)</f>
        <v/>
      </c>
      <c r="T263" s="38" t="n"/>
      <c r="U263" s="32" t="n"/>
      <c r="V263" s="52" t="n"/>
      <c r="W263" s="37" t="n"/>
      <c r="X263" s="32" t="n"/>
      <c r="Y263" s="32" t="n"/>
      <c r="Z263" s="39">
        <f>IF(OR(X263="",P263="",N263=""),"",ABS(X263-P263)*N263)</f>
        <v/>
      </c>
      <c r="AA263" s="53">
        <f>IF(OR(Z263="",Y263=""),"",IF(Z263=0,"",ABS(P263-Y263)*N263/Z263))</f>
        <v/>
      </c>
      <c r="AB263" s="54">
        <f>IF(Z263="","",Z263/Capital)</f>
        <v/>
      </c>
      <c r="AC263" s="5">
        <f>IF(B263="","",IF(X263="","NO SL",IF(OR(N(M263)&gt;MaxLots,N(AB263)&gt;RiskPct),"OVERSIZED","OK")))</f>
        <v/>
      </c>
      <c r="AD263" s="51" t="n"/>
      <c r="AE263" s="32" t="n"/>
      <c r="AF263" s="37" t="n"/>
      <c r="AG263" s="32" t="n"/>
      <c r="AH263" s="32" t="n"/>
      <c r="AI263" s="39">
        <f>IF(OR(AG263="",P263="",N263=""),"",ABS(AG263-P263)*N263)</f>
        <v/>
      </c>
      <c r="AJ263" s="39">
        <f>IF(OR(AH263="",P263="",N263=""),"",ABS(P263-AH263)*N263)</f>
        <v/>
      </c>
      <c r="AK263" s="39">
        <f>IF(OR(AE263="",P263="",N263=""),"",IF(I263="Buy",AE263-P263,P263-AE263)*N263)</f>
        <v/>
      </c>
      <c r="AL263" s="39">
        <f>IF(OR(AJ263="",AK263=""),"",MAX(0,AJ263-AK263))</f>
        <v/>
      </c>
      <c r="AM263" s="39">
        <f>IF(AK263="","",(P263+AE263)*N263)</f>
        <v/>
      </c>
      <c r="AN263" s="55">
        <f>IF(AK263="","",BrokeragePerOrder*2*MAX(1,N(L263)))</f>
        <v/>
      </c>
      <c r="AO263" s="55">
        <f>IF(AK263="","",STTRate*IF(I263="Buy",AE263,P263)*N263)</f>
        <v/>
      </c>
      <c r="AP263" s="55">
        <f>IF(AK263="","",ExchRate*AM263)</f>
        <v/>
      </c>
      <c r="AQ263" s="55">
        <f>IF(AK263="","",SEBIRate*AM263)</f>
        <v/>
      </c>
      <c r="AR263" s="55">
        <f>IF(AK263="","",StampRate*IF(I263="Buy",P263,AE263)*N263)</f>
        <v/>
      </c>
      <c r="AS263" s="55">
        <f>IF(AK263="","",GSTRate*(AN263+AP263+AQ263))</f>
        <v/>
      </c>
      <c r="AT263" s="55">
        <f>IF(AK263="","",AN263+AO263+AP263+AQ263+AR263+AS263)</f>
        <v/>
      </c>
      <c r="AU263" s="39">
        <f>IF(AK263="","",AK263-AT263)</f>
        <v/>
      </c>
      <c r="AV263" s="56">
        <f>IF(AU263="","",AU263/IF(N(Z263)&gt;0,Z263,RiskPerTrade))</f>
        <v/>
      </c>
      <c r="AW263" s="31">
        <f>IF(AU263="","",AU263/Capital)</f>
        <v/>
      </c>
      <c r="AX263" s="37" t="n"/>
      <c r="AY263" s="37" t="n"/>
      <c r="AZ263" s="37" t="n"/>
      <c r="BA263" s="37" t="n"/>
      <c r="BB263" s="37" t="n"/>
      <c r="BC263" s="37" t="n"/>
      <c r="BD263" s="37" t="n"/>
      <c r="BE263" s="5">
        <f>IF(AU263="","",IF(AU263&gt;0,"Win",IF(AU263&lt;0,"Loss","BE")))</f>
        <v/>
      </c>
      <c r="BF263" s="5">
        <f>IF(O263="","",LOOKUP(O263,List_BucketStart,List_BucketLabel))</f>
        <v/>
      </c>
      <c r="BG263" s="57">
        <f>IF(B263="","",B263-WEEKDAY(B263,3))</f>
        <v/>
      </c>
      <c r="BH263" s="28">
        <f>IF(B263="","",COUNTIF($B$6:B263,B263))</f>
        <v/>
      </c>
      <c r="BI263" s="39">
        <f>IF(B263="","",SUMIFS($AU$6:AU263,$B$6:B263,B263)-N(AU263))</f>
        <v/>
      </c>
      <c r="BJ263" s="5">
        <f>IF(OR(B263="",E263=""),"",IF(AND(E263=0,I263="Sell",MAX(N(O263),N(AD263))&gt;ExpiryCutoff),"BREACH","OK"))</f>
        <v/>
      </c>
      <c r="BK263" s="5">
        <f>IF(B263="","",IF(OR(AC263&lt;&gt;"OK",BJ263="BREACH",BH263&gt;MaxTradesDay,BI263&lt;=-DailyLossLimit,OR(AF263="Panic",AF263="Revenge",AF263="Rule break")),"CHECK","OK"))</f>
        <v/>
      </c>
      <c r="BL263" s="39">
        <f>IF(AU263="","",SUM($AU$6:AU263))</f>
        <v/>
      </c>
      <c r="BM263" s="39">
        <f>IF(BL263="","",Capital+BL263)</f>
        <v/>
      </c>
      <c r="BN263" s="39">
        <f>IF(BM263="","",MAX(Capital,MAX($BM$6:BM263)))</f>
        <v/>
      </c>
      <c r="BO263" s="39">
        <f>IF(BM263="","",BN263-BM263)</f>
        <v/>
      </c>
      <c r="BP263" s="58">
        <f>IF(BO263="","",BO263/BN263)</f>
        <v/>
      </c>
      <c r="BQ263" s="28">
        <f>IF(AU263="","",IF(AU263&lt;0,N(BQ262)+1,0))</f>
        <v/>
      </c>
    </row>
    <row r="264">
      <c r="A264" s="28">
        <f>IF(B264="","",COUNT($B$6:B264))</f>
        <v/>
      </c>
      <c r="B264" s="27" t="n"/>
      <c r="C264" s="5">
        <f>IF(B264="","",TEXT(B264,"ddd"))</f>
        <v/>
      </c>
      <c r="D264" s="27" t="n"/>
      <c r="E264" s="28">
        <f>IF(OR(B264="",D264=""),"",MAX(0,NETWORKDAYS(B264,D264)-1))</f>
        <v/>
      </c>
      <c r="F264" s="37" t="n"/>
      <c r="G264" s="36" t="n"/>
      <c r="H264" s="37" t="n"/>
      <c r="I264" s="37" t="n"/>
      <c r="J264" s="37" t="n"/>
      <c r="K264" s="37" t="n"/>
      <c r="L264" s="36" t="n"/>
      <c r="M264" s="36" t="n"/>
      <c r="N264" s="33">
        <f>IF(M264="","",M264*LotSize)</f>
        <v/>
      </c>
      <c r="O264" s="51" t="n"/>
      <c r="P264" s="32" t="n"/>
      <c r="Q264" s="29" t="n"/>
      <c r="R264" s="30">
        <f>IF(OR(G264="",Q264="",H264=""),"",IF(H264="CE",G264-Q264,Q264-G264))</f>
        <v/>
      </c>
      <c r="S264" s="31">
        <f>IF(R264="","",R264/Q264)</f>
        <v/>
      </c>
      <c r="T264" s="38" t="n"/>
      <c r="U264" s="32" t="n"/>
      <c r="V264" s="52" t="n"/>
      <c r="W264" s="37" t="n"/>
      <c r="X264" s="32" t="n"/>
      <c r="Y264" s="32" t="n"/>
      <c r="Z264" s="39">
        <f>IF(OR(X264="",P264="",N264=""),"",ABS(X264-P264)*N264)</f>
        <v/>
      </c>
      <c r="AA264" s="53">
        <f>IF(OR(Z264="",Y264=""),"",IF(Z264=0,"",ABS(P264-Y264)*N264/Z264))</f>
        <v/>
      </c>
      <c r="AB264" s="54">
        <f>IF(Z264="","",Z264/Capital)</f>
        <v/>
      </c>
      <c r="AC264" s="5">
        <f>IF(B264="","",IF(X264="","NO SL",IF(OR(N(M264)&gt;MaxLots,N(AB264)&gt;RiskPct),"OVERSIZED","OK")))</f>
        <v/>
      </c>
      <c r="AD264" s="51" t="n"/>
      <c r="AE264" s="32" t="n"/>
      <c r="AF264" s="37" t="n"/>
      <c r="AG264" s="32" t="n"/>
      <c r="AH264" s="32" t="n"/>
      <c r="AI264" s="39">
        <f>IF(OR(AG264="",P264="",N264=""),"",ABS(AG264-P264)*N264)</f>
        <v/>
      </c>
      <c r="AJ264" s="39">
        <f>IF(OR(AH264="",P264="",N264=""),"",ABS(P264-AH264)*N264)</f>
        <v/>
      </c>
      <c r="AK264" s="39">
        <f>IF(OR(AE264="",P264="",N264=""),"",IF(I264="Buy",AE264-P264,P264-AE264)*N264)</f>
        <v/>
      </c>
      <c r="AL264" s="39">
        <f>IF(OR(AJ264="",AK264=""),"",MAX(0,AJ264-AK264))</f>
        <v/>
      </c>
      <c r="AM264" s="39">
        <f>IF(AK264="","",(P264+AE264)*N264)</f>
        <v/>
      </c>
      <c r="AN264" s="55">
        <f>IF(AK264="","",BrokeragePerOrder*2*MAX(1,N(L264)))</f>
        <v/>
      </c>
      <c r="AO264" s="55">
        <f>IF(AK264="","",STTRate*IF(I264="Buy",AE264,P264)*N264)</f>
        <v/>
      </c>
      <c r="AP264" s="55">
        <f>IF(AK264="","",ExchRate*AM264)</f>
        <v/>
      </c>
      <c r="AQ264" s="55">
        <f>IF(AK264="","",SEBIRate*AM264)</f>
        <v/>
      </c>
      <c r="AR264" s="55">
        <f>IF(AK264="","",StampRate*IF(I264="Buy",P264,AE264)*N264)</f>
        <v/>
      </c>
      <c r="AS264" s="55">
        <f>IF(AK264="","",GSTRate*(AN264+AP264+AQ264))</f>
        <v/>
      </c>
      <c r="AT264" s="55">
        <f>IF(AK264="","",AN264+AO264+AP264+AQ264+AR264+AS264)</f>
        <v/>
      </c>
      <c r="AU264" s="39">
        <f>IF(AK264="","",AK264-AT264)</f>
        <v/>
      </c>
      <c r="AV264" s="56">
        <f>IF(AU264="","",AU264/IF(N(Z264)&gt;0,Z264,RiskPerTrade))</f>
        <v/>
      </c>
      <c r="AW264" s="31">
        <f>IF(AU264="","",AU264/Capital)</f>
        <v/>
      </c>
      <c r="AX264" s="37" t="n"/>
      <c r="AY264" s="37" t="n"/>
      <c r="AZ264" s="37" t="n"/>
      <c r="BA264" s="37" t="n"/>
      <c r="BB264" s="37" t="n"/>
      <c r="BC264" s="37" t="n"/>
      <c r="BD264" s="37" t="n"/>
      <c r="BE264" s="5">
        <f>IF(AU264="","",IF(AU264&gt;0,"Win",IF(AU264&lt;0,"Loss","BE")))</f>
        <v/>
      </c>
      <c r="BF264" s="5">
        <f>IF(O264="","",LOOKUP(O264,List_BucketStart,List_BucketLabel))</f>
        <v/>
      </c>
      <c r="BG264" s="57">
        <f>IF(B264="","",B264-WEEKDAY(B264,3))</f>
        <v/>
      </c>
      <c r="BH264" s="28">
        <f>IF(B264="","",COUNTIF($B$6:B264,B264))</f>
        <v/>
      </c>
      <c r="BI264" s="39">
        <f>IF(B264="","",SUMIFS($AU$6:AU264,$B$6:B264,B264)-N(AU264))</f>
        <v/>
      </c>
      <c r="BJ264" s="5">
        <f>IF(OR(B264="",E264=""),"",IF(AND(E264=0,I264="Sell",MAX(N(O264),N(AD264))&gt;ExpiryCutoff),"BREACH","OK"))</f>
        <v/>
      </c>
      <c r="BK264" s="5">
        <f>IF(B264="","",IF(OR(AC264&lt;&gt;"OK",BJ264="BREACH",BH264&gt;MaxTradesDay,BI264&lt;=-DailyLossLimit,OR(AF264="Panic",AF264="Revenge",AF264="Rule break")),"CHECK","OK"))</f>
        <v/>
      </c>
      <c r="BL264" s="39">
        <f>IF(AU264="","",SUM($AU$6:AU264))</f>
        <v/>
      </c>
      <c r="BM264" s="39">
        <f>IF(BL264="","",Capital+BL264)</f>
        <v/>
      </c>
      <c r="BN264" s="39">
        <f>IF(BM264="","",MAX(Capital,MAX($BM$6:BM264)))</f>
        <v/>
      </c>
      <c r="BO264" s="39">
        <f>IF(BM264="","",BN264-BM264)</f>
        <v/>
      </c>
      <c r="BP264" s="58">
        <f>IF(BO264="","",BO264/BN264)</f>
        <v/>
      </c>
      <c r="BQ264" s="28">
        <f>IF(AU264="","",IF(AU264&lt;0,N(BQ263)+1,0))</f>
        <v/>
      </c>
    </row>
    <row r="265">
      <c r="A265" s="28">
        <f>IF(B265="","",COUNT($B$6:B265))</f>
        <v/>
      </c>
      <c r="B265" s="27" t="n"/>
      <c r="C265" s="5">
        <f>IF(B265="","",TEXT(B265,"ddd"))</f>
        <v/>
      </c>
      <c r="D265" s="27" t="n"/>
      <c r="E265" s="28">
        <f>IF(OR(B265="",D265=""),"",MAX(0,NETWORKDAYS(B265,D265)-1))</f>
        <v/>
      </c>
      <c r="F265" s="37" t="n"/>
      <c r="G265" s="36" t="n"/>
      <c r="H265" s="37" t="n"/>
      <c r="I265" s="37" t="n"/>
      <c r="J265" s="37" t="n"/>
      <c r="K265" s="37" t="n"/>
      <c r="L265" s="36" t="n"/>
      <c r="M265" s="36" t="n"/>
      <c r="N265" s="33">
        <f>IF(M265="","",M265*LotSize)</f>
        <v/>
      </c>
      <c r="O265" s="51" t="n"/>
      <c r="P265" s="32" t="n"/>
      <c r="Q265" s="29" t="n"/>
      <c r="R265" s="30">
        <f>IF(OR(G265="",Q265="",H265=""),"",IF(H265="CE",G265-Q265,Q265-G265))</f>
        <v/>
      </c>
      <c r="S265" s="31">
        <f>IF(R265="","",R265/Q265)</f>
        <v/>
      </c>
      <c r="T265" s="38" t="n"/>
      <c r="U265" s="32" t="n"/>
      <c r="V265" s="52" t="n"/>
      <c r="W265" s="37" t="n"/>
      <c r="X265" s="32" t="n"/>
      <c r="Y265" s="32" t="n"/>
      <c r="Z265" s="39">
        <f>IF(OR(X265="",P265="",N265=""),"",ABS(X265-P265)*N265)</f>
        <v/>
      </c>
      <c r="AA265" s="53">
        <f>IF(OR(Z265="",Y265=""),"",IF(Z265=0,"",ABS(P265-Y265)*N265/Z265))</f>
        <v/>
      </c>
      <c r="AB265" s="54">
        <f>IF(Z265="","",Z265/Capital)</f>
        <v/>
      </c>
      <c r="AC265" s="5">
        <f>IF(B265="","",IF(X265="","NO SL",IF(OR(N(M265)&gt;MaxLots,N(AB265)&gt;RiskPct),"OVERSIZED","OK")))</f>
        <v/>
      </c>
      <c r="AD265" s="51" t="n"/>
      <c r="AE265" s="32" t="n"/>
      <c r="AF265" s="37" t="n"/>
      <c r="AG265" s="32" t="n"/>
      <c r="AH265" s="32" t="n"/>
      <c r="AI265" s="39">
        <f>IF(OR(AG265="",P265="",N265=""),"",ABS(AG265-P265)*N265)</f>
        <v/>
      </c>
      <c r="AJ265" s="39">
        <f>IF(OR(AH265="",P265="",N265=""),"",ABS(P265-AH265)*N265)</f>
        <v/>
      </c>
      <c r="AK265" s="39">
        <f>IF(OR(AE265="",P265="",N265=""),"",IF(I265="Buy",AE265-P265,P265-AE265)*N265)</f>
        <v/>
      </c>
      <c r="AL265" s="39">
        <f>IF(OR(AJ265="",AK265=""),"",MAX(0,AJ265-AK265))</f>
        <v/>
      </c>
      <c r="AM265" s="39">
        <f>IF(AK265="","",(P265+AE265)*N265)</f>
        <v/>
      </c>
      <c r="AN265" s="55">
        <f>IF(AK265="","",BrokeragePerOrder*2*MAX(1,N(L265)))</f>
        <v/>
      </c>
      <c r="AO265" s="55">
        <f>IF(AK265="","",STTRate*IF(I265="Buy",AE265,P265)*N265)</f>
        <v/>
      </c>
      <c r="AP265" s="55">
        <f>IF(AK265="","",ExchRate*AM265)</f>
        <v/>
      </c>
      <c r="AQ265" s="55">
        <f>IF(AK265="","",SEBIRate*AM265)</f>
        <v/>
      </c>
      <c r="AR265" s="55">
        <f>IF(AK265="","",StampRate*IF(I265="Buy",P265,AE265)*N265)</f>
        <v/>
      </c>
      <c r="AS265" s="55">
        <f>IF(AK265="","",GSTRate*(AN265+AP265+AQ265))</f>
        <v/>
      </c>
      <c r="AT265" s="55">
        <f>IF(AK265="","",AN265+AO265+AP265+AQ265+AR265+AS265)</f>
        <v/>
      </c>
      <c r="AU265" s="39">
        <f>IF(AK265="","",AK265-AT265)</f>
        <v/>
      </c>
      <c r="AV265" s="56">
        <f>IF(AU265="","",AU265/IF(N(Z265)&gt;0,Z265,RiskPerTrade))</f>
        <v/>
      </c>
      <c r="AW265" s="31">
        <f>IF(AU265="","",AU265/Capital)</f>
        <v/>
      </c>
      <c r="AX265" s="37" t="n"/>
      <c r="AY265" s="37" t="n"/>
      <c r="AZ265" s="37" t="n"/>
      <c r="BA265" s="37" t="n"/>
      <c r="BB265" s="37" t="n"/>
      <c r="BC265" s="37" t="n"/>
      <c r="BD265" s="37" t="n"/>
      <c r="BE265" s="5">
        <f>IF(AU265="","",IF(AU265&gt;0,"Win",IF(AU265&lt;0,"Loss","BE")))</f>
        <v/>
      </c>
      <c r="BF265" s="5">
        <f>IF(O265="","",LOOKUP(O265,List_BucketStart,List_BucketLabel))</f>
        <v/>
      </c>
      <c r="BG265" s="57">
        <f>IF(B265="","",B265-WEEKDAY(B265,3))</f>
        <v/>
      </c>
      <c r="BH265" s="28">
        <f>IF(B265="","",COUNTIF($B$6:B265,B265))</f>
        <v/>
      </c>
      <c r="BI265" s="39">
        <f>IF(B265="","",SUMIFS($AU$6:AU265,$B$6:B265,B265)-N(AU265))</f>
        <v/>
      </c>
      <c r="BJ265" s="5">
        <f>IF(OR(B265="",E265=""),"",IF(AND(E265=0,I265="Sell",MAX(N(O265),N(AD265))&gt;ExpiryCutoff),"BREACH","OK"))</f>
        <v/>
      </c>
      <c r="BK265" s="5">
        <f>IF(B265="","",IF(OR(AC265&lt;&gt;"OK",BJ265="BREACH",BH265&gt;MaxTradesDay,BI265&lt;=-DailyLossLimit,OR(AF265="Panic",AF265="Revenge",AF265="Rule break")),"CHECK","OK"))</f>
        <v/>
      </c>
      <c r="BL265" s="39">
        <f>IF(AU265="","",SUM($AU$6:AU265))</f>
        <v/>
      </c>
      <c r="BM265" s="39">
        <f>IF(BL265="","",Capital+BL265)</f>
        <v/>
      </c>
      <c r="BN265" s="39">
        <f>IF(BM265="","",MAX(Capital,MAX($BM$6:BM265)))</f>
        <v/>
      </c>
      <c r="BO265" s="39">
        <f>IF(BM265="","",BN265-BM265)</f>
        <v/>
      </c>
      <c r="BP265" s="58">
        <f>IF(BO265="","",BO265/BN265)</f>
        <v/>
      </c>
      <c r="BQ265" s="28">
        <f>IF(AU265="","",IF(AU265&lt;0,N(BQ264)+1,0))</f>
        <v/>
      </c>
    </row>
    <row r="266">
      <c r="A266" s="28">
        <f>IF(B266="","",COUNT($B$6:B266))</f>
        <v/>
      </c>
      <c r="B266" s="27" t="n"/>
      <c r="C266" s="5">
        <f>IF(B266="","",TEXT(B266,"ddd"))</f>
        <v/>
      </c>
      <c r="D266" s="27" t="n"/>
      <c r="E266" s="28">
        <f>IF(OR(B266="",D266=""),"",MAX(0,NETWORKDAYS(B266,D266)-1))</f>
        <v/>
      </c>
      <c r="F266" s="37" t="n"/>
      <c r="G266" s="36" t="n"/>
      <c r="H266" s="37" t="n"/>
      <c r="I266" s="37" t="n"/>
      <c r="J266" s="37" t="n"/>
      <c r="K266" s="37" t="n"/>
      <c r="L266" s="36" t="n"/>
      <c r="M266" s="36" t="n"/>
      <c r="N266" s="33">
        <f>IF(M266="","",M266*LotSize)</f>
        <v/>
      </c>
      <c r="O266" s="51" t="n"/>
      <c r="P266" s="32" t="n"/>
      <c r="Q266" s="29" t="n"/>
      <c r="R266" s="30">
        <f>IF(OR(G266="",Q266="",H266=""),"",IF(H266="CE",G266-Q266,Q266-G266))</f>
        <v/>
      </c>
      <c r="S266" s="31">
        <f>IF(R266="","",R266/Q266)</f>
        <v/>
      </c>
      <c r="T266" s="38" t="n"/>
      <c r="U266" s="32" t="n"/>
      <c r="V266" s="52" t="n"/>
      <c r="W266" s="37" t="n"/>
      <c r="X266" s="32" t="n"/>
      <c r="Y266" s="32" t="n"/>
      <c r="Z266" s="39">
        <f>IF(OR(X266="",P266="",N266=""),"",ABS(X266-P266)*N266)</f>
        <v/>
      </c>
      <c r="AA266" s="53">
        <f>IF(OR(Z266="",Y266=""),"",IF(Z266=0,"",ABS(P266-Y266)*N266/Z266))</f>
        <v/>
      </c>
      <c r="AB266" s="54">
        <f>IF(Z266="","",Z266/Capital)</f>
        <v/>
      </c>
      <c r="AC266" s="5">
        <f>IF(B266="","",IF(X266="","NO SL",IF(OR(N(M266)&gt;MaxLots,N(AB266)&gt;RiskPct),"OVERSIZED","OK")))</f>
        <v/>
      </c>
      <c r="AD266" s="51" t="n"/>
      <c r="AE266" s="32" t="n"/>
      <c r="AF266" s="37" t="n"/>
      <c r="AG266" s="32" t="n"/>
      <c r="AH266" s="32" t="n"/>
      <c r="AI266" s="39">
        <f>IF(OR(AG266="",P266="",N266=""),"",ABS(AG266-P266)*N266)</f>
        <v/>
      </c>
      <c r="AJ266" s="39">
        <f>IF(OR(AH266="",P266="",N266=""),"",ABS(P266-AH266)*N266)</f>
        <v/>
      </c>
      <c r="AK266" s="39">
        <f>IF(OR(AE266="",P266="",N266=""),"",IF(I266="Buy",AE266-P266,P266-AE266)*N266)</f>
        <v/>
      </c>
      <c r="AL266" s="39">
        <f>IF(OR(AJ266="",AK266=""),"",MAX(0,AJ266-AK266))</f>
        <v/>
      </c>
      <c r="AM266" s="39">
        <f>IF(AK266="","",(P266+AE266)*N266)</f>
        <v/>
      </c>
      <c r="AN266" s="55">
        <f>IF(AK266="","",BrokeragePerOrder*2*MAX(1,N(L266)))</f>
        <v/>
      </c>
      <c r="AO266" s="55">
        <f>IF(AK266="","",STTRate*IF(I266="Buy",AE266,P266)*N266)</f>
        <v/>
      </c>
      <c r="AP266" s="55">
        <f>IF(AK266="","",ExchRate*AM266)</f>
        <v/>
      </c>
      <c r="AQ266" s="55">
        <f>IF(AK266="","",SEBIRate*AM266)</f>
        <v/>
      </c>
      <c r="AR266" s="55">
        <f>IF(AK266="","",StampRate*IF(I266="Buy",P266,AE266)*N266)</f>
        <v/>
      </c>
      <c r="AS266" s="55">
        <f>IF(AK266="","",GSTRate*(AN266+AP266+AQ266))</f>
        <v/>
      </c>
      <c r="AT266" s="55">
        <f>IF(AK266="","",AN266+AO266+AP266+AQ266+AR266+AS266)</f>
        <v/>
      </c>
      <c r="AU266" s="39">
        <f>IF(AK266="","",AK266-AT266)</f>
        <v/>
      </c>
      <c r="AV266" s="56">
        <f>IF(AU266="","",AU266/IF(N(Z266)&gt;0,Z266,RiskPerTrade))</f>
        <v/>
      </c>
      <c r="AW266" s="31">
        <f>IF(AU266="","",AU266/Capital)</f>
        <v/>
      </c>
      <c r="AX266" s="37" t="n"/>
      <c r="AY266" s="37" t="n"/>
      <c r="AZ266" s="37" t="n"/>
      <c r="BA266" s="37" t="n"/>
      <c r="BB266" s="37" t="n"/>
      <c r="BC266" s="37" t="n"/>
      <c r="BD266" s="37" t="n"/>
      <c r="BE266" s="5">
        <f>IF(AU266="","",IF(AU266&gt;0,"Win",IF(AU266&lt;0,"Loss","BE")))</f>
        <v/>
      </c>
      <c r="BF266" s="5">
        <f>IF(O266="","",LOOKUP(O266,List_BucketStart,List_BucketLabel))</f>
        <v/>
      </c>
      <c r="BG266" s="57">
        <f>IF(B266="","",B266-WEEKDAY(B266,3))</f>
        <v/>
      </c>
      <c r="BH266" s="28">
        <f>IF(B266="","",COUNTIF($B$6:B266,B266))</f>
        <v/>
      </c>
      <c r="BI266" s="39">
        <f>IF(B266="","",SUMIFS($AU$6:AU266,$B$6:B266,B266)-N(AU266))</f>
        <v/>
      </c>
      <c r="BJ266" s="5">
        <f>IF(OR(B266="",E266=""),"",IF(AND(E266=0,I266="Sell",MAX(N(O266),N(AD266))&gt;ExpiryCutoff),"BREACH","OK"))</f>
        <v/>
      </c>
      <c r="BK266" s="5">
        <f>IF(B266="","",IF(OR(AC266&lt;&gt;"OK",BJ266="BREACH",BH266&gt;MaxTradesDay,BI266&lt;=-DailyLossLimit,OR(AF266="Panic",AF266="Revenge",AF266="Rule break")),"CHECK","OK"))</f>
        <v/>
      </c>
      <c r="BL266" s="39">
        <f>IF(AU266="","",SUM($AU$6:AU266))</f>
        <v/>
      </c>
      <c r="BM266" s="39">
        <f>IF(BL266="","",Capital+BL266)</f>
        <v/>
      </c>
      <c r="BN266" s="39">
        <f>IF(BM266="","",MAX(Capital,MAX($BM$6:BM266)))</f>
        <v/>
      </c>
      <c r="BO266" s="39">
        <f>IF(BM266="","",BN266-BM266)</f>
        <v/>
      </c>
      <c r="BP266" s="58">
        <f>IF(BO266="","",BO266/BN266)</f>
        <v/>
      </c>
      <c r="BQ266" s="28">
        <f>IF(AU266="","",IF(AU266&lt;0,N(BQ265)+1,0))</f>
        <v/>
      </c>
    </row>
    <row r="267">
      <c r="A267" s="28">
        <f>IF(B267="","",COUNT($B$6:B267))</f>
        <v/>
      </c>
      <c r="B267" s="27" t="n"/>
      <c r="C267" s="5">
        <f>IF(B267="","",TEXT(B267,"ddd"))</f>
        <v/>
      </c>
      <c r="D267" s="27" t="n"/>
      <c r="E267" s="28">
        <f>IF(OR(B267="",D267=""),"",MAX(0,NETWORKDAYS(B267,D267)-1))</f>
        <v/>
      </c>
      <c r="F267" s="37" t="n"/>
      <c r="G267" s="36" t="n"/>
      <c r="H267" s="37" t="n"/>
      <c r="I267" s="37" t="n"/>
      <c r="J267" s="37" t="n"/>
      <c r="K267" s="37" t="n"/>
      <c r="L267" s="36" t="n"/>
      <c r="M267" s="36" t="n"/>
      <c r="N267" s="33">
        <f>IF(M267="","",M267*LotSize)</f>
        <v/>
      </c>
      <c r="O267" s="51" t="n"/>
      <c r="P267" s="32" t="n"/>
      <c r="Q267" s="29" t="n"/>
      <c r="R267" s="30">
        <f>IF(OR(G267="",Q267="",H267=""),"",IF(H267="CE",G267-Q267,Q267-G267))</f>
        <v/>
      </c>
      <c r="S267" s="31">
        <f>IF(R267="","",R267/Q267)</f>
        <v/>
      </c>
      <c r="T267" s="38" t="n"/>
      <c r="U267" s="32" t="n"/>
      <c r="V267" s="52" t="n"/>
      <c r="W267" s="37" t="n"/>
      <c r="X267" s="32" t="n"/>
      <c r="Y267" s="32" t="n"/>
      <c r="Z267" s="39">
        <f>IF(OR(X267="",P267="",N267=""),"",ABS(X267-P267)*N267)</f>
        <v/>
      </c>
      <c r="AA267" s="53">
        <f>IF(OR(Z267="",Y267=""),"",IF(Z267=0,"",ABS(P267-Y267)*N267/Z267))</f>
        <v/>
      </c>
      <c r="AB267" s="54">
        <f>IF(Z267="","",Z267/Capital)</f>
        <v/>
      </c>
      <c r="AC267" s="5">
        <f>IF(B267="","",IF(X267="","NO SL",IF(OR(N(M267)&gt;MaxLots,N(AB267)&gt;RiskPct),"OVERSIZED","OK")))</f>
        <v/>
      </c>
      <c r="AD267" s="51" t="n"/>
      <c r="AE267" s="32" t="n"/>
      <c r="AF267" s="37" t="n"/>
      <c r="AG267" s="32" t="n"/>
      <c r="AH267" s="32" t="n"/>
      <c r="AI267" s="39">
        <f>IF(OR(AG267="",P267="",N267=""),"",ABS(AG267-P267)*N267)</f>
        <v/>
      </c>
      <c r="AJ267" s="39">
        <f>IF(OR(AH267="",P267="",N267=""),"",ABS(P267-AH267)*N267)</f>
        <v/>
      </c>
      <c r="AK267" s="39">
        <f>IF(OR(AE267="",P267="",N267=""),"",IF(I267="Buy",AE267-P267,P267-AE267)*N267)</f>
        <v/>
      </c>
      <c r="AL267" s="39">
        <f>IF(OR(AJ267="",AK267=""),"",MAX(0,AJ267-AK267))</f>
        <v/>
      </c>
      <c r="AM267" s="39">
        <f>IF(AK267="","",(P267+AE267)*N267)</f>
        <v/>
      </c>
      <c r="AN267" s="55">
        <f>IF(AK267="","",BrokeragePerOrder*2*MAX(1,N(L267)))</f>
        <v/>
      </c>
      <c r="AO267" s="55">
        <f>IF(AK267="","",STTRate*IF(I267="Buy",AE267,P267)*N267)</f>
        <v/>
      </c>
      <c r="AP267" s="55">
        <f>IF(AK267="","",ExchRate*AM267)</f>
        <v/>
      </c>
      <c r="AQ267" s="55">
        <f>IF(AK267="","",SEBIRate*AM267)</f>
        <v/>
      </c>
      <c r="AR267" s="55">
        <f>IF(AK267="","",StampRate*IF(I267="Buy",P267,AE267)*N267)</f>
        <v/>
      </c>
      <c r="AS267" s="55">
        <f>IF(AK267="","",GSTRate*(AN267+AP267+AQ267))</f>
        <v/>
      </c>
      <c r="AT267" s="55">
        <f>IF(AK267="","",AN267+AO267+AP267+AQ267+AR267+AS267)</f>
        <v/>
      </c>
      <c r="AU267" s="39">
        <f>IF(AK267="","",AK267-AT267)</f>
        <v/>
      </c>
      <c r="AV267" s="56">
        <f>IF(AU267="","",AU267/IF(N(Z267)&gt;0,Z267,RiskPerTrade))</f>
        <v/>
      </c>
      <c r="AW267" s="31">
        <f>IF(AU267="","",AU267/Capital)</f>
        <v/>
      </c>
      <c r="AX267" s="37" t="n"/>
      <c r="AY267" s="37" t="n"/>
      <c r="AZ267" s="37" t="n"/>
      <c r="BA267" s="37" t="n"/>
      <c r="BB267" s="37" t="n"/>
      <c r="BC267" s="37" t="n"/>
      <c r="BD267" s="37" t="n"/>
      <c r="BE267" s="5">
        <f>IF(AU267="","",IF(AU267&gt;0,"Win",IF(AU267&lt;0,"Loss","BE")))</f>
        <v/>
      </c>
      <c r="BF267" s="5">
        <f>IF(O267="","",LOOKUP(O267,List_BucketStart,List_BucketLabel))</f>
        <v/>
      </c>
      <c r="BG267" s="57">
        <f>IF(B267="","",B267-WEEKDAY(B267,3))</f>
        <v/>
      </c>
      <c r="BH267" s="28">
        <f>IF(B267="","",COUNTIF($B$6:B267,B267))</f>
        <v/>
      </c>
      <c r="BI267" s="39">
        <f>IF(B267="","",SUMIFS($AU$6:AU267,$B$6:B267,B267)-N(AU267))</f>
        <v/>
      </c>
      <c r="BJ267" s="5">
        <f>IF(OR(B267="",E267=""),"",IF(AND(E267=0,I267="Sell",MAX(N(O267),N(AD267))&gt;ExpiryCutoff),"BREACH","OK"))</f>
        <v/>
      </c>
      <c r="BK267" s="5">
        <f>IF(B267="","",IF(OR(AC267&lt;&gt;"OK",BJ267="BREACH",BH267&gt;MaxTradesDay,BI267&lt;=-DailyLossLimit,OR(AF267="Panic",AF267="Revenge",AF267="Rule break")),"CHECK","OK"))</f>
        <v/>
      </c>
      <c r="BL267" s="39">
        <f>IF(AU267="","",SUM($AU$6:AU267))</f>
        <v/>
      </c>
      <c r="BM267" s="39">
        <f>IF(BL267="","",Capital+BL267)</f>
        <v/>
      </c>
      <c r="BN267" s="39">
        <f>IF(BM267="","",MAX(Capital,MAX($BM$6:BM267)))</f>
        <v/>
      </c>
      <c r="BO267" s="39">
        <f>IF(BM267="","",BN267-BM267)</f>
        <v/>
      </c>
      <c r="BP267" s="58">
        <f>IF(BO267="","",BO267/BN267)</f>
        <v/>
      </c>
      <c r="BQ267" s="28">
        <f>IF(AU267="","",IF(AU267&lt;0,N(BQ266)+1,0))</f>
        <v/>
      </c>
    </row>
    <row r="268">
      <c r="A268" s="28">
        <f>IF(B268="","",COUNT($B$6:B268))</f>
        <v/>
      </c>
      <c r="B268" s="27" t="n"/>
      <c r="C268" s="5">
        <f>IF(B268="","",TEXT(B268,"ddd"))</f>
        <v/>
      </c>
      <c r="D268" s="27" t="n"/>
      <c r="E268" s="28">
        <f>IF(OR(B268="",D268=""),"",MAX(0,NETWORKDAYS(B268,D268)-1))</f>
        <v/>
      </c>
      <c r="F268" s="37" t="n"/>
      <c r="G268" s="36" t="n"/>
      <c r="H268" s="37" t="n"/>
      <c r="I268" s="37" t="n"/>
      <c r="J268" s="37" t="n"/>
      <c r="K268" s="37" t="n"/>
      <c r="L268" s="36" t="n"/>
      <c r="M268" s="36" t="n"/>
      <c r="N268" s="33">
        <f>IF(M268="","",M268*LotSize)</f>
        <v/>
      </c>
      <c r="O268" s="51" t="n"/>
      <c r="P268" s="32" t="n"/>
      <c r="Q268" s="29" t="n"/>
      <c r="R268" s="30">
        <f>IF(OR(G268="",Q268="",H268=""),"",IF(H268="CE",G268-Q268,Q268-G268))</f>
        <v/>
      </c>
      <c r="S268" s="31">
        <f>IF(R268="","",R268/Q268)</f>
        <v/>
      </c>
      <c r="T268" s="38" t="n"/>
      <c r="U268" s="32" t="n"/>
      <c r="V268" s="52" t="n"/>
      <c r="W268" s="37" t="n"/>
      <c r="X268" s="32" t="n"/>
      <c r="Y268" s="32" t="n"/>
      <c r="Z268" s="39">
        <f>IF(OR(X268="",P268="",N268=""),"",ABS(X268-P268)*N268)</f>
        <v/>
      </c>
      <c r="AA268" s="53">
        <f>IF(OR(Z268="",Y268=""),"",IF(Z268=0,"",ABS(P268-Y268)*N268/Z268))</f>
        <v/>
      </c>
      <c r="AB268" s="54">
        <f>IF(Z268="","",Z268/Capital)</f>
        <v/>
      </c>
      <c r="AC268" s="5">
        <f>IF(B268="","",IF(X268="","NO SL",IF(OR(N(M268)&gt;MaxLots,N(AB268)&gt;RiskPct),"OVERSIZED","OK")))</f>
        <v/>
      </c>
      <c r="AD268" s="51" t="n"/>
      <c r="AE268" s="32" t="n"/>
      <c r="AF268" s="37" t="n"/>
      <c r="AG268" s="32" t="n"/>
      <c r="AH268" s="32" t="n"/>
      <c r="AI268" s="39">
        <f>IF(OR(AG268="",P268="",N268=""),"",ABS(AG268-P268)*N268)</f>
        <v/>
      </c>
      <c r="AJ268" s="39">
        <f>IF(OR(AH268="",P268="",N268=""),"",ABS(P268-AH268)*N268)</f>
        <v/>
      </c>
      <c r="AK268" s="39">
        <f>IF(OR(AE268="",P268="",N268=""),"",IF(I268="Buy",AE268-P268,P268-AE268)*N268)</f>
        <v/>
      </c>
      <c r="AL268" s="39">
        <f>IF(OR(AJ268="",AK268=""),"",MAX(0,AJ268-AK268))</f>
        <v/>
      </c>
      <c r="AM268" s="39">
        <f>IF(AK268="","",(P268+AE268)*N268)</f>
        <v/>
      </c>
      <c r="AN268" s="55">
        <f>IF(AK268="","",BrokeragePerOrder*2*MAX(1,N(L268)))</f>
        <v/>
      </c>
      <c r="AO268" s="55">
        <f>IF(AK268="","",STTRate*IF(I268="Buy",AE268,P268)*N268)</f>
        <v/>
      </c>
      <c r="AP268" s="55">
        <f>IF(AK268="","",ExchRate*AM268)</f>
        <v/>
      </c>
      <c r="AQ268" s="55">
        <f>IF(AK268="","",SEBIRate*AM268)</f>
        <v/>
      </c>
      <c r="AR268" s="55">
        <f>IF(AK268="","",StampRate*IF(I268="Buy",P268,AE268)*N268)</f>
        <v/>
      </c>
      <c r="AS268" s="55">
        <f>IF(AK268="","",GSTRate*(AN268+AP268+AQ268))</f>
        <v/>
      </c>
      <c r="AT268" s="55">
        <f>IF(AK268="","",AN268+AO268+AP268+AQ268+AR268+AS268)</f>
        <v/>
      </c>
      <c r="AU268" s="39">
        <f>IF(AK268="","",AK268-AT268)</f>
        <v/>
      </c>
      <c r="AV268" s="56">
        <f>IF(AU268="","",AU268/IF(N(Z268)&gt;0,Z268,RiskPerTrade))</f>
        <v/>
      </c>
      <c r="AW268" s="31">
        <f>IF(AU268="","",AU268/Capital)</f>
        <v/>
      </c>
      <c r="AX268" s="37" t="n"/>
      <c r="AY268" s="37" t="n"/>
      <c r="AZ268" s="37" t="n"/>
      <c r="BA268" s="37" t="n"/>
      <c r="BB268" s="37" t="n"/>
      <c r="BC268" s="37" t="n"/>
      <c r="BD268" s="37" t="n"/>
      <c r="BE268" s="5">
        <f>IF(AU268="","",IF(AU268&gt;0,"Win",IF(AU268&lt;0,"Loss","BE")))</f>
        <v/>
      </c>
      <c r="BF268" s="5">
        <f>IF(O268="","",LOOKUP(O268,List_BucketStart,List_BucketLabel))</f>
        <v/>
      </c>
      <c r="BG268" s="57">
        <f>IF(B268="","",B268-WEEKDAY(B268,3))</f>
        <v/>
      </c>
      <c r="BH268" s="28">
        <f>IF(B268="","",COUNTIF($B$6:B268,B268))</f>
        <v/>
      </c>
      <c r="BI268" s="39">
        <f>IF(B268="","",SUMIFS($AU$6:AU268,$B$6:B268,B268)-N(AU268))</f>
        <v/>
      </c>
      <c r="BJ268" s="5">
        <f>IF(OR(B268="",E268=""),"",IF(AND(E268=0,I268="Sell",MAX(N(O268),N(AD268))&gt;ExpiryCutoff),"BREACH","OK"))</f>
        <v/>
      </c>
      <c r="BK268" s="5">
        <f>IF(B268="","",IF(OR(AC268&lt;&gt;"OK",BJ268="BREACH",BH268&gt;MaxTradesDay,BI268&lt;=-DailyLossLimit,OR(AF268="Panic",AF268="Revenge",AF268="Rule break")),"CHECK","OK"))</f>
        <v/>
      </c>
      <c r="BL268" s="39">
        <f>IF(AU268="","",SUM($AU$6:AU268))</f>
        <v/>
      </c>
      <c r="BM268" s="39">
        <f>IF(BL268="","",Capital+BL268)</f>
        <v/>
      </c>
      <c r="BN268" s="39">
        <f>IF(BM268="","",MAX(Capital,MAX($BM$6:BM268)))</f>
        <v/>
      </c>
      <c r="BO268" s="39">
        <f>IF(BM268="","",BN268-BM268)</f>
        <v/>
      </c>
      <c r="BP268" s="58">
        <f>IF(BO268="","",BO268/BN268)</f>
        <v/>
      </c>
      <c r="BQ268" s="28">
        <f>IF(AU268="","",IF(AU268&lt;0,N(BQ267)+1,0))</f>
        <v/>
      </c>
    </row>
    <row r="269">
      <c r="A269" s="28">
        <f>IF(B269="","",COUNT($B$6:B269))</f>
        <v/>
      </c>
      <c r="B269" s="27" t="n"/>
      <c r="C269" s="5">
        <f>IF(B269="","",TEXT(B269,"ddd"))</f>
        <v/>
      </c>
      <c r="D269" s="27" t="n"/>
      <c r="E269" s="28">
        <f>IF(OR(B269="",D269=""),"",MAX(0,NETWORKDAYS(B269,D269)-1))</f>
        <v/>
      </c>
      <c r="F269" s="37" t="n"/>
      <c r="G269" s="36" t="n"/>
      <c r="H269" s="37" t="n"/>
      <c r="I269" s="37" t="n"/>
      <c r="J269" s="37" t="n"/>
      <c r="K269" s="37" t="n"/>
      <c r="L269" s="36" t="n"/>
      <c r="M269" s="36" t="n"/>
      <c r="N269" s="33">
        <f>IF(M269="","",M269*LotSize)</f>
        <v/>
      </c>
      <c r="O269" s="51" t="n"/>
      <c r="P269" s="32" t="n"/>
      <c r="Q269" s="29" t="n"/>
      <c r="R269" s="30">
        <f>IF(OR(G269="",Q269="",H269=""),"",IF(H269="CE",G269-Q269,Q269-G269))</f>
        <v/>
      </c>
      <c r="S269" s="31">
        <f>IF(R269="","",R269/Q269)</f>
        <v/>
      </c>
      <c r="T269" s="38" t="n"/>
      <c r="U269" s="32" t="n"/>
      <c r="V269" s="52" t="n"/>
      <c r="W269" s="37" t="n"/>
      <c r="X269" s="32" t="n"/>
      <c r="Y269" s="32" t="n"/>
      <c r="Z269" s="39">
        <f>IF(OR(X269="",P269="",N269=""),"",ABS(X269-P269)*N269)</f>
        <v/>
      </c>
      <c r="AA269" s="53">
        <f>IF(OR(Z269="",Y269=""),"",IF(Z269=0,"",ABS(P269-Y269)*N269/Z269))</f>
        <v/>
      </c>
      <c r="AB269" s="54">
        <f>IF(Z269="","",Z269/Capital)</f>
        <v/>
      </c>
      <c r="AC269" s="5">
        <f>IF(B269="","",IF(X269="","NO SL",IF(OR(N(M269)&gt;MaxLots,N(AB269)&gt;RiskPct),"OVERSIZED","OK")))</f>
        <v/>
      </c>
      <c r="AD269" s="51" t="n"/>
      <c r="AE269" s="32" t="n"/>
      <c r="AF269" s="37" t="n"/>
      <c r="AG269" s="32" t="n"/>
      <c r="AH269" s="32" t="n"/>
      <c r="AI269" s="39">
        <f>IF(OR(AG269="",P269="",N269=""),"",ABS(AG269-P269)*N269)</f>
        <v/>
      </c>
      <c r="AJ269" s="39">
        <f>IF(OR(AH269="",P269="",N269=""),"",ABS(P269-AH269)*N269)</f>
        <v/>
      </c>
      <c r="AK269" s="39">
        <f>IF(OR(AE269="",P269="",N269=""),"",IF(I269="Buy",AE269-P269,P269-AE269)*N269)</f>
        <v/>
      </c>
      <c r="AL269" s="39">
        <f>IF(OR(AJ269="",AK269=""),"",MAX(0,AJ269-AK269))</f>
        <v/>
      </c>
      <c r="AM269" s="39">
        <f>IF(AK269="","",(P269+AE269)*N269)</f>
        <v/>
      </c>
      <c r="AN269" s="55">
        <f>IF(AK269="","",BrokeragePerOrder*2*MAX(1,N(L269)))</f>
        <v/>
      </c>
      <c r="AO269" s="55">
        <f>IF(AK269="","",STTRate*IF(I269="Buy",AE269,P269)*N269)</f>
        <v/>
      </c>
      <c r="AP269" s="55">
        <f>IF(AK269="","",ExchRate*AM269)</f>
        <v/>
      </c>
      <c r="AQ269" s="55">
        <f>IF(AK269="","",SEBIRate*AM269)</f>
        <v/>
      </c>
      <c r="AR269" s="55">
        <f>IF(AK269="","",StampRate*IF(I269="Buy",P269,AE269)*N269)</f>
        <v/>
      </c>
      <c r="AS269" s="55">
        <f>IF(AK269="","",GSTRate*(AN269+AP269+AQ269))</f>
        <v/>
      </c>
      <c r="AT269" s="55">
        <f>IF(AK269="","",AN269+AO269+AP269+AQ269+AR269+AS269)</f>
        <v/>
      </c>
      <c r="AU269" s="39">
        <f>IF(AK269="","",AK269-AT269)</f>
        <v/>
      </c>
      <c r="AV269" s="56">
        <f>IF(AU269="","",AU269/IF(N(Z269)&gt;0,Z269,RiskPerTrade))</f>
        <v/>
      </c>
      <c r="AW269" s="31">
        <f>IF(AU269="","",AU269/Capital)</f>
        <v/>
      </c>
      <c r="AX269" s="37" t="n"/>
      <c r="AY269" s="37" t="n"/>
      <c r="AZ269" s="37" t="n"/>
      <c r="BA269" s="37" t="n"/>
      <c r="BB269" s="37" t="n"/>
      <c r="BC269" s="37" t="n"/>
      <c r="BD269" s="37" t="n"/>
      <c r="BE269" s="5">
        <f>IF(AU269="","",IF(AU269&gt;0,"Win",IF(AU269&lt;0,"Loss","BE")))</f>
        <v/>
      </c>
      <c r="BF269" s="5">
        <f>IF(O269="","",LOOKUP(O269,List_BucketStart,List_BucketLabel))</f>
        <v/>
      </c>
      <c r="BG269" s="57">
        <f>IF(B269="","",B269-WEEKDAY(B269,3))</f>
        <v/>
      </c>
      <c r="BH269" s="28">
        <f>IF(B269="","",COUNTIF($B$6:B269,B269))</f>
        <v/>
      </c>
      <c r="BI269" s="39">
        <f>IF(B269="","",SUMIFS($AU$6:AU269,$B$6:B269,B269)-N(AU269))</f>
        <v/>
      </c>
      <c r="BJ269" s="5">
        <f>IF(OR(B269="",E269=""),"",IF(AND(E269=0,I269="Sell",MAX(N(O269),N(AD269))&gt;ExpiryCutoff),"BREACH","OK"))</f>
        <v/>
      </c>
      <c r="BK269" s="5">
        <f>IF(B269="","",IF(OR(AC269&lt;&gt;"OK",BJ269="BREACH",BH269&gt;MaxTradesDay,BI269&lt;=-DailyLossLimit,OR(AF269="Panic",AF269="Revenge",AF269="Rule break")),"CHECK","OK"))</f>
        <v/>
      </c>
      <c r="BL269" s="39">
        <f>IF(AU269="","",SUM($AU$6:AU269))</f>
        <v/>
      </c>
      <c r="BM269" s="39">
        <f>IF(BL269="","",Capital+BL269)</f>
        <v/>
      </c>
      <c r="BN269" s="39">
        <f>IF(BM269="","",MAX(Capital,MAX($BM$6:BM269)))</f>
        <v/>
      </c>
      <c r="BO269" s="39">
        <f>IF(BM269="","",BN269-BM269)</f>
        <v/>
      </c>
      <c r="BP269" s="58">
        <f>IF(BO269="","",BO269/BN269)</f>
        <v/>
      </c>
      <c r="BQ269" s="28">
        <f>IF(AU269="","",IF(AU269&lt;0,N(BQ268)+1,0))</f>
        <v/>
      </c>
    </row>
    <row r="270">
      <c r="A270" s="28">
        <f>IF(B270="","",COUNT($B$6:B270))</f>
        <v/>
      </c>
      <c r="B270" s="27" t="n"/>
      <c r="C270" s="5">
        <f>IF(B270="","",TEXT(B270,"ddd"))</f>
        <v/>
      </c>
      <c r="D270" s="27" t="n"/>
      <c r="E270" s="28">
        <f>IF(OR(B270="",D270=""),"",MAX(0,NETWORKDAYS(B270,D270)-1))</f>
        <v/>
      </c>
      <c r="F270" s="37" t="n"/>
      <c r="G270" s="36" t="n"/>
      <c r="H270" s="37" t="n"/>
      <c r="I270" s="37" t="n"/>
      <c r="J270" s="37" t="n"/>
      <c r="K270" s="37" t="n"/>
      <c r="L270" s="36" t="n"/>
      <c r="M270" s="36" t="n"/>
      <c r="N270" s="33">
        <f>IF(M270="","",M270*LotSize)</f>
        <v/>
      </c>
      <c r="O270" s="51" t="n"/>
      <c r="P270" s="32" t="n"/>
      <c r="Q270" s="29" t="n"/>
      <c r="R270" s="30">
        <f>IF(OR(G270="",Q270="",H270=""),"",IF(H270="CE",G270-Q270,Q270-G270))</f>
        <v/>
      </c>
      <c r="S270" s="31">
        <f>IF(R270="","",R270/Q270)</f>
        <v/>
      </c>
      <c r="T270" s="38" t="n"/>
      <c r="U270" s="32" t="n"/>
      <c r="V270" s="52" t="n"/>
      <c r="W270" s="37" t="n"/>
      <c r="X270" s="32" t="n"/>
      <c r="Y270" s="32" t="n"/>
      <c r="Z270" s="39">
        <f>IF(OR(X270="",P270="",N270=""),"",ABS(X270-P270)*N270)</f>
        <v/>
      </c>
      <c r="AA270" s="53">
        <f>IF(OR(Z270="",Y270=""),"",IF(Z270=0,"",ABS(P270-Y270)*N270/Z270))</f>
        <v/>
      </c>
      <c r="AB270" s="54">
        <f>IF(Z270="","",Z270/Capital)</f>
        <v/>
      </c>
      <c r="AC270" s="5">
        <f>IF(B270="","",IF(X270="","NO SL",IF(OR(N(M270)&gt;MaxLots,N(AB270)&gt;RiskPct),"OVERSIZED","OK")))</f>
        <v/>
      </c>
      <c r="AD270" s="51" t="n"/>
      <c r="AE270" s="32" t="n"/>
      <c r="AF270" s="37" t="n"/>
      <c r="AG270" s="32" t="n"/>
      <c r="AH270" s="32" t="n"/>
      <c r="AI270" s="39">
        <f>IF(OR(AG270="",P270="",N270=""),"",ABS(AG270-P270)*N270)</f>
        <v/>
      </c>
      <c r="AJ270" s="39">
        <f>IF(OR(AH270="",P270="",N270=""),"",ABS(P270-AH270)*N270)</f>
        <v/>
      </c>
      <c r="AK270" s="39">
        <f>IF(OR(AE270="",P270="",N270=""),"",IF(I270="Buy",AE270-P270,P270-AE270)*N270)</f>
        <v/>
      </c>
      <c r="AL270" s="39">
        <f>IF(OR(AJ270="",AK270=""),"",MAX(0,AJ270-AK270))</f>
        <v/>
      </c>
      <c r="AM270" s="39">
        <f>IF(AK270="","",(P270+AE270)*N270)</f>
        <v/>
      </c>
      <c r="AN270" s="55">
        <f>IF(AK270="","",BrokeragePerOrder*2*MAX(1,N(L270)))</f>
        <v/>
      </c>
      <c r="AO270" s="55">
        <f>IF(AK270="","",STTRate*IF(I270="Buy",AE270,P270)*N270)</f>
        <v/>
      </c>
      <c r="AP270" s="55">
        <f>IF(AK270="","",ExchRate*AM270)</f>
        <v/>
      </c>
      <c r="AQ270" s="55">
        <f>IF(AK270="","",SEBIRate*AM270)</f>
        <v/>
      </c>
      <c r="AR270" s="55">
        <f>IF(AK270="","",StampRate*IF(I270="Buy",P270,AE270)*N270)</f>
        <v/>
      </c>
      <c r="AS270" s="55">
        <f>IF(AK270="","",GSTRate*(AN270+AP270+AQ270))</f>
        <v/>
      </c>
      <c r="AT270" s="55">
        <f>IF(AK270="","",AN270+AO270+AP270+AQ270+AR270+AS270)</f>
        <v/>
      </c>
      <c r="AU270" s="39">
        <f>IF(AK270="","",AK270-AT270)</f>
        <v/>
      </c>
      <c r="AV270" s="56">
        <f>IF(AU270="","",AU270/IF(N(Z270)&gt;0,Z270,RiskPerTrade))</f>
        <v/>
      </c>
      <c r="AW270" s="31">
        <f>IF(AU270="","",AU270/Capital)</f>
        <v/>
      </c>
      <c r="AX270" s="37" t="n"/>
      <c r="AY270" s="37" t="n"/>
      <c r="AZ270" s="37" t="n"/>
      <c r="BA270" s="37" t="n"/>
      <c r="BB270" s="37" t="n"/>
      <c r="BC270" s="37" t="n"/>
      <c r="BD270" s="37" t="n"/>
      <c r="BE270" s="5">
        <f>IF(AU270="","",IF(AU270&gt;0,"Win",IF(AU270&lt;0,"Loss","BE")))</f>
        <v/>
      </c>
      <c r="BF270" s="5">
        <f>IF(O270="","",LOOKUP(O270,List_BucketStart,List_BucketLabel))</f>
        <v/>
      </c>
      <c r="BG270" s="57">
        <f>IF(B270="","",B270-WEEKDAY(B270,3))</f>
        <v/>
      </c>
      <c r="BH270" s="28">
        <f>IF(B270="","",COUNTIF($B$6:B270,B270))</f>
        <v/>
      </c>
      <c r="BI270" s="39">
        <f>IF(B270="","",SUMIFS($AU$6:AU270,$B$6:B270,B270)-N(AU270))</f>
        <v/>
      </c>
      <c r="BJ270" s="5">
        <f>IF(OR(B270="",E270=""),"",IF(AND(E270=0,I270="Sell",MAX(N(O270),N(AD270))&gt;ExpiryCutoff),"BREACH","OK"))</f>
        <v/>
      </c>
      <c r="BK270" s="5">
        <f>IF(B270="","",IF(OR(AC270&lt;&gt;"OK",BJ270="BREACH",BH270&gt;MaxTradesDay,BI270&lt;=-DailyLossLimit,OR(AF270="Panic",AF270="Revenge",AF270="Rule break")),"CHECK","OK"))</f>
        <v/>
      </c>
      <c r="BL270" s="39">
        <f>IF(AU270="","",SUM($AU$6:AU270))</f>
        <v/>
      </c>
      <c r="BM270" s="39">
        <f>IF(BL270="","",Capital+BL270)</f>
        <v/>
      </c>
      <c r="BN270" s="39">
        <f>IF(BM270="","",MAX(Capital,MAX($BM$6:BM270)))</f>
        <v/>
      </c>
      <c r="BO270" s="39">
        <f>IF(BM270="","",BN270-BM270)</f>
        <v/>
      </c>
      <c r="BP270" s="58">
        <f>IF(BO270="","",BO270/BN270)</f>
        <v/>
      </c>
      <c r="BQ270" s="28">
        <f>IF(AU270="","",IF(AU270&lt;0,N(BQ269)+1,0))</f>
        <v/>
      </c>
    </row>
    <row r="271">
      <c r="A271" s="28">
        <f>IF(B271="","",COUNT($B$6:B271))</f>
        <v/>
      </c>
      <c r="B271" s="27" t="n"/>
      <c r="C271" s="5">
        <f>IF(B271="","",TEXT(B271,"ddd"))</f>
        <v/>
      </c>
      <c r="D271" s="27" t="n"/>
      <c r="E271" s="28">
        <f>IF(OR(B271="",D271=""),"",MAX(0,NETWORKDAYS(B271,D271)-1))</f>
        <v/>
      </c>
      <c r="F271" s="37" t="n"/>
      <c r="G271" s="36" t="n"/>
      <c r="H271" s="37" t="n"/>
      <c r="I271" s="37" t="n"/>
      <c r="J271" s="37" t="n"/>
      <c r="K271" s="37" t="n"/>
      <c r="L271" s="36" t="n"/>
      <c r="M271" s="36" t="n"/>
      <c r="N271" s="33">
        <f>IF(M271="","",M271*LotSize)</f>
        <v/>
      </c>
      <c r="O271" s="51" t="n"/>
      <c r="P271" s="32" t="n"/>
      <c r="Q271" s="29" t="n"/>
      <c r="R271" s="30">
        <f>IF(OR(G271="",Q271="",H271=""),"",IF(H271="CE",G271-Q271,Q271-G271))</f>
        <v/>
      </c>
      <c r="S271" s="31">
        <f>IF(R271="","",R271/Q271)</f>
        <v/>
      </c>
      <c r="T271" s="38" t="n"/>
      <c r="U271" s="32" t="n"/>
      <c r="V271" s="52" t="n"/>
      <c r="W271" s="37" t="n"/>
      <c r="X271" s="32" t="n"/>
      <c r="Y271" s="32" t="n"/>
      <c r="Z271" s="39">
        <f>IF(OR(X271="",P271="",N271=""),"",ABS(X271-P271)*N271)</f>
        <v/>
      </c>
      <c r="AA271" s="53">
        <f>IF(OR(Z271="",Y271=""),"",IF(Z271=0,"",ABS(P271-Y271)*N271/Z271))</f>
        <v/>
      </c>
      <c r="AB271" s="54">
        <f>IF(Z271="","",Z271/Capital)</f>
        <v/>
      </c>
      <c r="AC271" s="5">
        <f>IF(B271="","",IF(X271="","NO SL",IF(OR(N(M271)&gt;MaxLots,N(AB271)&gt;RiskPct),"OVERSIZED","OK")))</f>
        <v/>
      </c>
      <c r="AD271" s="51" t="n"/>
      <c r="AE271" s="32" t="n"/>
      <c r="AF271" s="37" t="n"/>
      <c r="AG271" s="32" t="n"/>
      <c r="AH271" s="32" t="n"/>
      <c r="AI271" s="39">
        <f>IF(OR(AG271="",P271="",N271=""),"",ABS(AG271-P271)*N271)</f>
        <v/>
      </c>
      <c r="AJ271" s="39">
        <f>IF(OR(AH271="",P271="",N271=""),"",ABS(P271-AH271)*N271)</f>
        <v/>
      </c>
      <c r="AK271" s="39">
        <f>IF(OR(AE271="",P271="",N271=""),"",IF(I271="Buy",AE271-P271,P271-AE271)*N271)</f>
        <v/>
      </c>
      <c r="AL271" s="39">
        <f>IF(OR(AJ271="",AK271=""),"",MAX(0,AJ271-AK271))</f>
        <v/>
      </c>
      <c r="AM271" s="39">
        <f>IF(AK271="","",(P271+AE271)*N271)</f>
        <v/>
      </c>
      <c r="AN271" s="55">
        <f>IF(AK271="","",BrokeragePerOrder*2*MAX(1,N(L271)))</f>
        <v/>
      </c>
      <c r="AO271" s="55">
        <f>IF(AK271="","",STTRate*IF(I271="Buy",AE271,P271)*N271)</f>
        <v/>
      </c>
      <c r="AP271" s="55">
        <f>IF(AK271="","",ExchRate*AM271)</f>
        <v/>
      </c>
      <c r="AQ271" s="55">
        <f>IF(AK271="","",SEBIRate*AM271)</f>
        <v/>
      </c>
      <c r="AR271" s="55">
        <f>IF(AK271="","",StampRate*IF(I271="Buy",P271,AE271)*N271)</f>
        <v/>
      </c>
      <c r="AS271" s="55">
        <f>IF(AK271="","",GSTRate*(AN271+AP271+AQ271))</f>
        <v/>
      </c>
      <c r="AT271" s="55">
        <f>IF(AK271="","",AN271+AO271+AP271+AQ271+AR271+AS271)</f>
        <v/>
      </c>
      <c r="AU271" s="39">
        <f>IF(AK271="","",AK271-AT271)</f>
        <v/>
      </c>
      <c r="AV271" s="56">
        <f>IF(AU271="","",AU271/IF(N(Z271)&gt;0,Z271,RiskPerTrade))</f>
        <v/>
      </c>
      <c r="AW271" s="31">
        <f>IF(AU271="","",AU271/Capital)</f>
        <v/>
      </c>
      <c r="AX271" s="37" t="n"/>
      <c r="AY271" s="37" t="n"/>
      <c r="AZ271" s="37" t="n"/>
      <c r="BA271" s="37" t="n"/>
      <c r="BB271" s="37" t="n"/>
      <c r="BC271" s="37" t="n"/>
      <c r="BD271" s="37" t="n"/>
      <c r="BE271" s="5">
        <f>IF(AU271="","",IF(AU271&gt;0,"Win",IF(AU271&lt;0,"Loss","BE")))</f>
        <v/>
      </c>
      <c r="BF271" s="5">
        <f>IF(O271="","",LOOKUP(O271,List_BucketStart,List_BucketLabel))</f>
        <v/>
      </c>
      <c r="BG271" s="57">
        <f>IF(B271="","",B271-WEEKDAY(B271,3))</f>
        <v/>
      </c>
      <c r="BH271" s="28">
        <f>IF(B271="","",COUNTIF($B$6:B271,B271))</f>
        <v/>
      </c>
      <c r="BI271" s="39">
        <f>IF(B271="","",SUMIFS($AU$6:AU271,$B$6:B271,B271)-N(AU271))</f>
        <v/>
      </c>
      <c r="BJ271" s="5">
        <f>IF(OR(B271="",E271=""),"",IF(AND(E271=0,I271="Sell",MAX(N(O271),N(AD271))&gt;ExpiryCutoff),"BREACH","OK"))</f>
        <v/>
      </c>
      <c r="BK271" s="5">
        <f>IF(B271="","",IF(OR(AC271&lt;&gt;"OK",BJ271="BREACH",BH271&gt;MaxTradesDay,BI271&lt;=-DailyLossLimit,OR(AF271="Panic",AF271="Revenge",AF271="Rule break")),"CHECK","OK"))</f>
        <v/>
      </c>
      <c r="BL271" s="39">
        <f>IF(AU271="","",SUM($AU$6:AU271))</f>
        <v/>
      </c>
      <c r="BM271" s="39">
        <f>IF(BL271="","",Capital+BL271)</f>
        <v/>
      </c>
      <c r="BN271" s="39">
        <f>IF(BM271="","",MAX(Capital,MAX($BM$6:BM271)))</f>
        <v/>
      </c>
      <c r="BO271" s="39">
        <f>IF(BM271="","",BN271-BM271)</f>
        <v/>
      </c>
      <c r="BP271" s="58">
        <f>IF(BO271="","",BO271/BN271)</f>
        <v/>
      </c>
      <c r="BQ271" s="28">
        <f>IF(AU271="","",IF(AU271&lt;0,N(BQ270)+1,0))</f>
        <v/>
      </c>
    </row>
    <row r="272">
      <c r="A272" s="28">
        <f>IF(B272="","",COUNT($B$6:B272))</f>
        <v/>
      </c>
      <c r="B272" s="27" t="n"/>
      <c r="C272" s="5">
        <f>IF(B272="","",TEXT(B272,"ddd"))</f>
        <v/>
      </c>
      <c r="D272" s="27" t="n"/>
      <c r="E272" s="28">
        <f>IF(OR(B272="",D272=""),"",MAX(0,NETWORKDAYS(B272,D272)-1))</f>
        <v/>
      </c>
      <c r="F272" s="37" t="n"/>
      <c r="G272" s="36" t="n"/>
      <c r="H272" s="37" t="n"/>
      <c r="I272" s="37" t="n"/>
      <c r="J272" s="37" t="n"/>
      <c r="K272" s="37" t="n"/>
      <c r="L272" s="36" t="n"/>
      <c r="M272" s="36" t="n"/>
      <c r="N272" s="33">
        <f>IF(M272="","",M272*LotSize)</f>
        <v/>
      </c>
      <c r="O272" s="51" t="n"/>
      <c r="P272" s="32" t="n"/>
      <c r="Q272" s="29" t="n"/>
      <c r="R272" s="30">
        <f>IF(OR(G272="",Q272="",H272=""),"",IF(H272="CE",G272-Q272,Q272-G272))</f>
        <v/>
      </c>
      <c r="S272" s="31">
        <f>IF(R272="","",R272/Q272)</f>
        <v/>
      </c>
      <c r="T272" s="38" t="n"/>
      <c r="U272" s="32" t="n"/>
      <c r="V272" s="52" t="n"/>
      <c r="W272" s="37" t="n"/>
      <c r="X272" s="32" t="n"/>
      <c r="Y272" s="32" t="n"/>
      <c r="Z272" s="39">
        <f>IF(OR(X272="",P272="",N272=""),"",ABS(X272-P272)*N272)</f>
        <v/>
      </c>
      <c r="AA272" s="53">
        <f>IF(OR(Z272="",Y272=""),"",IF(Z272=0,"",ABS(P272-Y272)*N272/Z272))</f>
        <v/>
      </c>
      <c r="AB272" s="54">
        <f>IF(Z272="","",Z272/Capital)</f>
        <v/>
      </c>
      <c r="AC272" s="5">
        <f>IF(B272="","",IF(X272="","NO SL",IF(OR(N(M272)&gt;MaxLots,N(AB272)&gt;RiskPct),"OVERSIZED","OK")))</f>
        <v/>
      </c>
      <c r="AD272" s="51" t="n"/>
      <c r="AE272" s="32" t="n"/>
      <c r="AF272" s="37" t="n"/>
      <c r="AG272" s="32" t="n"/>
      <c r="AH272" s="32" t="n"/>
      <c r="AI272" s="39">
        <f>IF(OR(AG272="",P272="",N272=""),"",ABS(AG272-P272)*N272)</f>
        <v/>
      </c>
      <c r="AJ272" s="39">
        <f>IF(OR(AH272="",P272="",N272=""),"",ABS(P272-AH272)*N272)</f>
        <v/>
      </c>
      <c r="AK272" s="39">
        <f>IF(OR(AE272="",P272="",N272=""),"",IF(I272="Buy",AE272-P272,P272-AE272)*N272)</f>
        <v/>
      </c>
      <c r="AL272" s="39">
        <f>IF(OR(AJ272="",AK272=""),"",MAX(0,AJ272-AK272))</f>
        <v/>
      </c>
      <c r="AM272" s="39">
        <f>IF(AK272="","",(P272+AE272)*N272)</f>
        <v/>
      </c>
      <c r="AN272" s="55">
        <f>IF(AK272="","",BrokeragePerOrder*2*MAX(1,N(L272)))</f>
        <v/>
      </c>
      <c r="AO272" s="55">
        <f>IF(AK272="","",STTRate*IF(I272="Buy",AE272,P272)*N272)</f>
        <v/>
      </c>
      <c r="AP272" s="55">
        <f>IF(AK272="","",ExchRate*AM272)</f>
        <v/>
      </c>
      <c r="AQ272" s="55">
        <f>IF(AK272="","",SEBIRate*AM272)</f>
        <v/>
      </c>
      <c r="AR272" s="55">
        <f>IF(AK272="","",StampRate*IF(I272="Buy",P272,AE272)*N272)</f>
        <v/>
      </c>
      <c r="AS272" s="55">
        <f>IF(AK272="","",GSTRate*(AN272+AP272+AQ272))</f>
        <v/>
      </c>
      <c r="AT272" s="55">
        <f>IF(AK272="","",AN272+AO272+AP272+AQ272+AR272+AS272)</f>
        <v/>
      </c>
      <c r="AU272" s="39">
        <f>IF(AK272="","",AK272-AT272)</f>
        <v/>
      </c>
      <c r="AV272" s="56">
        <f>IF(AU272="","",AU272/IF(N(Z272)&gt;0,Z272,RiskPerTrade))</f>
        <v/>
      </c>
      <c r="AW272" s="31">
        <f>IF(AU272="","",AU272/Capital)</f>
        <v/>
      </c>
      <c r="AX272" s="37" t="n"/>
      <c r="AY272" s="37" t="n"/>
      <c r="AZ272" s="37" t="n"/>
      <c r="BA272" s="37" t="n"/>
      <c r="BB272" s="37" t="n"/>
      <c r="BC272" s="37" t="n"/>
      <c r="BD272" s="37" t="n"/>
      <c r="BE272" s="5">
        <f>IF(AU272="","",IF(AU272&gt;0,"Win",IF(AU272&lt;0,"Loss","BE")))</f>
        <v/>
      </c>
      <c r="BF272" s="5">
        <f>IF(O272="","",LOOKUP(O272,List_BucketStart,List_BucketLabel))</f>
        <v/>
      </c>
      <c r="BG272" s="57">
        <f>IF(B272="","",B272-WEEKDAY(B272,3))</f>
        <v/>
      </c>
      <c r="BH272" s="28">
        <f>IF(B272="","",COUNTIF($B$6:B272,B272))</f>
        <v/>
      </c>
      <c r="BI272" s="39">
        <f>IF(B272="","",SUMIFS($AU$6:AU272,$B$6:B272,B272)-N(AU272))</f>
        <v/>
      </c>
      <c r="BJ272" s="5">
        <f>IF(OR(B272="",E272=""),"",IF(AND(E272=0,I272="Sell",MAX(N(O272),N(AD272))&gt;ExpiryCutoff),"BREACH","OK"))</f>
        <v/>
      </c>
      <c r="BK272" s="5">
        <f>IF(B272="","",IF(OR(AC272&lt;&gt;"OK",BJ272="BREACH",BH272&gt;MaxTradesDay,BI272&lt;=-DailyLossLimit,OR(AF272="Panic",AF272="Revenge",AF272="Rule break")),"CHECK","OK"))</f>
        <v/>
      </c>
      <c r="BL272" s="39">
        <f>IF(AU272="","",SUM($AU$6:AU272))</f>
        <v/>
      </c>
      <c r="BM272" s="39">
        <f>IF(BL272="","",Capital+BL272)</f>
        <v/>
      </c>
      <c r="BN272" s="39">
        <f>IF(BM272="","",MAX(Capital,MAX($BM$6:BM272)))</f>
        <v/>
      </c>
      <c r="BO272" s="39">
        <f>IF(BM272="","",BN272-BM272)</f>
        <v/>
      </c>
      <c r="BP272" s="58">
        <f>IF(BO272="","",BO272/BN272)</f>
        <v/>
      </c>
      <c r="BQ272" s="28">
        <f>IF(AU272="","",IF(AU272&lt;0,N(BQ271)+1,0))</f>
        <v/>
      </c>
    </row>
    <row r="273">
      <c r="A273" s="28">
        <f>IF(B273="","",COUNT($B$6:B273))</f>
        <v/>
      </c>
      <c r="B273" s="27" t="n"/>
      <c r="C273" s="5">
        <f>IF(B273="","",TEXT(B273,"ddd"))</f>
        <v/>
      </c>
      <c r="D273" s="27" t="n"/>
      <c r="E273" s="28">
        <f>IF(OR(B273="",D273=""),"",MAX(0,NETWORKDAYS(B273,D273)-1))</f>
        <v/>
      </c>
      <c r="F273" s="37" t="n"/>
      <c r="G273" s="36" t="n"/>
      <c r="H273" s="37" t="n"/>
      <c r="I273" s="37" t="n"/>
      <c r="J273" s="37" t="n"/>
      <c r="K273" s="37" t="n"/>
      <c r="L273" s="36" t="n"/>
      <c r="M273" s="36" t="n"/>
      <c r="N273" s="33">
        <f>IF(M273="","",M273*LotSize)</f>
        <v/>
      </c>
      <c r="O273" s="51" t="n"/>
      <c r="P273" s="32" t="n"/>
      <c r="Q273" s="29" t="n"/>
      <c r="R273" s="30">
        <f>IF(OR(G273="",Q273="",H273=""),"",IF(H273="CE",G273-Q273,Q273-G273))</f>
        <v/>
      </c>
      <c r="S273" s="31">
        <f>IF(R273="","",R273/Q273)</f>
        <v/>
      </c>
      <c r="T273" s="38" t="n"/>
      <c r="U273" s="32" t="n"/>
      <c r="V273" s="52" t="n"/>
      <c r="W273" s="37" t="n"/>
      <c r="X273" s="32" t="n"/>
      <c r="Y273" s="32" t="n"/>
      <c r="Z273" s="39">
        <f>IF(OR(X273="",P273="",N273=""),"",ABS(X273-P273)*N273)</f>
        <v/>
      </c>
      <c r="AA273" s="53">
        <f>IF(OR(Z273="",Y273=""),"",IF(Z273=0,"",ABS(P273-Y273)*N273/Z273))</f>
        <v/>
      </c>
      <c r="AB273" s="54">
        <f>IF(Z273="","",Z273/Capital)</f>
        <v/>
      </c>
      <c r="AC273" s="5">
        <f>IF(B273="","",IF(X273="","NO SL",IF(OR(N(M273)&gt;MaxLots,N(AB273)&gt;RiskPct),"OVERSIZED","OK")))</f>
        <v/>
      </c>
      <c r="AD273" s="51" t="n"/>
      <c r="AE273" s="32" t="n"/>
      <c r="AF273" s="37" t="n"/>
      <c r="AG273" s="32" t="n"/>
      <c r="AH273" s="32" t="n"/>
      <c r="AI273" s="39">
        <f>IF(OR(AG273="",P273="",N273=""),"",ABS(AG273-P273)*N273)</f>
        <v/>
      </c>
      <c r="AJ273" s="39">
        <f>IF(OR(AH273="",P273="",N273=""),"",ABS(P273-AH273)*N273)</f>
        <v/>
      </c>
      <c r="AK273" s="39">
        <f>IF(OR(AE273="",P273="",N273=""),"",IF(I273="Buy",AE273-P273,P273-AE273)*N273)</f>
        <v/>
      </c>
      <c r="AL273" s="39">
        <f>IF(OR(AJ273="",AK273=""),"",MAX(0,AJ273-AK273))</f>
        <v/>
      </c>
      <c r="AM273" s="39">
        <f>IF(AK273="","",(P273+AE273)*N273)</f>
        <v/>
      </c>
      <c r="AN273" s="55">
        <f>IF(AK273="","",BrokeragePerOrder*2*MAX(1,N(L273)))</f>
        <v/>
      </c>
      <c r="AO273" s="55">
        <f>IF(AK273="","",STTRate*IF(I273="Buy",AE273,P273)*N273)</f>
        <v/>
      </c>
      <c r="AP273" s="55">
        <f>IF(AK273="","",ExchRate*AM273)</f>
        <v/>
      </c>
      <c r="AQ273" s="55">
        <f>IF(AK273="","",SEBIRate*AM273)</f>
        <v/>
      </c>
      <c r="AR273" s="55">
        <f>IF(AK273="","",StampRate*IF(I273="Buy",P273,AE273)*N273)</f>
        <v/>
      </c>
      <c r="AS273" s="55">
        <f>IF(AK273="","",GSTRate*(AN273+AP273+AQ273))</f>
        <v/>
      </c>
      <c r="AT273" s="55">
        <f>IF(AK273="","",AN273+AO273+AP273+AQ273+AR273+AS273)</f>
        <v/>
      </c>
      <c r="AU273" s="39">
        <f>IF(AK273="","",AK273-AT273)</f>
        <v/>
      </c>
      <c r="AV273" s="56">
        <f>IF(AU273="","",AU273/IF(N(Z273)&gt;0,Z273,RiskPerTrade))</f>
        <v/>
      </c>
      <c r="AW273" s="31">
        <f>IF(AU273="","",AU273/Capital)</f>
        <v/>
      </c>
      <c r="AX273" s="37" t="n"/>
      <c r="AY273" s="37" t="n"/>
      <c r="AZ273" s="37" t="n"/>
      <c r="BA273" s="37" t="n"/>
      <c r="BB273" s="37" t="n"/>
      <c r="BC273" s="37" t="n"/>
      <c r="BD273" s="37" t="n"/>
      <c r="BE273" s="5">
        <f>IF(AU273="","",IF(AU273&gt;0,"Win",IF(AU273&lt;0,"Loss","BE")))</f>
        <v/>
      </c>
      <c r="BF273" s="5">
        <f>IF(O273="","",LOOKUP(O273,List_BucketStart,List_BucketLabel))</f>
        <v/>
      </c>
      <c r="BG273" s="57">
        <f>IF(B273="","",B273-WEEKDAY(B273,3))</f>
        <v/>
      </c>
      <c r="BH273" s="28">
        <f>IF(B273="","",COUNTIF($B$6:B273,B273))</f>
        <v/>
      </c>
      <c r="BI273" s="39">
        <f>IF(B273="","",SUMIFS($AU$6:AU273,$B$6:B273,B273)-N(AU273))</f>
        <v/>
      </c>
      <c r="BJ273" s="5">
        <f>IF(OR(B273="",E273=""),"",IF(AND(E273=0,I273="Sell",MAX(N(O273),N(AD273))&gt;ExpiryCutoff),"BREACH","OK"))</f>
        <v/>
      </c>
      <c r="BK273" s="5">
        <f>IF(B273="","",IF(OR(AC273&lt;&gt;"OK",BJ273="BREACH",BH273&gt;MaxTradesDay,BI273&lt;=-DailyLossLimit,OR(AF273="Panic",AF273="Revenge",AF273="Rule break")),"CHECK","OK"))</f>
        <v/>
      </c>
      <c r="BL273" s="39">
        <f>IF(AU273="","",SUM($AU$6:AU273))</f>
        <v/>
      </c>
      <c r="BM273" s="39">
        <f>IF(BL273="","",Capital+BL273)</f>
        <v/>
      </c>
      <c r="BN273" s="39">
        <f>IF(BM273="","",MAX(Capital,MAX($BM$6:BM273)))</f>
        <v/>
      </c>
      <c r="BO273" s="39">
        <f>IF(BM273="","",BN273-BM273)</f>
        <v/>
      </c>
      <c r="BP273" s="58">
        <f>IF(BO273="","",BO273/BN273)</f>
        <v/>
      </c>
      <c r="BQ273" s="28">
        <f>IF(AU273="","",IF(AU273&lt;0,N(BQ272)+1,0))</f>
        <v/>
      </c>
    </row>
    <row r="274">
      <c r="A274" s="28">
        <f>IF(B274="","",COUNT($B$6:B274))</f>
        <v/>
      </c>
      <c r="B274" s="27" t="n"/>
      <c r="C274" s="5">
        <f>IF(B274="","",TEXT(B274,"ddd"))</f>
        <v/>
      </c>
      <c r="D274" s="27" t="n"/>
      <c r="E274" s="28">
        <f>IF(OR(B274="",D274=""),"",MAX(0,NETWORKDAYS(B274,D274)-1))</f>
        <v/>
      </c>
      <c r="F274" s="37" t="n"/>
      <c r="G274" s="36" t="n"/>
      <c r="H274" s="37" t="n"/>
      <c r="I274" s="37" t="n"/>
      <c r="J274" s="37" t="n"/>
      <c r="K274" s="37" t="n"/>
      <c r="L274" s="36" t="n"/>
      <c r="M274" s="36" t="n"/>
      <c r="N274" s="33">
        <f>IF(M274="","",M274*LotSize)</f>
        <v/>
      </c>
      <c r="O274" s="51" t="n"/>
      <c r="P274" s="32" t="n"/>
      <c r="Q274" s="29" t="n"/>
      <c r="R274" s="30">
        <f>IF(OR(G274="",Q274="",H274=""),"",IF(H274="CE",G274-Q274,Q274-G274))</f>
        <v/>
      </c>
      <c r="S274" s="31">
        <f>IF(R274="","",R274/Q274)</f>
        <v/>
      </c>
      <c r="T274" s="38" t="n"/>
      <c r="U274" s="32" t="n"/>
      <c r="V274" s="52" t="n"/>
      <c r="W274" s="37" t="n"/>
      <c r="X274" s="32" t="n"/>
      <c r="Y274" s="32" t="n"/>
      <c r="Z274" s="39">
        <f>IF(OR(X274="",P274="",N274=""),"",ABS(X274-P274)*N274)</f>
        <v/>
      </c>
      <c r="AA274" s="53">
        <f>IF(OR(Z274="",Y274=""),"",IF(Z274=0,"",ABS(P274-Y274)*N274/Z274))</f>
        <v/>
      </c>
      <c r="AB274" s="54">
        <f>IF(Z274="","",Z274/Capital)</f>
        <v/>
      </c>
      <c r="AC274" s="5">
        <f>IF(B274="","",IF(X274="","NO SL",IF(OR(N(M274)&gt;MaxLots,N(AB274)&gt;RiskPct),"OVERSIZED","OK")))</f>
        <v/>
      </c>
      <c r="AD274" s="51" t="n"/>
      <c r="AE274" s="32" t="n"/>
      <c r="AF274" s="37" t="n"/>
      <c r="AG274" s="32" t="n"/>
      <c r="AH274" s="32" t="n"/>
      <c r="AI274" s="39">
        <f>IF(OR(AG274="",P274="",N274=""),"",ABS(AG274-P274)*N274)</f>
        <v/>
      </c>
      <c r="AJ274" s="39">
        <f>IF(OR(AH274="",P274="",N274=""),"",ABS(P274-AH274)*N274)</f>
        <v/>
      </c>
      <c r="AK274" s="39">
        <f>IF(OR(AE274="",P274="",N274=""),"",IF(I274="Buy",AE274-P274,P274-AE274)*N274)</f>
        <v/>
      </c>
      <c r="AL274" s="39">
        <f>IF(OR(AJ274="",AK274=""),"",MAX(0,AJ274-AK274))</f>
        <v/>
      </c>
      <c r="AM274" s="39">
        <f>IF(AK274="","",(P274+AE274)*N274)</f>
        <v/>
      </c>
      <c r="AN274" s="55">
        <f>IF(AK274="","",BrokeragePerOrder*2*MAX(1,N(L274)))</f>
        <v/>
      </c>
      <c r="AO274" s="55">
        <f>IF(AK274="","",STTRate*IF(I274="Buy",AE274,P274)*N274)</f>
        <v/>
      </c>
      <c r="AP274" s="55">
        <f>IF(AK274="","",ExchRate*AM274)</f>
        <v/>
      </c>
      <c r="AQ274" s="55">
        <f>IF(AK274="","",SEBIRate*AM274)</f>
        <v/>
      </c>
      <c r="AR274" s="55">
        <f>IF(AK274="","",StampRate*IF(I274="Buy",P274,AE274)*N274)</f>
        <v/>
      </c>
      <c r="AS274" s="55">
        <f>IF(AK274="","",GSTRate*(AN274+AP274+AQ274))</f>
        <v/>
      </c>
      <c r="AT274" s="55">
        <f>IF(AK274="","",AN274+AO274+AP274+AQ274+AR274+AS274)</f>
        <v/>
      </c>
      <c r="AU274" s="39">
        <f>IF(AK274="","",AK274-AT274)</f>
        <v/>
      </c>
      <c r="AV274" s="56">
        <f>IF(AU274="","",AU274/IF(N(Z274)&gt;0,Z274,RiskPerTrade))</f>
        <v/>
      </c>
      <c r="AW274" s="31">
        <f>IF(AU274="","",AU274/Capital)</f>
        <v/>
      </c>
      <c r="AX274" s="37" t="n"/>
      <c r="AY274" s="37" t="n"/>
      <c r="AZ274" s="37" t="n"/>
      <c r="BA274" s="37" t="n"/>
      <c r="BB274" s="37" t="n"/>
      <c r="BC274" s="37" t="n"/>
      <c r="BD274" s="37" t="n"/>
      <c r="BE274" s="5">
        <f>IF(AU274="","",IF(AU274&gt;0,"Win",IF(AU274&lt;0,"Loss","BE")))</f>
        <v/>
      </c>
      <c r="BF274" s="5">
        <f>IF(O274="","",LOOKUP(O274,List_BucketStart,List_BucketLabel))</f>
        <v/>
      </c>
      <c r="BG274" s="57">
        <f>IF(B274="","",B274-WEEKDAY(B274,3))</f>
        <v/>
      </c>
      <c r="BH274" s="28">
        <f>IF(B274="","",COUNTIF($B$6:B274,B274))</f>
        <v/>
      </c>
      <c r="BI274" s="39">
        <f>IF(B274="","",SUMIFS($AU$6:AU274,$B$6:B274,B274)-N(AU274))</f>
        <v/>
      </c>
      <c r="BJ274" s="5">
        <f>IF(OR(B274="",E274=""),"",IF(AND(E274=0,I274="Sell",MAX(N(O274),N(AD274))&gt;ExpiryCutoff),"BREACH","OK"))</f>
        <v/>
      </c>
      <c r="BK274" s="5">
        <f>IF(B274="","",IF(OR(AC274&lt;&gt;"OK",BJ274="BREACH",BH274&gt;MaxTradesDay,BI274&lt;=-DailyLossLimit,OR(AF274="Panic",AF274="Revenge",AF274="Rule break")),"CHECK","OK"))</f>
        <v/>
      </c>
      <c r="BL274" s="39">
        <f>IF(AU274="","",SUM($AU$6:AU274))</f>
        <v/>
      </c>
      <c r="BM274" s="39">
        <f>IF(BL274="","",Capital+BL274)</f>
        <v/>
      </c>
      <c r="BN274" s="39">
        <f>IF(BM274="","",MAX(Capital,MAX($BM$6:BM274)))</f>
        <v/>
      </c>
      <c r="BO274" s="39">
        <f>IF(BM274="","",BN274-BM274)</f>
        <v/>
      </c>
      <c r="BP274" s="58">
        <f>IF(BO274="","",BO274/BN274)</f>
        <v/>
      </c>
      <c r="BQ274" s="28">
        <f>IF(AU274="","",IF(AU274&lt;0,N(BQ273)+1,0))</f>
        <v/>
      </c>
    </row>
    <row r="275">
      <c r="A275" s="28">
        <f>IF(B275="","",COUNT($B$6:B275))</f>
        <v/>
      </c>
      <c r="B275" s="27" t="n"/>
      <c r="C275" s="5">
        <f>IF(B275="","",TEXT(B275,"ddd"))</f>
        <v/>
      </c>
      <c r="D275" s="27" t="n"/>
      <c r="E275" s="28">
        <f>IF(OR(B275="",D275=""),"",MAX(0,NETWORKDAYS(B275,D275)-1))</f>
        <v/>
      </c>
      <c r="F275" s="37" t="n"/>
      <c r="G275" s="36" t="n"/>
      <c r="H275" s="37" t="n"/>
      <c r="I275" s="37" t="n"/>
      <c r="J275" s="37" t="n"/>
      <c r="K275" s="37" t="n"/>
      <c r="L275" s="36" t="n"/>
      <c r="M275" s="36" t="n"/>
      <c r="N275" s="33">
        <f>IF(M275="","",M275*LotSize)</f>
        <v/>
      </c>
      <c r="O275" s="51" t="n"/>
      <c r="P275" s="32" t="n"/>
      <c r="Q275" s="29" t="n"/>
      <c r="R275" s="30">
        <f>IF(OR(G275="",Q275="",H275=""),"",IF(H275="CE",G275-Q275,Q275-G275))</f>
        <v/>
      </c>
      <c r="S275" s="31">
        <f>IF(R275="","",R275/Q275)</f>
        <v/>
      </c>
      <c r="T275" s="38" t="n"/>
      <c r="U275" s="32" t="n"/>
      <c r="V275" s="52" t="n"/>
      <c r="W275" s="37" t="n"/>
      <c r="X275" s="32" t="n"/>
      <c r="Y275" s="32" t="n"/>
      <c r="Z275" s="39">
        <f>IF(OR(X275="",P275="",N275=""),"",ABS(X275-P275)*N275)</f>
        <v/>
      </c>
      <c r="AA275" s="53">
        <f>IF(OR(Z275="",Y275=""),"",IF(Z275=0,"",ABS(P275-Y275)*N275/Z275))</f>
        <v/>
      </c>
      <c r="AB275" s="54">
        <f>IF(Z275="","",Z275/Capital)</f>
        <v/>
      </c>
      <c r="AC275" s="5">
        <f>IF(B275="","",IF(X275="","NO SL",IF(OR(N(M275)&gt;MaxLots,N(AB275)&gt;RiskPct),"OVERSIZED","OK")))</f>
        <v/>
      </c>
      <c r="AD275" s="51" t="n"/>
      <c r="AE275" s="32" t="n"/>
      <c r="AF275" s="37" t="n"/>
      <c r="AG275" s="32" t="n"/>
      <c r="AH275" s="32" t="n"/>
      <c r="AI275" s="39">
        <f>IF(OR(AG275="",P275="",N275=""),"",ABS(AG275-P275)*N275)</f>
        <v/>
      </c>
      <c r="AJ275" s="39">
        <f>IF(OR(AH275="",P275="",N275=""),"",ABS(P275-AH275)*N275)</f>
        <v/>
      </c>
      <c r="AK275" s="39">
        <f>IF(OR(AE275="",P275="",N275=""),"",IF(I275="Buy",AE275-P275,P275-AE275)*N275)</f>
        <v/>
      </c>
      <c r="AL275" s="39">
        <f>IF(OR(AJ275="",AK275=""),"",MAX(0,AJ275-AK275))</f>
        <v/>
      </c>
      <c r="AM275" s="39">
        <f>IF(AK275="","",(P275+AE275)*N275)</f>
        <v/>
      </c>
      <c r="AN275" s="55">
        <f>IF(AK275="","",BrokeragePerOrder*2*MAX(1,N(L275)))</f>
        <v/>
      </c>
      <c r="AO275" s="55">
        <f>IF(AK275="","",STTRate*IF(I275="Buy",AE275,P275)*N275)</f>
        <v/>
      </c>
      <c r="AP275" s="55">
        <f>IF(AK275="","",ExchRate*AM275)</f>
        <v/>
      </c>
      <c r="AQ275" s="55">
        <f>IF(AK275="","",SEBIRate*AM275)</f>
        <v/>
      </c>
      <c r="AR275" s="55">
        <f>IF(AK275="","",StampRate*IF(I275="Buy",P275,AE275)*N275)</f>
        <v/>
      </c>
      <c r="AS275" s="55">
        <f>IF(AK275="","",GSTRate*(AN275+AP275+AQ275))</f>
        <v/>
      </c>
      <c r="AT275" s="55">
        <f>IF(AK275="","",AN275+AO275+AP275+AQ275+AR275+AS275)</f>
        <v/>
      </c>
      <c r="AU275" s="39">
        <f>IF(AK275="","",AK275-AT275)</f>
        <v/>
      </c>
      <c r="AV275" s="56">
        <f>IF(AU275="","",AU275/IF(N(Z275)&gt;0,Z275,RiskPerTrade))</f>
        <v/>
      </c>
      <c r="AW275" s="31">
        <f>IF(AU275="","",AU275/Capital)</f>
        <v/>
      </c>
      <c r="AX275" s="37" t="n"/>
      <c r="AY275" s="37" t="n"/>
      <c r="AZ275" s="37" t="n"/>
      <c r="BA275" s="37" t="n"/>
      <c r="BB275" s="37" t="n"/>
      <c r="BC275" s="37" t="n"/>
      <c r="BD275" s="37" t="n"/>
      <c r="BE275" s="5">
        <f>IF(AU275="","",IF(AU275&gt;0,"Win",IF(AU275&lt;0,"Loss","BE")))</f>
        <v/>
      </c>
      <c r="BF275" s="5">
        <f>IF(O275="","",LOOKUP(O275,List_BucketStart,List_BucketLabel))</f>
        <v/>
      </c>
      <c r="BG275" s="57">
        <f>IF(B275="","",B275-WEEKDAY(B275,3))</f>
        <v/>
      </c>
      <c r="BH275" s="28">
        <f>IF(B275="","",COUNTIF($B$6:B275,B275))</f>
        <v/>
      </c>
      <c r="BI275" s="39">
        <f>IF(B275="","",SUMIFS($AU$6:AU275,$B$6:B275,B275)-N(AU275))</f>
        <v/>
      </c>
      <c r="BJ275" s="5">
        <f>IF(OR(B275="",E275=""),"",IF(AND(E275=0,I275="Sell",MAX(N(O275),N(AD275))&gt;ExpiryCutoff),"BREACH","OK"))</f>
        <v/>
      </c>
      <c r="BK275" s="5">
        <f>IF(B275="","",IF(OR(AC275&lt;&gt;"OK",BJ275="BREACH",BH275&gt;MaxTradesDay,BI275&lt;=-DailyLossLimit,OR(AF275="Panic",AF275="Revenge",AF275="Rule break")),"CHECK","OK"))</f>
        <v/>
      </c>
      <c r="BL275" s="39">
        <f>IF(AU275="","",SUM($AU$6:AU275))</f>
        <v/>
      </c>
      <c r="BM275" s="39">
        <f>IF(BL275="","",Capital+BL275)</f>
        <v/>
      </c>
      <c r="BN275" s="39">
        <f>IF(BM275="","",MAX(Capital,MAX($BM$6:BM275)))</f>
        <v/>
      </c>
      <c r="BO275" s="39">
        <f>IF(BM275="","",BN275-BM275)</f>
        <v/>
      </c>
      <c r="BP275" s="58">
        <f>IF(BO275="","",BO275/BN275)</f>
        <v/>
      </c>
      <c r="BQ275" s="28">
        <f>IF(AU275="","",IF(AU275&lt;0,N(BQ274)+1,0))</f>
        <v/>
      </c>
    </row>
    <row r="276">
      <c r="A276" s="28">
        <f>IF(B276="","",COUNT($B$6:B276))</f>
        <v/>
      </c>
      <c r="B276" s="27" t="n"/>
      <c r="C276" s="5">
        <f>IF(B276="","",TEXT(B276,"ddd"))</f>
        <v/>
      </c>
      <c r="D276" s="27" t="n"/>
      <c r="E276" s="28">
        <f>IF(OR(B276="",D276=""),"",MAX(0,NETWORKDAYS(B276,D276)-1))</f>
        <v/>
      </c>
      <c r="F276" s="37" t="n"/>
      <c r="G276" s="36" t="n"/>
      <c r="H276" s="37" t="n"/>
      <c r="I276" s="37" t="n"/>
      <c r="J276" s="37" t="n"/>
      <c r="K276" s="37" t="n"/>
      <c r="L276" s="36" t="n"/>
      <c r="M276" s="36" t="n"/>
      <c r="N276" s="33">
        <f>IF(M276="","",M276*LotSize)</f>
        <v/>
      </c>
      <c r="O276" s="51" t="n"/>
      <c r="P276" s="32" t="n"/>
      <c r="Q276" s="29" t="n"/>
      <c r="R276" s="30">
        <f>IF(OR(G276="",Q276="",H276=""),"",IF(H276="CE",G276-Q276,Q276-G276))</f>
        <v/>
      </c>
      <c r="S276" s="31">
        <f>IF(R276="","",R276/Q276)</f>
        <v/>
      </c>
      <c r="T276" s="38" t="n"/>
      <c r="U276" s="32" t="n"/>
      <c r="V276" s="52" t="n"/>
      <c r="W276" s="37" t="n"/>
      <c r="X276" s="32" t="n"/>
      <c r="Y276" s="32" t="n"/>
      <c r="Z276" s="39">
        <f>IF(OR(X276="",P276="",N276=""),"",ABS(X276-P276)*N276)</f>
        <v/>
      </c>
      <c r="AA276" s="53">
        <f>IF(OR(Z276="",Y276=""),"",IF(Z276=0,"",ABS(P276-Y276)*N276/Z276))</f>
        <v/>
      </c>
      <c r="AB276" s="54">
        <f>IF(Z276="","",Z276/Capital)</f>
        <v/>
      </c>
      <c r="AC276" s="5">
        <f>IF(B276="","",IF(X276="","NO SL",IF(OR(N(M276)&gt;MaxLots,N(AB276)&gt;RiskPct),"OVERSIZED","OK")))</f>
        <v/>
      </c>
      <c r="AD276" s="51" t="n"/>
      <c r="AE276" s="32" t="n"/>
      <c r="AF276" s="37" t="n"/>
      <c r="AG276" s="32" t="n"/>
      <c r="AH276" s="32" t="n"/>
      <c r="AI276" s="39">
        <f>IF(OR(AG276="",P276="",N276=""),"",ABS(AG276-P276)*N276)</f>
        <v/>
      </c>
      <c r="AJ276" s="39">
        <f>IF(OR(AH276="",P276="",N276=""),"",ABS(P276-AH276)*N276)</f>
        <v/>
      </c>
      <c r="AK276" s="39">
        <f>IF(OR(AE276="",P276="",N276=""),"",IF(I276="Buy",AE276-P276,P276-AE276)*N276)</f>
        <v/>
      </c>
      <c r="AL276" s="39">
        <f>IF(OR(AJ276="",AK276=""),"",MAX(0,AJ276-AK276))</f>
        <v/>
      </c>
      <c r="AM276" s="39">
        <f>IF(AK276="","",(P276+AE276)*N276)</f>
        <v/>
      </c>
      <c r="AN276" s="55">
        <f>IF(AK276="","",BrokeragePerOrder*2*MAX(1,N(L276)))</f>
        <v/>
      </c>
      <c r="AO276" s="55">
        <f>IF(AK276="","",STTRate*IF(I276="Buy",AE276,P276)*N276)</f>
        <v/>
      </c>
      <c r="AP276" s="55">
        <f>IF(AK276="","",ExchRate*AM276)</f>
        <v/>
      </c>
      <c r="AQ276" s="55">
        <f>IF(AK276="","",SEBIRate*AM276)</f>
        <v/>
      </c>
      <c r="AR276" s="55">
        <f>IF(AK276="","",StampRate*IF(I276="Buy",P276,AE276)*N276)</f>
        <v/>
      </c>
      <c r="AS276" s="55">
        <f>IF(AK276="","",GSTRate*(AN276+AP276+AQ276))</f>
        <v/>
      </c>
      <c r="AT276" s="55">
        <f>IF(AK276="","",AN276+AO276+AP276+AQ276+AR276+AS276)</f>
        <v/>
      </c>
      <c r="AU276" s="39">
        <f>IF(AK276="","",AK276-AT276)</f>
        <v/>
      </c>
      <c r="AV276" s="56">
        <f>IF(AU276="","",AU276/IF(N(Z276)&gt;0,Z276,RiskPerTrade))</f>
        <v/>
      </c>
      <c r="AW276" s="31">
        <f>IF(AU276="","",AU276/Capital)</f>
        <v/>
      </c>
      <c r="AX276" s="37" t="n"/>
      <c r="AY276" s="37" t="n"/>
      <c r="AZ276" s="37" t="n"/>
      <c r="BA276" s="37" t="n"/>
      <c r="BB276" s="37" t="n"/>
      <c r="BC276" s="37" t="n"/>
      <c r="BD276" s="37" t="n"/>
      <c r="BE276" s="5">
        <f>IF(AU276="","",IF(AU276&gt;0,"Win",IF(AU276&lt;0,"Loss","BE")))</f>
        <v/>
      </c>
      <c r="BF276" s="5">
        <f>IF(O276="","",LOOKUP(O276,List_BucketStart,List_BucketLabel))</f>
        <v/>
      </c>
      <c r="BG276" s="57">
        <f>IF(B276="","",B276-WEEKDAY(B276,3))</f>
        <v/>
      </c>
      <c r="BH276" s="28">
        <f>IF(B276="","",COUNTIF($B$6:B276,B276))</f>
        <v/>
      </c>
      <c r="BI276" s="39">
        <f>IF(B276="","",SUMIFS($AU$6:AU276,$B$6:B276,B276)-N(AU276))</f>
        <v/>
      </c>
      <c r="BJ276" s="5">
        <f>IF(OR(B276="",E276=""),"",IF(AND(E276=0,I276="Sell",MAX(N(O276),N(AD276))&gt;ExpiryCutoff),"BREACH","OK"))</f>
        <v/>
      </c>
      <c r="BK276" s="5">
        <f>IF(B276="","",IF(OR(AC276&lt;&gt;"OK",BJ276="BREACH",BH276&gt;MaxTradesDay,BI276&lt;=-DailyLossLimit,OR(AF276="Panic",AF276="Revenge",AF276="Rule break")),"CHECK","OK"))</f>
        <v/>
      </c>
      <c r="BL276" s="39">
        <f>IF(AU276="","",SUM($AU$6:AU276))</f>
        <v/>
      </c>
      <c r="BM276" s="39">
        <f>IF(BL276="","",Capital+BL276)</f>
        <v/>
      </c>
      <c r="BN276" s="39">
        <f>IF(BM276="","",MAX(Capital,MAX($BM$6:BM276)))</f>
        <v/>
      </c>
      <c r="BO276" s="39">
        <f>IF(BM276="","",BN276-BM276)</f>
        <v/>
      </c>
      <c r="BP276" s="58">
        <f>IF(BO276="","",BO276/BN276)</f>
        <v/>
      </c>
      <c r="BQ276" s="28">
        <f>IF(AU276="","",IF(AU276&lt;0,N(BQ275)+1,0))</f>
        <v/>
      </c>
    </row>
    <row r="277">
      <c r="A277" s="28">
        <f>IF(B277="","",COUNT($B$6:B277))</f>
        <v/>
      </c>
      <c r="B277" s="27" t="n"/>
      <c r="C277" s="5">
        <f>IF(B277="","",TEXT(B277,"ddd"))</f>
        <v/>
      </c>
      <c r="D277" s="27" t="n"/>
      <c r="E277" s="28">
        <f>IF(OR(B277="",D277=""),"",MAX(0,NETWORKDAYS(B277,D277)-1))</f>
        <v/>
      </c>
      <c r="F277" s="37" t="n"/>
      <c r="G277" s="36" t="n"/>
      <c r="H277" s="37" t="n"/>
      <c r="I277" s="37" t="n"/>
      <c r="J277" s="37" t="n"/>
      <c r="K277" s="37" t="n"/>
      <c r="L277" s="36" t="n"/>
      <c r="M277" s="36" t="n"/>
      <c r="N277" s="33">
        <f>IF(M277="","",M277*LotSize)</f>
        <v/>
      </c>
      <c r="O277" s="51" t="n"/>
      <c r="P277" s="32" t="n"/>
      <c r="Q277" s="29" t="n"/>
      <c r="R277" s="30">
        <f>IF(OR(G277="",Q277="",H277=""),"",IF(H277="CE",G277-Q277,Q277-G277))</f>
        <v/>
      </c>
      <c r="S277" s="31">
        <f>IF(R277="","",R277/Q277)</f>
        <v/>
      </c>
      <c r="T277" s="38" t="n"/>
      <c r="U277" s="32" t="n"/>
      <c r="V277" s="52" t="n"/>
      <c r="W277" s="37" t="n"/>
      <c r="X277" s="32" t="n"/>
      <c r="Y277" s="32" t="n"/>
      <c r="Z277" s="39">
        <f>IF(OR(X277="",P277="",N277=""),"",ABS(X277-P277)*N277)</f>
        <v/>
      </c>
      <c r="AA277" s="53">
        <f>IF(OR(Z277="",Y277=""),"",IF(Z277=0,"",ABS(P277-Y277)*N277/Z277))</f>
        <v/>
      </c>
      <c r="AB277" s="54">
        <f>IF(Z277="","",Z277/Capital)</f>
        <v/>
      </c>
      <c r="AC277" s="5">
        <f>IF(B277="","",IF(X277="","NO SL",IF(OR(N(M277)&gt;MaxLots,N(AB277)&gt;RiskPct),"OVERSIZED","OK")))</f>
        <v/>
      </c>
      <c r="AD277" s="51" t="n"/>
      <c r="AE277" s="32" t="n"/>
      <c r="AF277" s="37" t="n"/>
      <c r="AG277" s="32" t="n"/>
      <c r="AH277" s="32" t="n"/>
      <c r="AI277" s="39">
        <f>IF(OR(AG277="",P277="",N277=""),"",ABS(AG277-P277)*N277)</f>
        <v/>
      </c>
      <c r="AJ277" s="39">
        <f>IF(OR(AH277="",P277="",N277=""),"",ABS(P277-AH277)*N277)</f>
        <v/>
      </c>
      <c r="AK277" s="39">
        <f>IF(OR(AE277="",P277="",N277=""),"",IF(I277="Buy",AE277-P277,P277-AE277)*N277)</f>
        <v/>
      </c>
      <c r="AL277" s="39">
        <f>IF(OR(AJ277="",AK277=""),"",MAX(0,AJ277-AK277))</f>
        <v/>
      </c>
      <c r="AM277" s="39">
        <f>IF(AK277="","",(P277+AE277)*N277)</f>
        <v/>
      </c>
      <c r="AN277" s="55">
        <f>IF(AK277="","",BrokeragePerOrder*2*MAX(1,N(L277)))</f>
        <v/>
      </c>
      <c r="AO277" s="55">
        <f>IF(AK277="","",STTRate*IF(I277="Buy",AE277,P277)*N277)</f>
        <v/>
      </c>
      <c r="AP277" s="55">
        <f>IF(AK277="","",ExchRate*AM277)</f>
        <v/>
      </c>
      <c r="AQ277" s="55">
        <f>IF(AK277="","",SEBIRate*AM277)</f>
        <v/>
      </c>
      <c r="AR277" s="55">
        <f>IF(AK277="","",StampRate*IF(I277="Buy",P277,AE277)*N277)</f>
        <v/>
      </c>
      <c r="AS277" s="55">
        <f>IF(AK277="","",GSTRate*(AN277+AP277+AQ277))</f>
        <v/>
      </c>
      <c r="AT277" s="55">
        <f>IF(AK277="","",AN277+AO277+AP277+AQ277+AR277+AS277)</f>
        <v/>
      </c>
      <c r="AU277" s="39">
        <f>IF(AK277="","",AK277-AT277)</f>
        <v/>
      </c>
      <c r="AV277" s="56">
        <f>IF(AU277="","",AU277/IF(N(Z277)&gt;0,Z277,RiskPerTrade))</f>
        <v/>
      </c>
      <c r="AW277" s="31">
        <f>IF(AU277="","",AU277/Capital)</f>
        <v/>
      </c>
      <c r="AX277" s="37" t="n"/>
      <c r="AY277" s="37" t="n"/>
      <c r="AZ277" s="37" t="n"/>
      <c r="BA277" s="37" t="n"/>
      <c r="BB277" s="37" t="n"/>
      <c r="BC277" s="37" t="n"/>
      <c r="BD277" s="37" t="n"/>
      <c r="BE277" s="5">
        <f>IF(AU277="","",IF(AU277&gt;0,"Win",IF(AU277&lt;0,"Loss","BE")))</f>
        <v/>
      </c>
      <c r="BF277" s="5">
        <f>IF(O277="","",LOOKUP(O277,List_BucketStart,List_BucketLabel))</f>
        <v/>
      </c>
      <c r="BG277" s="57">
        <f>IF(B277="","",B277-WEEKDAY(B277,3))</f>
        <v/>
      </c>
      <c r="BH277" s="28">
        <f>IF(B277="","",COUNTIF($B$6:B277,B277))</f>
        <v/>
      </c>
      <c r="BI277" s="39">
        <f>IF(B277="","",SUMIFS($AU$6:AU277,$B$6:B277,B277)-N(AU277))</f>
        <v/>
      </c>
      <c r="BJ277" s="5">
        <f>IF(OR(B277="",E277=""),"",IF(AND(E277=0,I277="Sell",MAX(N(O277),N(AD277))&gt;ExpiryCutoff),"BREACH","OK"))</f>
        <v/>
      </c>
      <c r="BK277" s="5">
        <f>IF(B277="","",IF(OR(AC277&lt;&gt;"OK",BJ277="BREACH",BH277&gt;MaxTradesDay,BI277&lt;=-DailyLossLimit,OR(AF277="Panic",AF277="Revenge",AF277="Rule break")),"CHECK","OK"))</f>
        <v/>
      </c>
      <c r="BL277" s="39">
        <f>IF(AU277="","",SUM($AU$6:AU277))</f>
        <v/>
      </c>
      <c r="BM277" s="39">
        <f>IF(BL277="","",Capital+BL277)</f>
        <v/>
      </c>
      <c r="BN277" s="39">
        <f>IF(BM277="","",MAX(Capital,MAX($BM$6:BM277)))</f>
        <v/>
      </c>
      <c r="BO277" s="39">
        <f>IF(BM277="","",BN277-BM277)</f>
        <v/>
      </c>
      <c r="BP277" s="58">
        <f>IF(BO277="","",BO277/BN277)</f>
        <v/>
      </c>
      <c r="BQ277" s="28">
        <f>IF(AU277="","",IF(AU277&lt;0,N(BQ276)+1,0))</f>
        <v/>
      </c>
    </row>
    <row r="278">
      <c r="A278" s="28">
        <f>IF(B278="","",COUNT($B$6:B278))</f>
        <v/>
      </c>
      <c r="B278" s="27" t="n"/>
      <c r="C278" s="5">
        <f>IF(B278="","",TEXT(B278,"ddd"))</f>
        <v/>
      </c>
      <c r="D278" s="27" t="n"/>
      <c r="E278" s="28">
        <f>IF(OR(B278="",D278=""),"",MAX(0,NETWORKDAYS(B278,D278)-1))</f>
        <v/>
      </c>
      <c r="F278" s="37" t="n"/>
      <c r="G278" s="36" t="n"/>
      <c r="H278" s="37" t="n"/>
      <c r="I278" s="37" t="n"/>
      <c r="J278" s="37" t="n"/>
      <c r="K278" s="37" t="n"/>
      <c r="L278" s="36" t="n"/>
      <c r="M278" s="36" t="n"/>
      <c r="N278" s="33">
        <f>IF(M278="","",M278*LotSize)</f>
        <v/>
      </c>
      <c r="O278" s="51" t="n"/>
      <c r="P278" s="32" t="n"/>
      <c r="Q278" s="29" t="n"/>
      <c r="R278" s="30">
        <f>IF(OR(G278="",Q278="",H278=""),"",IF(H278="CE",G278-Q278,Q278-G278))</f>
        <v/>
      </c>
      <c r="S278" s="31">
        <f>IF(R278="","",R278/Q278)</f>
        <v/>
      </c>
      <c r="T278" s="38" t="n"/>
      <c r="U278" s="32" t="n"/>
      <c r="V278" s="52" t="n"/>
      <c r="W278" s="37" t="n"/>
      <c r="X278" s="32" t="n"/>
      <c r="Y278" s="32" t="n"/>
      <c r="Z278" s="39">
        <f>IF(OR(X278="",P278="",N278=""),"",ABS(X278-P278)*N278)</f>
        <v/>
      </c>
      <c r="AA278" s="53">
        <f>IF(OR(Z278="",Y278=""),"",IF(Z278=0,"",ABS(P278-Y278)*N278/Z278))</f>
        <v/>
      </c>
      <c r="AB278" s="54">
        <f>IF(Z278="","",Z278/Capital)</f>
        <v/>
      </c>
      <c r="AC278" s="5">
        <f>IF(B278="","",IF(X278="","NO SL",IF(OR(N(M278)&gt;MaxLots,N(AB278)&gt;RiskPct),"OVERSIZED","OK")))</f>
        <v/>
      </c>
      <c r="AD278" s="51" t="n"/>
      <c r="AE278" s="32" t="n"/>
      <c r="AF278" s="37" t="n"/>
      <c r="AG278" s="32" t="n"/>
      <c r="AH278" s="32" t="n"/>
      <c r="AI278" s="39">
        <f>IF(OR(AG278="",P278="",N278=""),"",ABS(AG278-P278)*N278)</f>
        <v/>
      </c>
      <c r="AJ278" s="39">
        <f>IF(OR(AH278="",P278="",N278=""),"",ABS(P278-AH278)*N278)</f>
        <v/>
      </c>
      <c r="AK278" s="39">
        <f>IF(OR(AE278="",P278="",N278=""),"",IF(I278="Buy",AE278-P278,P278-AE278)*N278)</f>
        <v/>
      </c>
      <c r="AL278" s="39">
        <f>IF(OR(AJ278="",AK278=""),"",MAX(0,AJ278-AK278))</f>
        <v/>
      </c>
      <c r="AM278" s="39">
        <f>IF(AK278="","",(P278+AE278)*N278)</f>
        <v/>
      </c>
      <c r="AN278" s="55">
        <f>IF(AK278="","",BrokeragePerOrder*2*MAX(1,N(L278)))</f>
        <v/>
      </c>
      <c r="AO278" s="55">
        <f>IF(AK278="","",STTRate*IF(I278="Buy",AE278,P278)*N278)</f>
        <v/>
      </c>
      <c r="AP278" s="55">
        <f>IF(AK278="","",ExchRate*AM278)</f>
        <v/>
      </c>
      <c r="AQ278" s="55">
        <f>IF(AK278="","",SEBIRate*AM278)</f>
        <v/>
      </c>
      <c r="AR278" s="55">
        <f>IF(AK278="","",StampRate*IF(I278="Buy",P278,AE278)*N278)</f>
        <v/>
      </c>
      <c r="AS278" s="55">
        <f>IF(AK278="","",GSTRate*(AN278+AP278+AQ278))</f>
        <v/>
      </c>
      <c r="AT278" s="55">
        <f>IF(AK278="","",AN278+AO278+AP278+AQ278+AR278+AS278)</f>
        <v/>
      </c>
      <c r="AU278" s="39">
        <f>IF(AK278="","",AK278-AT278)</f>
        <v/>
      </c>
      <c r="AV278" s="56">
        <f>IF(AU278="","",AU278/IF(N(Z278)&gt;0,Z278,RiskPerTrade))</f>
        <v/>
      </c>
      <c r="AW278" s="31">
        <f>IF(AU278="","",AU278/Capital)</f>
        <v/>
      </c>
      <c r="AX278" s="37" t="n"/>
      <c r="AY278" s="37" t="n"/>
      <c r="AZ278" s="37" t="n"/>
      <c r="BA278" s="37" t="n"/>
      <c r="BB278" s="37" t="n"/>
      <c r="BC278" s="37" t="n"/>
      <c r="BD278" s="37" t="n"/>
      <c r="BE278" s="5">
        <f>IF(AU278="","",IF(AU278&gt;0,"Win",IF(AU278&lt;0,"Loss","BE")))</f>
        <v/>
      </c>
      <c r="BF278" s="5">
        <f>IF(O278="","",LOOKUP(O278,List_BucketStart,List_BucketLabel))</f>
        <v/>
      </c>
      <c r="BG278" s="57">
        <f>IF(B278="","",B278-WEEKDAY(B278,3))</f>
        <v/>
      </c>
      <c r="BH278" s="28">
        <f>IF(B278="","",COUNTIF($B$6:B278,B278))</f>
        <v/>
      </c>
      <c r="BI278" s="39">
        <f>IF(B278="","",SUMIFS($AU$6:AU278,$B$6:B278,B278)-N(AU278))</f>
        <v/>
      </c>
      <c r="BJ278" s="5">
        <f>IF(OR(B278="",E278=""),"",IF(AND(E278=0,I278="Sell",MAX(N(O278),N(AD278))&gt;ExpiryCutoff),"BREACH","OK"))</f>
        <v/>
      </c>
      <c r="BK278" s="5">
        <f>IF(B278="","",IF(OR(AC278&lt;&gt;"OK",BJ278="BREACH",BH278&gt;MaxTradesDay,BI278&lt;=-DailyLossLimit,OR(AF278="Panic",AF278="Revenge",AF278="Rule break")),"CHECK","OK"))</f>
        <v/>
      </c>
      <c r="BL278" s="39">
        <f>IF(AU278="","",SUM($AU$6:AU278))</f>
        <v/>
      </c>
      <c r="BM278" s="39">
        <f>IF(BL278="","",Capital+BL278)</f>
        <v/>
      </c>
      <c r="BN278" s="39">
        <f>IF(BM278="","",MAX(Capital,MAX($BM$6:BM278)))</f>
        <v/>
      </c>
      <c r="BO278" s="39">
        <f>IF(BM278="","",BN278-BM278)</f>
        <v/>
      </c>
      <c r="BP278" s="58">
        <f>IF(BO278="","",BO278/BN278)</f>
        <v/>
      </c>
      <c r="BQ278" s="28">
        <f>IF(AU278="","",IF(AU278&lt;0,N(BQ277)+1,0))</f>
        <v/>
      </c>
    </row>
    <row r="279">
      <c r="A279" s="28">
        <f>IF(B279="","",COUNT($B$6:B279))</f>
        <v/>
      </c>
      <c r="B279" s="27" t="n"/>
      <c r="C279" s="5">
        <f>IF(B279="","",TEXT(B279,"ddd"))</f>
        <v/>
      </c>
      <c r="D279" s="27" t="n"/>
      <c r="E279" s="28">
        <f>IF(OR(B279="",D279=""),"",MAX(0,NETWORKDAYS(B279,D279)-1))</f>
        <v/>
      </c>
      <c r="F279" s="37" t="n"/>
      <c r="G279" s="36" t="n"/>
      <c r="H279" s="37" t="n"/>
      <c r="I279" s="37" t="n"/>
      <c r="J279" s="37" t="n"/>
      <c r="K279" s="37" t="n"/>
      <c r="L279" s="36" t="n"/>
      <c r="M279" s="36" t="n"/>
      <c r="N279" s="33">
        <f>IF(M279="","",M279*LotSize)</f>
        <v/>
      </c>
      <c r="O279" s="51" t="n"/>
      <c r="P279" s="32" t="n"/>
      <c r="Q279" s="29" t="n"/>
      <c r="R279" s="30">
        <f>IF(OR(G279="",Q279="",H279=""),"",IF(H279="CE",G279-Q279,Q279-G279))</f>
        <v/>
      </c>
      <c r="S279" s="31">
        <f>IF(R279="","",R279/Q279)</f>
        <v/>
      </c>
      <c r="T279" s="38" t="n"/>
      <c r="U279" s="32" t="n"/>
      <c r="V279" s="52" t="n"/>
      <c r="W279" s="37" t="n"/>
      <c r="X279" s="32" t="n"/>
      <c r="Y279" s="32" t="n"/>
      <c r="Z279" s="39">
        <f>IF(OR(X279="",P279="",N279=""),"",ABS(X279-P279)*N279)</f>
        <v/>
      </c>
      <c r="AA279" s="53">
        <f>IF(OR(Z279="",Y279=""),"",IF(Z279=0,"",ABS(P279-Y279)*N279/Z279))</f>
        <v/>
      </c>
      <c r="AB279" s="54">
        <f>IF(Z279="","",Z279/Capital)</f>
        <v/>
      </c>
      <c r="AC279" s="5">
        <f>IF(B279="","",IF(X279="","NO SL",IF(OR(N(M279)&gt;MaxLots,N(AB279)&gt;RiskPct),"OVERSIZED","OK")))</f>
        <v/>
      </c>
      <c r="AD279" s="51" t="n"/>
      <c r="AE279" s="32" t="n"/>
      <c r="AF279" s="37" t="n"/>
      <c r="AG279" s="32" t="n"/>
      <c r="AH279" s="32" t="n"/>
      <c r="AI279" s="39">
        <f>IF(OR(AG279="",P279="",N279=""),"",ABS(AG279-P279)*N279)</f>
        <v/>
      </c>
      <c r="AJ279" s="39">
        <f>IF(OR(AH279="",P279="",N279=""),"",ABS(P279-AH279)*N279)</f>
        <v/>
      </c>
      <c r="AK279" s="39">
        <f>IF(OR(AE279="",P279="",N279=""),"",IF(I279="Buy",AE279-P279,P279-AE279)*N279)</f>
        <v/>
      </c>
      <c r="AL279" s="39">
        <f>IF(OR(AJ279="",AK279=""),"",MAX(0,AJ279-AK279))</f>
        <v/>
      </c>
      <c r="AM279" s="39">
        <f>IF(AK279="","",(P279+AE279)*N279)</f>
        <v/>
      </c>
      <c r="AN279" s="55">
        <f>IF(AK279="","",BrokeragePerOrder*2*MAX(1,N(L279)))</f>
        <v/>
      </c>
      <c r="AO279" s="55">
        <f>IF(AK279="","",STTRate*IF(I279="Buy",AE279,P279)*N279)</f>
        <v/>
      </c>
      <c r="AP279" s="55">
        <f>IF(AK279="","",ExchRate*AM279)</f>
        <v/>
      </c>
      <c r="AQ279" s="55">
        <f>IF(AK279="","",SEBIRate*AM279)</f>
        <v/>
      </c>
      <c r="AR279" s="55">
        <f>IF(AK279="","",StampRate*IF(I279="Buy",P279,AE279)*N279)</f>
        <v/>
      </c>
      <c r="AS279" s="55">
        <f>IF(AK279="","",GSTRate*(AN279+AP279+AQ279))</f>
        <v/>
      </c>
      <c r="AT279" s="55">
        <f>IF(AK279="","",AN279+AO279+AP279+AQ279+AR279+AS279)</f>
        <v/>
      </c>
      <c r="AU279" s="39">
        <f>IF(AK279="","",AK279-AT279)</f>
        <v/>
      </c>
      <c r="AV279" s="56">
        <f>IF(AU279="","",AU279/IF(N(Z279)&gt;0,Z279,RiskPerTrade))</f>
        <v/>
      </c>
      <c r="AW279" s="31">
        <f>IF(AU279="","",AU279/Capital)</f>
        <v/>
      </c>
      <c r="AX279" s="37" t="n"/>
      <c r="AY279" s="37" t="n"/>
      <c r="AZ279" s="37" t="n"/>
      <c r="BA279" s="37" t="n"/>
      <c r="BB279" s="37" t="n"/>
      <c r="BC279" s="37" t="n"/>
      <c r="BD279" s="37" t="n"/>
      <c r="BE279" s="5">
        <f>IF(AU279="","",IF(AU279&gt;0,"Win",IF(AU279&lt;0,"Loss","BE")))</f>
        <v/>
      </c>
      <c r="BF279" s="5">
        <f>IF(O279="","",LOOKUP(O279,List_BucketStart,List_BucketLabel))</f>
        <v/>
      </c>
      <c r="BG279" s="57">
        <f>IF(B279="","",B279-WEEKDAY(B279,3))</f>
        <v/>
      </c>
      <c r="BH279" s="28">
        <f>IF(B279="","",COUNTIF($B$6:B279,B279))</f>
        <v/>
      </c>
      <c r="BI279" s="39">
        <f>IF(B279="","",SUMIFS($AU$6:AU279,$B$6:B279,B279)-N(AU279))</f>
        <v/>
      </c>
      <c r="BJ279" s="5">
        <f>IF(OR(B279="",E279=""),"",IF(AND(E279=0,I279="Sell",MAX(N(O279),N(AD279))&gt;ExpiryCutoff),"BREACH","OK"))</f>
        <v/>
      </c>
      <c r="BK279" s="5">
        <f>IF(B279="","",IF(OR(AC279&lt;&gt;"OK",BJ279="BREACH",BH279&gt;MaxTradesDay,BI279&lt;=-DailyLossLimit,OR(AF279="Panic",AF279="Revenge",AF279="Rule break")),"CHECK","OK"))</f>
        <v/>
      </c>
      <c r="BL279" s="39">
        <f>IF(AU279="","",SUM($AU$6:AU279))</f>
        <v/>
      </c>
      <c r="BM279" s="39">
        <f>IF(BL279="","",Capital+BL279)</f>
        <v/>
      </c>
      <c r="BN279" s="39">
        <f>IF(BM279="","",MAX(Capital,MAX($BM$6:BM279)))</f>
        <v/>
      </c>
      <c r="BO279" s="39">
        <f>IF(BM279="","",BN279-BM279)</f>
        <v/>
      </c>
      <c r="BP279" s="58">
        <f>IF(BO279="","",BO279/BN279)</f>
        <v/>
      </c>
      <c r="BQ279" s="28">
        <f>IF(AU279="","",IF(AU279&lt;0,N(BQ278)+1,0))</f>
        <v/>
      </c>
    </row>
    <row r="280">
      <c r="A280" s="28">
        <f>IF(B280="","",COUNT($B$6:B280))</f>
        <v/>
      </c>
      <c r="B280" s="27" t="n"/>
      <c r="C280" s="5">
        <f>IF(B280="","",TEXT(B280,"ddd"))</f>
        <v/>
      </c>
      <c r="D280" s="27" t="n"/>
      <c r="E280" s="28">
        <f>IF(OR(B280="",D280=""),"",MAX(0,NETWORKDAYS(B280,D280)-1))</f>
        <v/>
      </c>
      <c r="F280" s="37" t="n"/>
      <c r="G280" s="36" t="n"/>
      <c r="H280" s="37" t="n"/>
      <c r="I280" s="37" t="n"/>
      <c r="J280" s="37" t="n"/>
      <c r="K280" s="37" t="n"/>
      <c r="L280" s="36" t="n"/>
      <c r="M280" s="36" t="n"/>
      <c r="N280" s="33">
        <f>IF(M280="","",M280*LotSize)</f>
        <v/>
      </c>
      <c r="O280" s="51" t="n"/>
      <c r="P280" s="32" t="n"/>
      <c r="Q280" s="29" t="n"/>
      <c r="R280" s="30">
        <f>IF(OR(G280="",Q280="",H280=""),"",IF(H280="CE",G280-Q280,Q280-G280))</f>
        <v/>
      </c>
      <c r="S280" s="31">
        <f>IF(R280="","",R280/Q280)</f>
        <v/>
      </c>
      <c r="T280" s="38" t="n"/>
      <c r="U280" s="32" t="n"/>
      <c r="V280" s="52" t="n"/>
      <c r="W280" s="37" t="n"/>
      <c r="X280" s="32" t="n"/>
      <c r="Y280" s="32" t="n"/>
      <c r="Z280" s="39">
        <f>IF(OR(X280="",P280="",N280=""),"",ABS(X280-P280)*N280)</f>
        <v/>
      </c>
      <c r="AA280" s="53">
        <f>IF(OR(Z280="",Y280=""),"",IF(Z280=0,"",ABS(P280-Y280)*N280/Z280))</f>
        <v/>
      </c>
      <c r="AB280" s="54">
        <f>IF(Z280="","",Z280/Capital)</f>
        <v/>
      </c>
      <c r="AC280" s="5">
        <f>IF(B280="","",IF(X280="","NO SL",IF(OR(N(M280)&gt;MaxLots,N(AB280)&gt;RiskPct),"OVERSIZED","OK")))</f>
        <v/>
      </c>
      <c r="AD280" s="51" t="n"/>
      <c r="AE280" s="32" t="n"/>
      <c r="AF280" s="37" t="n"/>
      <c r="AG280" s="32" t="n"/>
      <c r="AH280" s="32" t="n"/>
      <c r="AI280" s="39">
        <f>IF(OR(AG280="",P280="",N280=""),"",ABS(AG280-P280)*N280)</f>
        <v/>
      </c>
      <c r="AJ280" s="39">
        <f>IF(OR(AH280="",P280="",N280=""),"",ABS(P280-AH280)*N280)</f>
        <v/>
      </c>
      <c r="AK280" s="39">
        <f>IF(OR(AE280="",P280="",N280=""),"",IF(I280="Buy",AE280-P280,P280-AE280)*N280)</f>
        <v/>
      </c>
      <c r="AL280" s="39">
        <f>IF(OR(AJ280="",AK280=""),"",MAX(0,AJ280-AK280))</f>
        <v/>
      </c>
      <c r="AM280" s="39">
        <f>IF(AK280="","",(P280+AE280)*N280)</f>
        <v/>
      </c>
      <c r="AN280" s="55">
        <f>IF(AK280="","",BrokeragePerOrder*2*MAX(1,N(L280)))</f>
        <v/>
      </c>
      <c r="AO280" s="55">
        <f>IF(AK280="","",STTRate*IF(I280="Buy",AE280,P280)*N280)</f>
        <v/>
      </c>
      <c r="AP280" s="55">
        <f>IF(AK280="","",ExchRate*AM280)</f>
        <v/>
      </c>
      <c r="AQ280" s="55">
        <f>IF(AK280="","",SEBIRate*AM280)</f>
        <v/>
      </c>
      <c r="AR280" s="55">
        <f>IF(AK280="","",StampRate*IF(I280="Buy",P280,AE280)*N280)</f>
        <v/>
      </c>
      <c r="AS280" s="55">
        <f>IF(AK280="","",GSTRate*(AN280+AP280+AQ280))</f>
        <v/>
      </c>
      <c r="AT280" s="55">
        <f>IF(AK280="","",AN280+AO280+AP280+AQ280+AR280+AS280)</f>
        <v/>
      </c>
      <c r="AU280" s="39">
        <f>IF(AK280="","",AK280-AT280)</f>
        <v/>
      </c>
      <c r="AV280" s="56">
        <f>IF(AU280="","",AU280/IF(N(Z280)&gt;0,Z280,RiskPerTrade))</f>
        <v/>
      </c>
      <c r="AW280" s="31">
        <f>IF(AU280="","",AU280/Capital)</f>
        <v/>
      </c>
      <c r="AX280" s="37" t="n"/>
      <c r="AY280" s="37" t="n"/>
      <c r="AZ280" s="37" t="n"/>
      <c r="BA280" s="37" t="n"/>
      <c r="BB280" s="37" t="n"/>
      <c r="BC280" s="37" t="n"/>
      <c r="BD280" s="37" t="n"/>
      <c r="BE280" s="5">
        <f>IF(AU280="","",IF(AU280&gt;0,"Win",IF(AU280&lt;0,"Loss","BE")))</f>
        <v/>
      </c>
      <c r="BF280" s="5">
        <f>IF(O280="","",LOOKUP(O280,List_BucketStart,List_BucketLabel))</f>
        <v/>
      </c>
      <c r="BG280" s="57">
        <f>IF(B280="","",B280-WEEKDAY(B280,3))</f>
        <v/>
      </c>
      <c r="BH280" s="28">
        <f>IF(B280="","",COUNTIF($B$6:B280,B280))</f>
        <v/>
      </c>
      <c r="BI280" s="39">
        <f>IF(B280="","",SUMIFS($AU$6:AU280,$B$6:B280,B280)-N(AU280))</f>
        <v/>
      </c>
      <c r="BJ280" s="5">
        <f>IF(OR(B280="",E280=""),"",IF(AND(E280=0,I280="Sell",MAX(N(O280),N(AD280))&gt;ExpiryCutoff),"BREACH","OK"))</f>
        <v/>
      </c>
      <c r="BK280" s="5">
        <f>IF(B280="","",IF(OR(AC280&lt;&gt;"OK",BJ280="BREACH",BH280&gt;MaxTradesDay,BI280&lt;=-DailyLossLimit,OR(AF280="Panic",AF280="Revenge",AF280="Rule break")),"CHECK","OK"))</f>
        <v/>
      </c>
      <c r="BL280" s="39">
        <f>IF(AU280="","",SUM($AU$6:AU280))</f>
        <v/>
      </c>
      <c r="BM280" s="39">
        <f>IF(BL280="","",Capital+BL280)</f>
        <v/>
      </c>
      <c r="BN280" s="39">
        <f>IF(BM280="","",MAX(Capital,MAX($BM$6:BM280)))</f>
        <v/>
      </c>
      <c r="BO280" s="39">
        <f>IF(BM280="","",BN280-BM280)</f>
        <v/>
      </c>
      <c r="BP280" s="58">
        <f>IF(BO280="","",BO280/BN280)</f>
        <v/>
      </c>
      <c r="BQ280" s="28">
        <f>IF(AU280="","",IF(AU280&lt;0,N(BQ279)+1,0))</f>
        <v/>
      </c>
    </row>
    <row r="281">
      <c r="A281" s="28">
        <f>IF(B281="","",COUNT($B$6:B281))</f>
        <v/>
      </c>
      <c r="B281" s="27" t="n"/>
      <c r="C281" s="5">
        <f>IF(B281="","",TEXT(B281,"ddd"))</f>
        <v/>
      </c>
      <c r="D281" s="27" t="n"/>
      <c r="E281" s="28">
        <f>IF(OR(B281="",D281=""),"",MAX(0,NETWORKDAYS(B281,D281)-1))</f>
        <v/>
      </c>
      <c r="F281" s="37" t="n"/>
      <c r="G281" s="36" t="n"/>
      <c r="H281" s="37" t="n"/>
      <c r="I281" s="37" t="n"/>
      <c r="J281" s="37" t="n"/>
      <c r="K281" s="37" t="n"/>
      <c r="L281" s="36" t="n"/>
      <c r="M281" s="36" t="n"/>
      <c r="N281" s="33">
        <f>IF(M281="","",M281*LotSize)</f>
        <v/>
      </c>
      <c r="O281" s="51" t="n"/>
      <c r="P281" s="32" t="n"/>
      <c r="Q281" s="29" t="n"/>
      <c r="R281" s="30">
        <f>IF(OR(G281="",Q281="",H281=""),"",IF(H281="CE",G281-Q281,Q281-G281))</f>
        <v/>
      </c>
      <c r="S281" s="31">
        <f>IF(R281="","",R281/Q281)</f>
        <v/>
      </c>
      <c r="T281" s="38" t="n"/>
      <c r="U281" s="32" t="n"/>
      <c r="V281" s="52" t="n"/>
      <c r="W281" s="37" t="n"/>
      <c r="X281" s="32" t="n"/>
      <c r="Y281" s="32" t="n"/>
      <c r="Z281" s="39">
        <f>IF(OR(X281="",P281="",N281=""),"",ABS(X281-P281)*N281)</f>
        <v/>
      </c>
      <c r="AA281" s="53">
        <f>IF(OR(Z281="",Y281=""),"",IF(Z281=0,"",ABS(P281-Y281)*N281/Z281))</f>
        <v/>
      </c>
      <c r="AB281" s="54">
        <f>IF(Z281="","",Z281/Capital)</f>
        <v/>
      </c>
      <c r="AC281" s="5">
        <f>IF(B281="","",IF(X281="","NO SL",IF(OR(N(M281)&gt;MaxLots,N(AB281)&gt;RiskPct),"OVERSIZED","OK")))</f>
        <v/>
      </c>
      <c r="AD281" s="51" t="n"/>
      <c r="AE281" s="32" t="n"/>
      <c r="AF281" s="37" t="n"/>
      <c r="AG281" s="32" t="n"/>
      <c r="AH281" s="32" t="n"/>
      <c r="AI281" s="39">
        <f>IF(OR(AG281="",P281="",N281=""),"",ABS(AG281-P281)*N281)</f>
        <v/>
      </c>
      <c r="AJ281" s="39">
        <f>IF(OR(AH281="",P281="",N281=""),"",ABS(P281-AH281)*N281)</f>
        <v/>
      </c>
      <c r="AK281" s="39">
        <f>IF(OR(AE281="",P281="",N281=""),"",IF(I281="Buy",AE281-P281,P281-AE281)*N281)</f>
        <v/>
      </c>
      <c r="AL281" s="39">
        <f>IF(OR(AJ281="",AK281=""),"",MAX(0,AJ281-AK281))</f>
        <v/>
      </c>
      <c r="AM281" s="39">
        <f>IF(AK281="","",(P281+AE281)*N281)</f>
        <v/>
      </c>
      <c r="AN281" s="55">
        <f>IF(AK281="","",BrokeragePerOrder*2*MAX(1,N(L281)))</f>
        <v/>
      </c>
      <c r="AO281" s="55">
        <f>IF(AK281="","",STTRate*IF(I281="Buy",AE281,P281)*N281)</f>
        <v/>
      </c>
      <c r="AP281" s="55">
        <f>IF(AK281="","",ExchRate*AM281)</f>
        <v/>
      </c>
      <c r="AQ281" s="55">
        <f>IF(AK281="","",SEBIRate*AM281)</f>
        <v/>
      </c>
      <c r="AR281" s="55">
        <f>IF(AK281="","",StampRate*IF(I281="Buy",P281,AE281)*N281)</f>
        <v/>
      </c>
      <c r="AS281" s="55">
        <f>IF(AK281="","",GSTRate*(AN281+AP281+AQ281))</f>
        <v/>
      </c>
      <c r="AT281" s="55">
        <f>IF(AK281="","",AN281+AO281+AP281+AQ281+AR281+AS281)</f>
        <v/>
      </c>
      <c r="AU281" s="39">
        <f>IF(AK281="","",AK281-AT281)</f>
        <v/>
      </c>
      <c r="AV281" s="56">
        <f>IF(AU281="","",AU281/IF(N(Z281)&gt;0,Z281,RiskPerTrade))</f>
        <v/>
      </c>
      <c r="AW281" s="31">
        <f>IF(AU281="","",AU281/Capital)</f>
        <v/>
      </c>
      <c r="AX281" s="37" t="n"/>
      <c r="AY281" s="37" t="n"/>
      <c r="AZ281" s="37" t="n"/>
      <c r="BA281" s="37" t="n"/>
      <c r="BB281" s="37" t="n"/>
      <c r="BC281" s="37" t="n"/>
      <c r="BD281" s="37" t="n"/>
      <c r="BE281" s="5">
        <f>IF(AU281="","",IF(AU281&gt;0,"Win",IF(AU281&lt;0,"Loss","BE")))</f>
        <v/>
      </c>
      <c r="BF281" s="5">
        <f>IF(O281="","",LOOKUP(O281,List_BucketStart,List_BucketLabel))</f>
        <v/>
      </c>
      <c r="BG281" s="57">
        <f>IF(B281="","",B281-WEEKDAY(B281,3))</f>
        <v/>
      </c>
      <c r="BH281" s="28">
        <f>IF(B281="","",COUNTIF($B$6:B281,B281))</f>
        <v/>
      </c>
      <c r="BI281" s="39">
        <f>IF(B281="","",SUMIFS($AU$6:AU281,$B$6:B281,B281)-N(AU281))</f>
        <v/>
      </c>
      <c r="BJ281" s="5">
        <f>IF(OR(B281="",E281=""),"",IF(AND(E281=0,I281="Sell",MAX(N(O281),N(AD281))&gt;ExpiryCutoff),"BREACH","OK"))</f>
        <v/>
      </c>
      <c r="BK281" s="5">
        <f>IF(B281="","",IF(OR(AC281&lt;&gt;"OK",BJ281="BREACH",BH281&gt;MaxTradesDay,BI281&lt;=-DailyLossLimit,OR(AF281="Panic",AF281="Revenge",AF281="Rule break")),"CHECK","OK"))</f>
        <v/>
      </c>
      <c r="BL281" s="39">
        <f>IF(AU281="","",SUM($AU$6:AU281))</f>
        <v/>
      </c>
      <c r="BM281" s="39">
        <f>IF(BL281="","",Capital+BL281)</f>
        <v/>
      </c>
      <c r="BN281" s="39">
        <f>IF(BM281="","",MAX(Capital,MAX($BM$6:BM281)))</f>
        <v/>
      </c>
      <c r="BO281" s="39">
        <f>IF(BM281="","",BN281-BM281)</f>
        <v/>
      </c>
      <c r="BP281" s="58">
        <f>IF(BO281="","",BO281/BN281)</f>
        <v/>
      </c>
      <c r="BQ281" s="28">
        <f>IF(AU281="","",IF(AU281&lt;0,N(BQ280)+1,0))</f>
        <v/>
      </c>
    </row>
    <row r="282">
      <c r="A282" s="28">
        <f>IF(B282="","",COUNT($B$6:B282))</f>
        <v/>
      </c>
      <c r="B282" s="27" t="n"/>
      <c r="C282" s="5">
        <f>IF(B282="","",TEXT(B282,"ddd"))</f>
        <v/>
      </c>
      <c r="D282" s="27" t="n"/>
      <c r="E282" s="28">
        <f>IF(OR(B282="",D282=""),"",MAX(0,NETWORKDAYS(B282,D282)-1))</f>
        <v/>
      </c>
      <c r="F282" s="37" t="n"/>
      <c r="G282" s="36" t="n"/>
      <c r="H282" s="37" t="n"/>
      <c r="I282" s="37" t="n"/>
      <c r="J282" s="37" t="n"/>
      <c r="K282" s="37" t="n"/>
      <c r="L282" s="36" t="n"/>
      <c r="M282" s="36" t="n"/>
      <c r="N282" s="33">
        <f>IF(M282="","",M282*LotSize)</f>
        <v/>
      </c>
      <c r="O282" s="51" t="n"/>
      <c r="P282" s="32" t="n"/>
      <c r="Q282" s="29" t="n"/>
      <c r="R282" s="30">
        <f>IF(OR(G282="",Q282="",H282=""),"",IF(H282="CE",G282-Q282,Q282-G282))</f>
        <v/>
      </c>
      <c r="S282" s="31">
        <f>IF(R282="","",R282/Q282)</f>
        <v/>
      </c>
      <c r="T282" s="38" t="n"/>
      <c r="U282" s="32" t="n"/>
      <c r="V282" s="52" t="n"/>
      <c r="W282" s="37" t="n"/>
      <c r="X282" s="32" t="n"/>
      <c r="Y282" s="32" t="n"/>
      <c r="Z282" s="39">
        <f>IF(OR(X282="",P282="",N282=""),"",ABS(X282-P282)*N282)</f>
        <v/>
      </c>
      <c r="AA282" s="53">
        <f>IF(OR(Z282="",Y282=""),"",IF(Z282=0,"",ABS(P282-Y282)*N282/Z282))</f>
        <v/>
      </c>
      <c r="AB282" s="54">
        <f>IF(Z282="","",Z282/Capital)</f>
        <v/>
      </c>
      <c r="AC282" s="5">
        <f>IF(B282="","",IF(X282="","NO SL",IF(OR(N(M282)&gt;MaxLots,N(AB282)&gt;RiskPct),"OVERSIZED","OK")))</f>
        <v/>
      </c>
      <c r="AD282" s="51" t="n"/>
      <c r="AE282" s="32" t="n"/>
      <c r="AF282" s="37" t="n"/>
      <c r="AG282" s="32" t="n"/>
      <c r="AH282" s="32" t="n"/>
      <c r="AI282" s="39">
        <f>IF(OR(AG282="",P282="",N282=""),"",ABS(AG282-P282)*N282)</f>
        <v/>
      </c>
      <c r="AJ282" s="39">
        <f>IF(OR(AH282="",P282="",N282=""),"",ABS(P282-AH282)*N282)</f>
        <v/>
      </c>
      <c r="AK282" s="39">
        <f>IF(OR(AE282="",P282="",N282=""),"",IF(I282="Buy",AE282-P282,P282-AE282)*N282)</f>
        <v/>
      </c>
      <c r="AL282" s="39">
        <f>IF(OR(AJ282="",AK282=""),"",MAX(0,AJ282-AK282))</f>
        <v/>
      </c>
      <c r="AM282" s="39">
        <f>IF(AK282="","",(P282+AE282)*N282)</f>
        <v/>
      </c>
      <c r="AN282" s="55">
        <f>IF(AK282="","",BrokeragePerOrder*2*MAX(1,N(L282)))</f>
        <v/>
      </c>
      <c r="AO282" s="55">
        <f>IF(AK282="","",STTRate*IF(I282="Buy",AE282,P282)*N282)</f>
        <v/>
      </c>
      <c r="AP282" s="55">
        <f>IF(AK282="","",ExchRate*AM282)</f>
        <v/>
      </c>
      <c r="AQ282" s="55">
        <f>IF(AK282="","",SEBIRate*AM282)</f>
        <v/>
      </c>
      <c r="AR282" s="55">
        <f>IF(AK282="","",StampRate*IF(I282="Buy",P282,AE282)*N282)</f>
        <v/>
      </c>
      <c r="AS282" s="55">
        <f>IF(AK282="","",GSTRate*(AN282+AP282+AQ282))</f>
        <v/>
      </c>
      <c r="AT282" s="55">
        <f>IF(AK282="","",AN282+AO282+AP282+AQ282+AR282+AS282)</f>
        <v/>
      </c>
      <c r="AU282" s="39">
        <f>IF(AK282="","",AK282-AT282)</f>
        <v/>
      </c>
      <c r="AV282" s="56">
        <f>IF(AU282="","",AU282/IF(N(Z282)&gt;0,Z282,RiskPerTrade))</f>
        <v/>
      </c>
      <c r="AW282" s="31">
        <f>IF(AU282="","",AU282/Capital)</f>
        <v/>
      </c>
      <c r="AX282" s="37" t="n"/>
      <c r="AY282" s="37" t="n"/>
      <c r="AZ282" s="37" t="n"/>
      <c r="BA282" s="37" t="n"/>
      <c r="BB282" s="37" t="n"/>
      <c r="BC282" s="37" t="n"/>
      <c r="BD282" s="37" t="n"/>
      <c r="BE282" s="5">
        <f>IF(AU282="","",IF(AU282&gt;0,"Win",IF(AU282&lt;0,"Loss","BE")))</f>
        <v/>
      </c>
      <c r="BF282" s="5">
        <f>IF(O282="","",LOOKUP(O282,List_BucketStart,List_BucketLabel))</f>
        <v/>
      </c>
      <c r="BG282" s="57">
        <f>IF(B282="","",B282-WEEKDAY(B282,3))</f>
        <v/>
      </c>
      <c r="BH282" s="28">
        <f>IF(B282="","",COUNTIF($B$6:B282,B282))</f>
        <v/>
      </c>
      <c r="BI282" s="39">
        <f>IF(B282="","",SUMIFS($AU$6:AU282,$B$6:B282,B282)-N(AU282))</f>
        <v/>
      </c>
      <c r="BJ282" s="5">
        <f>IF(OR(B282="",E282=""),"",IF(AND(E282=0,I282="Sell",MAX(N(O282),N(AD282))&gt;ExpiryCutoff),"BREACH","OK"))</f>
        <v/>
      </c>
      <c r="BK282" s="5">
        <f>IF(B282="","",IF(OR(AC282&lt;&gt;"OK",BJ282="BREACH",BH282&gt;MaxTradesDay,BI282&lt;=-DailyLossLimit,OR(AF282="Panic",AF282="Revenge",AF282="Rule break")),"CHECK","OK"))</f>
        <v/>
      </c>
      <c r="BL282" s="39">
        <f>IF(AU282="","",SUM($AU$6:AU282))</f>
        <v/>
      </c>
      <c r="BM282" s="39">
        <f>IF(BL282="","",Capital+BL282)</f>
        <v/>
      </c>
      <c r="BN282" s="39">
        <f>IF(BM282="","",MAX(Capital,MAX($BM$6:BM282)))</f>
        <v/>
      </c>
      <c r="BO282" s="39">
        <f>IF(BM282="","",BN282-BM282)</f>
        <v/>
      </c>
      <c r="BP282" s="58">
        <f>IF(BO282="","",BO282/BN282)</f>
        <v/>
      </c>
      <c r="BQ282" s="28">
        <f>IF(AU282="","",IF(AU282&lt;0,N(BQ281)+1,0))</f>
        <v/>
      </c>
    </row>
    <row r="283">
      <c r="A283" s="28">
        <f>IF(B283="","",COUNT($B$6:B283))</f>
        <v/>
      </c>
      <c r="B283" s="27" t="n"/>
      <c r="C283" s="5">
        <f>IF(B283="","",TEXT(B283,"ddd"))</f>
        <v/>
      </c>
      <c r="D283" s="27" t="n"/>
      <c r="E283" s="28">
        <f>IF(OR(B283="",D283=""),"",MAX(0,NETWORKDAYS(B283,D283)-1))</f>
        <v/>
      </c>
      <c r="F283" s="37" t="n"/>
      <c r="G283" s="36" t="n"/>
      <c r="H283" s="37" t="n"/>
      <c r="I283" s="37" t="n"/>
      <c r="J283" s="37" t="n"/>
      <c r="K283" s="37" t="n"/>
      <c r="L283" s="36" t="n"/>
      <c r="M283" s="36" t="n"/>
      <c r="N283" s="33">
        <f>IF(M283="","",M283*LotSize)</f>
        <v/>
      </c>
      <c r="O283" s="51" t="n"/>
      <c r="P283" s="32" t="n"/>
      <c r="Q283" s="29" t="n"/>
      <c r="R283" s="30">
        <f>IF(OR(G283="",Q283="",H283=""),"",IF(H283="CE",G283-Q283,Q283-G283))</f>
        <v/>
      </c>
      <c r="S283" s="31">
        <f>IF(R283="","",R283/Q283)</f>
        <v/>
      </c>
      <c r="T283" s="38" t="n"/>
      <c r="U283" s="32" t="n"/>
      <c r="V283" s="52" t="n"/>
      <c r="W283" s="37" t="n"/>
      <c r="X283" s="32" t="n"/>
      <c r="Y283" s="32" t="n"/>
      <c r="Z283" s="39">
        <f>IF(OR(X283="",P283="",N283=""),"",ABS(X283-P283)*N283)</f>
        <v/>
      </c>
      <c r="AA283" s="53">
        <f>IF(OR(Z283="",Y283=""),"",IF(Z283=0,"",ABS(P283-Y283)*N283/Z283))</f>
        <v/>
      </c>
      <c r="AB283" s="54">
        <f>IF(Z283="","",Z283/Capital)</f>
        <v/>
      </c>
      <c r="AC283" s="5">
        <f>IF(B283="","",IF(X283="","NO SL",IF(OR(N(M283)&gt;MaxLots,N(AB283)&gt;RiskPct),"OVERSIZED","OK")))</f>
        <v/>
      </c>
      <c r="AD283" s="51" t="n"/>
      <c r="AE283" s="32" t="n"/>
      <c r="AF283" s="37" t="n"/>
      <c r="AG283" s="32" t="n"/>
      <c r="AH283" s="32" t="n"/>
      <c r="AI283" s="39">
        <f>IF(OR(AG283="",P283="",N283=""),"",ABS(AG283-P283)*N283)</f>
        <v/>
      </c>
      <c r="AJ283" s="39">
        <f>IF(OR(AH283="",P283="",N283=""),"",ABS(P283-AH283)*N283)</f>
        <v/>
      </c>
      <c r="AK283" s="39">
        <f>IF(OR(AE283="",P283="",N283=""),"",IF(I283="Buy",AE283-P283,P283-AE283)*N283)</f>
        <v/>
      </c>
      <c r="AL283" s="39">
        <f>IF(OR(AJ283="",AK283=""),"",MAX(0,AJ283-AK283))</f>
        <v/>
      </c>
      <c r="AM283" s="39">
        <f>IF(AK283="","",(P283+AE283)*N283)</f>
        <v/>
      </c>
      <c r="AN283" s="55">
        <f>IF(AK283="","",BrokeragePerOrder*2*MAX(1,N(L283)))</f>
        <v/>
      </c>
      <c r="AO283" s="55">
        <f>IF(AK283="","",STTRate*IF(I283="Buy",AE283,P283)*N283)</f>
        <v/>
      </c>
      <c r="AP283" s="55">
        <f>IF(AK283="","",ExchRate*AM283)</f>
        <v/>
      </c>
      <c r="AQ283" s="55">
        <f>IF(AK283="","",SEBIRate*AM283)</f>
        <v/>
      </c>
      <c r="AR283" s="55">
        <f>IF(AK283="","",StampRate*IF(I283="Buy",P283,AE283)*N283)</f>
        <v/>
      </c>
      <c r="AS283" s="55">
        <f>IF(AK283="","",GSTRate*(AN283+AP283+AQ283))</f>
        <v/>
      </c>
      <c r="AT283" s="55">
        <f>IF(AK283="","",AN283+AO283+AP283+AQ283+AR283+AS283)</f>
        <v/>
      </c>
      <c r="AU283" s="39">
        <f>IF(AK283="","",AK283-AT283)</f>
        <v/>
      </c>
      <c r="AV283" s="56">
        <f>IF(AU283="","",AU283/IF(N(Z283)&gt;0,Z283,RiskPerTrade))</f>
        <v/>
      </c>
      <c r="AW283" s="31">
        <f>IF(AU283="","",AU283/Capital)</f>
        <v/>
      </c>
      <c r="AX283" s="37" t="n"/>
      <c r="AY283" s="37" t="n"/>
      <c r="AZ283" s="37" t="n"/>
      <c r="BA283" s="37" t="n"/>
      <c r="BB283" s="37" t="n"/>
      <c r="BC283" s="37" t="n"/>
      <c r="BD283" s="37" t="n"/>
      <c r="BE283" s="5">
        <f>IF(AU283="","",IF(AU283&gt;0,"Win",IF(AU283&lt;0,"Loss","BE")))</f>
        <v/>
      </c>
      <c r="BF283" s="5">
        <f>IF(O283="","",LOOKUP(O283,List_BucketStart,List_BucketLabel))</f>
        <v/>
      </c>
      <c r="BG283" s="57">
        <f>IF(B283="","",B283-WEEKDAY(B283,3))</f>
        <v/>
      </c>
      <c r="BH283" s="28">
        <f>IF(B283="","",COUNTIF($B$6:B283,B283))</f>
        <v/>
      </c>
      <c r="BI283" s="39">
        <f>IF(B283="","",SUMIFS($AU$6:AU283,$B$6:B283,B283)-N(AU283))</f>
        <v/>
      </c>
      <c r="BJ283" s="5">
        <f>IF(OR(B283="",E283=""),"",IF(AND(E283=0,I283="Sell",MAX(N(O283),N(AD283))&gt;ExpiryCutoff),"BREACH","OK"))</f>
        <v/>
      </c>
      <c r="BK283" s="5">
        <f>IF(B283="","",IF(OR(AC283&lt;&gt;"OK",BJ283="BREACH",BH283&gt;MaxTradesDay,BI283&lt;=-DailyLossLimit,OR(AF283="Panic",AF283="Revenge",AF283="Rule break")),"CHECK","OK"))</f>
        <v/>
      </c>
      <c r="BL283" s="39">
        <f>IF(AU283="","",SUM($AU$6:AU283))</f>
        <v/>
      </c>
      <c r="BM283" s="39">
        <f>IF(BL283="","",Capital+BL283)</f>
        <v/>
      </c>
      <c r="BN283" s="39">
        <f>IF(BM283="","",MAX(Capital,MAX($BM$6:BM283)))</f>
        <v/>
      </c>
      <c r="BO283" s="39">
        <f>IF(BM283="","",BN283-BM283)</f>
        <v/>
      </c>
      <c r="BP283" s="58">
        <f>IF(BO283="","",BO283/BN283)</f>
        <v/>
      </c>
      <c r="BQ283" s="28">
        <f>IF(AU283="","",IF(AU283&lt;0,N(BQ282)+1,0))</f>
        <v/>
      </c>
    </row>
    <row r="284">
      <c r="A284" s="28">
        <f>IF(B284="","",COUNT($B$6:B284))</f>
        <v/>
      </c>
      <c r="B284" s="27" t="n"/>
      <c r="C284" s="5">
        <f>IF(B284="","",TEXT(B284,"ddd"))</f>
        <v/>
      </c>
      <c r="D284" s="27" t="n"/>
      <c r="E284" s="28">
        <f>IF(OR(B284="",D284=""),"",MAX(0,NETWORKDAYS(B284,D284)-1))</f>
        <v/>
      </c>
      <c r="F284" s="37" t="n"/>
      <c r="G284" s="36" t="n"/>
      <c r="H284" s="37" t="n"/>
      <c r="I284" s="37" t="n"/>
      <c r="J284" s="37" t="n"/>
      <c r="K284" s="37" t="n"/>
      <c r="L284" s="36" t="n"/>
      <c r="M284" s="36" t="n"/>
      <c r="N284" s="33">
        <f>IF(M284="","",M284*LotSize)</f>
        <v/>
      </c>
      <c r="O284" s="51" t="n"/>
      <c r="P284" s="32" t="n"/>
      <c r="Q284" s="29" t="n"/>
      <c r="R284" s="30">
        <f>IF(OR(G284="",Q284="",H284=""),"",IF(H284="CE",G284-Q284,Q284-G284))</f>
        <v/>
      </c>
      <c r="S284" s="31">
        <f>IF(R284="","",R284/Q284)</f>
        <v/>
      </c>
      <c r="T284" s="38" t="n"/>
      <c r="U284" s="32" t="n"/>
      <c r="V284" s="52" t="n"/>
      <c r="W284" s="37" t="n"/>
      <c r="X284" s="32" t="n"/>
      <c r="Y284" s="32" t="n"/>
      <c r="Z284" s="39">
        <f>IF(OR(X284="",P284="",N284=""),"",ABS(X284-P284)*N284)</f>
        <v/>
      </c>
      <c r="AA284" s="53">
        <f>IF(OR(Z284="",Y284=""),"",IF(Z284=0,"",ABS(P284-Y284)*N284/Z284))</f>
        <v/>
      </c>
      <c r="AB284" s="54">
        <f>IF(Z284="","",Z284/Capital)</f>
        <v/>
      </c>
      <c r="AC284" s="5">
        <f>IF(B284="","",IF(X284="","NO SL",IF(OR(N(M284)&gt;MaxLots,N(AB284)&gt;RiskPct),"OVERSIZED","OK")))</f>
        <v/>
      </c>
      <c r="AD284" s="51" t="n"/>
      <c r="AE284" s="32" t="n"/>
      <c r="AF284" s="37" t="n"/>
      <c r="AG284" s="32" t="n"/>
      <c r="AH284" s="32" t="n"/>
      <c r="AI284" s="39">
        <f>IF(OR(AG284="",P284="",N284=""),"",ABS(AG284-P284)*N284)</f>
        <v/>
      </c>
      <c r="AJ284" s="39">
        <f>IF(OR(AH284="",P284="",N284=""),"",ABS(P284-AH284)*N284)</f>
        <v/>
      </c>
      <c r="AK284" s="39">
        <f>IF(OR(AE284="",P284="",N284=""),"",IF(I284="Buy",AE284-P284,P284-AE284)*N284)</f>
        <v/>
      </c>
      <c r="AL284" s="39">
        <f>IF(OR(AJ284="",AK284=""),"",MAX(0,AJ284-AK284))</f>
        <v/>
      </c>
      <c r="AM284" s="39">
        <f>IF(AK284="","",(P284+AE284)*N284)</f>
        <v/>
      </c>
      <c r="AN284" s="55">
        <f>IF(AK284="","",BrokeragePerOrder*2*MAX(1,N(L284)))</f>
        <v/>
      </c>
      <c r="AO284" s="55">
        <f>IF(AK284="","",STTRate*IF(I284="Buy",AE284,P284)*N284)</f>
        <v/>
      </c>
      <c r="AP284" s="55">
        <f>IF(AK284="","",ExchRate*AM284)</f>
        <v/>
      </c>
      <c r="AQ284" s="55">
        <f>IF(AK284="","",SEBIRate*AM284)</f>
        <v/>
      </c>
      <c r="AR284" s="55">
        <f>IF(AK284="","",StampRate*IF(I284="Buy",P284,AE284)*N284)</f>
        <v/>
      </c>
      <c r="AS284" s="55">
        <f>IF(AK284="","",GSTRate*(AN284+AP284+AQ284))</f>
        <v/>
      </c>
      <c r="AT284" s="55">
        <f>IF(AK284="","",AN284+AO284+AP284+AQ284+AR284+AS284)</f>
        <v/>
      </c>
      <c r="AU284" s="39">
        <f>IF(AK284="","",AK284-AT284)</f>
        <v/>
      </c>
      <c r="AV284" s="56">
        <f>IF(AU284="","",AU284/IF(N(Z284)&gt;0,Z284,RiskPerTrade))</f>
        <v/>
      </c>
      <c r="AW284" s="31">
        <f>IF(AU284="","",AU284/Capital)</f>
        <v/>
      </c>
      <c r="AX284" s="37" t="n"/>
      <c r="AY284" s="37" t="n"/>
      <c r="AZ284" s="37" t="n"/>
      <c r="BA284" s="37" t="n"/>
      <c r="BB284" s="37" t="n"/>
      <c r="BC284" s="37" t="n"/>
      <c r="BD284" s="37" t="n"/>
      <c r="BE284" s="5">
        <f>IF(AU284="","",IF(AU284&gt;0,"Win",IF(AU284&lt;0,"Loss","BE")))</f>
        <v/>
      </c>
      <c r="BF284" s="5">
        <f>IF(O284="","",LOOKUP(O284,List_BucketStart,List_BucketLabel))</f>
        <v/>
      </c>
      <c r="BG284" s="57">
        <f>IF(B284="","",B284-WEEKDAY(B284,3))</f>
        <v/>
      </c>
      <c r="BH284" s="28">
        <f>IF(B284="","",COUNTIF($B$6:B284,B284))</f>
        <v/>
      </c>
      <c r="BI284" s="39">
        <f>IF(B284="","",SUMIFS($AU$6:AU284,$B$6:B284,B284)-N(AU284))</f>
        <v/>
      </c>
      <c r="BJ284" s="5">
        <f>IF(OR(B284="",E284=""),"",IF(AND(E284=0,I284="Sell",MAX(N(O284),N(AD284))&gt;ExpiryCutoff),"BREACH","OK"))</f>
        <v/>
      </c>
      <c r="BK284" s="5">
        <f>IF(B284="","",IF(OR(AC284&lt;&gt;"OK",BJ284="BREACH",BH284&gt;MaxTradesDay,BI284&lt;=-DailyLossLimit,OR(AF284="Panic",AF284="Revenge",AF284="Rule break")),"CHECK","OK"))</f>
        <v/>
      </c>
      <c r="BL284" s="39">
        <f>IF(AU284="","",SUM($AU$6:AU284))</f>
        <v/>
      </c>
      <c r="BM284" s="39">
        <f>IF(BL284="","",Capital+BL284)</f>
        <v/>
      </c>
      <c r="BN284" s="39">
        <f>IF(BM284="","",MAX(Capital,MAX($BM$6:BM284)))</f>
        <v/>
      </c>
      <c r="BO284" s="39">
        <f>IF(BM284="","",BN284-BM284)</f>
        <v/>
      </c>
      <c r="BP284" s="58">
        <f>IF(BO284="","",BO284/BN284)</f>
        <v/>
      </c>
      <c r="BQ284" s="28">
        <f>IF(AU284="","",IF(AU284&lt;0,N(BQ283)+1,0))</f>
        <v/>
      </c>
    </row>
    <row r="285">
      <c r="A285" s="28">
        <f>IF(B285="","",COUNT($B$6:B285))</f>
        <v/>
      </c>
      <c r="B285" s="27" t="n"/>
      <c r="C285" s="5">
        <f>IF(B285="","",TEXT(B285,"ddd"))</f>
        <v/>
      </c>
      <c r="D285" s="27" t="n"/>
      <c r="E285" s="28">
        <f>IF(OR(B285="",D285=""),"",MAX(0,NETWORKDAYS(B285,D285)-1))</f>
        <v/>
      </c>
      <c r="F285" s="37" t="n"/>
      <c r="G285" s="36" t="n"/>
      <c r="H285" s="37" t="n"/>
      <c r="I285" s="37" t="n"/>
      <c r="J285" s="37" t="n"/>
      <c r="K285" s="37" t="n"/>
      <c r="L285" s="36" t="n"/>
      <c r="M285" s="36" t="n"/>
      <c r="N285" s="33">
        <f>IF(M285="","",M285*LotSize)</f>
        <v/>
      </c>
      <c r="O285" s="51" t="n"/>
      <c r="P285" s="32" t="n"/>
      <c r="Q285" s="29" t="n"/>
      <c r="R285" s="30">
        <f>IF(OR(G285="",Q285="",H285=""),"",IF(H285="CE",G285-Q285,Q285-G285))</f>
        <v/>
      </c>
      <c r="S285" s="31">
        <f>IF(R285="","",R285/Q285)</f>
        <v/>
      </c>
      <c r="T285" s="38" t="n"/>
      <c r="U285" s="32" t="n"/>
      <c r="V285" s="52" t="n"/>
      <c r="W285" s="37" t="n"/>
      <c r="X285" s="32" t="n"/>
      <c r="Y285" s="32" t="n"/>
      <c r="Z285" s="39">
        <f>IF(OR(X285="",P285="",N285=""),"",ABS(X285-P285)*N285)</f>
        <v/>
      </c>
      <c r="AA285" s="53">
        <f>IF(OR(Z285="",Y285=""),"",IF(Z285=0,"",ABS(P285-Y285)*N285/Z285))</f>
        <v/>
      </c>
      <c r="AB285" s="54">
        <f>IF(Z285="","",Z285/Capital)</f>
        <v/>
      </c>
      <c r="AC285" s="5">
        <f>IF(B285="","",IF(X285="","NO SL",IF(OR(N(M285)&gt;MaxLots,N(AB285)&gt;RiskPct),"OVERSIZED","OK")))</f>
        <v/>
      </c>
      <c r="AD285" s="51" t="n"/>
      <c r="AE285" s="32" t="n"/>
      <c r="AF285" s="37" t="n"/>
      <c r="AG285" s="32" t="n"/>
      <c r="AH285" s="32" t="n"/>
      <c r="AI285" s="39">
        <f>IF(OR(AG285="",P285="",N285=""),"",ABS(AG285-P285)*N285)</f>
        <v/>
      </c>
      <c r="AJ285" s="39">
        <f>IF(OR(AH285="",P285="",N285=""),"",ABS(P285-AH285)*N285)</f>
        <v/>
      </c>
      <c r="AK285" s="39">
        <f>IF(OR(AE285="",P285="",N285=""),"",IF(I285="Buy",AE285-P285,P285-AE285)*N285)</f>
        <v/>
      </c>
      <c r="AL285" s="39">
        <f>IF(OR(AJ285="",AK285=""),"",MAX(0,AJ285-AK285))</f>
        <v/>
      </c>
      <c r="AM285" s="39">
        <f>IF(AK285="","",(P285+AE285)*N285)</f>
        <v/>
      </c>
      <c r="AN285" s="55">
        <f>IF(AK285="","",BrokeragePerOrder*2*MAX(1,N(L285)))</f>
        <v/>
      </c>
      <c r="AO285" s="55">
        <f>IF(AK285="","",STTRate*IF(I285="Buy",AE285,P285)*N285)</f>
        <v/>
      </c>
      <c r="AP285" s="55">
        <f>IF(AK285="","",ExchRate*AM285)</f>
        <v/>
      </c>
      <c r="AQ285" s="55">
        <f>IF(AK285="","",SEBIRate*AM285)</f>
        <v/>
      </c>
      <c r="AR285" s="55">
        <f>IF(AK285="","",StampRate*IF(I285="Buy",P285,AE285)*N285)</f>
        <v/>
      </c>
      <c r="AS285" s="55">
        <f>IF(AK285="","",GSTRate*(AN285+AP285+AQ285))</f>
        <v/>
      </c>
      <c r="AT285" s="55">
        <f>IF(AK285="","",AN285+AO285+AP285+AQ285+AR285+AS285)</f>
        <v/>
      </c>
      <c r="AU285" s="39">
        <f>IF(AK285="","",AK285-AT285)</f>
        <v/>
      </c>
      <c r="AV285" s="56">
        <f>IF(AU285="","",AU285/IF(N(Z285)&gt;0,Z285,RiskPerTrade))</f>
        <v/>
      </c>
      <c r="AW285" s="31">
        <f>IF(AU285="","",AU285/Capital)</f>
        <v/>
      </c>
      <c r="AX285" s="37" t="n"/>
      <c r="AY285" s="37" t="n"/>
      <c r="AZ285" s="37" t="n"/>
      <c r="BA285" s="37" t="n"/>
      <c r="BB285" s="37" t="n"/>
      <c r="BC285" s="37" t="n"/>
      <c r="BD285" s="37" t="n"/>
      <c r="BE285" s="5">
        <f>IF(AU285="","",IF(AU285&gt;0,"Win",IF(AU285&lt;0,"Loss","BE")))</f>
        <v/>
      </c>
      <c r="BF285" s="5">
        <f>IF(O285="","",LOOKUP(O285,List_BucketStart,List_BucketLabel))</f>
        <v/>
      </c>
      <c r="BG285" s="57">
        <f>IF(B285="","",B285-WEEKDAY(B285,3))</f>
        <v/>
      </c>
      <c r="BH285" s="28">
        <f>IF(B285="","",COUNTIF($B$6:B285,B285))</f>
        <v/>
      </c>
      <c r="BI285" s="39">
        <f>IF(B285="","",SUMIFS($AU$6:AU285,$B$6:B285,B285)-N(AU285))</f>
        <v/>
      </c>
      <c r="BJ285" s="5">
        <f>IF(OR(B285="",E285=""),"",IF(AND(E285=0,I285="Sell",MAX(N(O285),N(AD285))&gt;ExpiryCutoff),"BREACH","OK"))</f>
        <v/>
      </c>
      <c r="BK285" s="5">
        <f>IF(B285="","",IF(OR(AC285&lt;&gt;"OK",BJ285="BREACH",BH285&gt;MaxTradesDay,BI285&lt;=-DailyLossLimit,OR(AF285="Panic",AF285="Revenge",AF285="Rule break")),"CHECK","OK"))</f>
        <v/>
      </c>
      <c r="BL285" s="39">
        <f>IF(AU285="","",SUM($AU$6:AU285))</f>
        <v/>
      </c>
      <c r="BM285" s="39">
        <f>IF(BL285="","",Capital+BL285)</f>
        <v/>
      </c>
      <c r="BN285" s="39">
        <f>IF(BM285="","",MAX(Capital,MAX($BM$6:BM285)))</f>
        <v/>
      </c>
      <c r="BO285" s="39">
        <f>IF(BM285="","",BN285-BM285)</f>
        <v/>
      </c>
      <c r="BP285" s="58">
        <f>IF(BO285="","",BO285/BN285)</f>
        <v/>
      </c>
      <c r="BQ285" s="28">
        <f>IF(AU285="","",IF(AU285&lt;0,N(BQ284)+1,0))</f>
        <v/>
      </c>
    </row>
    <row r="286">
      <c r="A286" s="28">
        <f>IF(B286="","",COUNT($B$6:B286))</f>
        <v/>
      </c>
      <c r="B286" s="27" t="n"/>
      <c r="C286" s="5">
        <f>IF(B286="","",TEXT(B286,"ddd"))</f>
        <v/>
      </c>
      <c r="D286" s="27" t="n"/>
      <c r="E286" s="28">
        <f>IF(OR(B286="",D286=""),"",MAX(0,NETWORKDAYS(B286,D286)-1))</f>
        <v/>
      </c>
      <c r="F286" s="37" t="n"/>
      <c r="G286" s="36" t="n"/>
      <c r="H286" s="37" t="n"/>
      <c r="I286" s="37" t="n"/>
      <c r="J286" s="37" t="n"/>
      <c r="K286" s="37" t="n"/>
      <c r="L286" s="36" t="n"/>
      <c r="M286" s="36" t="n"/>
      <c r="N286" s="33">
        <f>IF(M286="","",M286*LotSize)</f>
        <v/>
      </c>
      <c r="O286" s="51" t="n"/>
      <c r="P286" s="32" t="n"/>
      <c r="Q286" s="29" t="n"/>
      <c r="R286" s="30">
        <f>IF(OR(G286="",Q286="",H286=""),"",IF(H286="CE",G286-Q286,Q286-G286))</f>
        <v/>
      </c>
      <c r="S286" s="31">
        <f>IF(R286="","",R286/Q286)</f>
        <v/>
      </c>
      <c r="T286" s="38" t="n"/>
      <c r="U286" s="32" t="n"/>
      <c r="V286" s="52" t="n"/>
      <c r="W286" s="37" t="n"/>
      <c r="X286" s="32" t="n"/>
      <c r="Y286" s="32" t="n"/>
      <c r="Z286" s="39">
        <f>IF(OR(X286="",P286="",N286=""),"",ABS(X286-P286)*N286)</f>
        <v/>
      </c>
      <c r="AA286" s="53">
        <f>IF(OR(Z286="",Y286=""),"",IF(Z286=0,"",ABS(P286-Y286)*N286/Z286))</f>
        <v/>
      </c>
      <c r="AB286" s="54">
        <f>IF(Z286="","",Z286/Capital)</f>
        <v/>
      </c>
      <c r="AC286" s="5">
        <f>IF(B286="","",IF(X286="","NO SL",IF(OR(N(M286)&gt;MaxLots,N(AB286)&gt;RiskPct),"OVERSIZED","OK")))</f>
        <v/>
      </c>
      <c r="AD286" s="51" t="n"/>
      <c r="AE286" s="32" t="n"/>
      <c r="AF286" s="37" t="n"/>
      <c r="AG286" s="32" t="n"/>
      <c r="AH286" s="32" t="n"/>
      <c r="AI286" s="39">
        <f>IF(OR(AG286="",P286="",N286=""),"",ABS(AG286-P286)*N286)</f>
        <v/>
      </c>
      <c r="AJ286" s="39">
        <f>IF(OR(AH286="",P286="",N286=""),"",ABS(P286-AH286)*N286)</f>
        <v/>
      </c>
      <c r="AK286" s="39">
        <f>IF(OR(AE286="",P286="",N286=""),"",IF(I286="Buy",AE286-P286,P286-AE286)*N286)</f>
        <v/>
      </c>
      <c r="AL286" s="39">
        <f>IF(OR(AJ286="",AK286=""),"",MAX(0,AJ286-AK286))</f>
        <v/>
      </c>
      <c r="AM286" s="39">
        <f>IF(AK286="","",(P286+AE286)*N286)</f>
        <v/>
      </c>
      <c r="AN286" s="55">
        <f>IF(AK286="","",BrokeragePerOrder*2*MAX(1,N(L286)))</f>
        <v/>
      </c>
      <c r="AO286" s="55">
        <f>IF(AK286="","",STTRate*IF(I286="Buy",AE286,P286)*N286)</f>
        <v/>
      </c>
      <c r="AP286" s="55">
        <f>IF(AK286="","",ExchRate*AM286)</f>
        <v/>
      </c>
      <c r="AQ286" s="55">
        <f>IF(AK286="","",SEBIRate*AM286)</f>
        <v/>
      </c>
      <c r="AR286" s="55">
        <f>IF(AK286="","",StampRate*IF(I286="Buy",P286,AE286)*N286)</f>
        <v/>
      </c>
      <c r="AS286" s="55">
        <f>IF(AK286="","",GSTRate*(AN286+AP286+AQ286))</f>
        <v/>
      </c>
      <c r="AT286" s="55">
        <f>IF(AK286="","",AN286+AO286+AP286+AQ286+AR286+AS286)</f>
        <v/>
      </c>
      <c r="AU286" s="39">
        <f>IF(AK286="","",AK286-AT286)</f>
        <v/>
      </c>
      <c r="AV286" s="56">
        <f>IF(AU286="","",AU286/IF(N(Z286)&gt;0,Z286,RiskPerTrade))</f>
        <v/>
      </c>
      <c r="AW286" s="31">
        <f>IF(AU286="","",AU286/Capital)</f>
        <v/>
      </c>
      <c r="AX286" s="37" t="n"/>
      <c r="AY286" s="37" t="n"/>
      <c r="AZ286" s="37" t="n"/>
      <c r="BA286" s="37" t="n"/>
      <c r="BB286" s="37" t="n"/>
      <c r="BC286" s="37" t="n"/>
      <c r="BD286" s="37" t="n"/>
      <c r="BE286" s="5">
        <f>IF(AU286="","",IF(AU286&gt;0,"Win",IF(AU286&lt;0,"Loss","BE")))</f>
        <v/>
      </c>
      <c r="BF286" s="5">
        <f>IF(O286="","",LOOKUP(O286,List_BucketStart,List_BucketLabel))</f>
        <v/>
      </c>
      <c r="BG286" s="57">
        <f>IF(B286="","",B286-WEEKDAY(B286,3))</f>
        <v/>
      </c>
      <c r="BH286" s="28">
        <f>IF(B286="","",COUNTIF($B$6:B286,B286))</f>
        <v/>
      </c>
      <c r="BI286" s="39">
        <f>IF(B286="","",SUMIFS($AU$6:AU286,$B$6:B286,B286)-N(AU286))</f>
        <v/>
      </c>
      <c r="BJ286" s="5">
        <f>IF(OR(B286="",E286=""),"",IF(AND(E286=0,I286="Sell",MAX(N(O286),N(AD286))&gt;ExpiryCutoff),"BREACH","OK"))</f>
        <v/>
      </c>
      <c r="BK286" s="5">
        <f>IF(B286="","",IF(OR(AC286&lt;&gt;"OK",BJ286="BREACH",BH286&gt;MaxTradesDay,BI286&lt;=-DailyLossLimit,OR(AF286="Panic",AF286="Revenge",AF286="Rule break")),"CHECK","OK"))</f>
        <v/>
      </c>
      <c r="BL286" s="39">
        <f>IF(AU286="","",SUM($AU$6:AU286))</f>
        <v/>
      </c>
      <c r="BM286" s="39">
        <f>IF(BL286="","",Capital+BL286)</f>
        <v/>
      </c>
      <c r="BN286" s="39">
        <f>IF(BM286="","",MAX(Capital,MAX($BM$6:BM286)))</f>
        <v/>
      </c>
      <c r="BO286" s="39">
        <f>IF(BM286="","",BN286-BM286)</f>
        <v/>
      </c>
      <c r="BP286" s="58">
        <f>IF(BO286="","",BO286/BN286)</f>
        <v/>
      </c>
      <c r="BQ286" s="28">
        <f>IF(AU286="","",IF(AU286&lt;0,N(BQ285)+1,0))</f>
        <v/>
      </c>
    </row>
    <row r="287">
      <c r="A287" s="28">
        <f>IF(B287="","",COUNT($B$6:B287))</f>
        <v/>
      </c>
      <c r="B287" s="27" t="n"/>
      <c r="C287" s="5">
        <f>IF(B287="","",TEXT(B287,"ddd"))</f>
        <v/>
      </c>
      <c r="D287" s="27" t="n"/>
      <c r="E287" s="28">
        <f>IF(OR(B287="",D287=""),"",MAX(0,NETWORKDAYS(B287,D287)-1))</f>
        <v/>
      </c>
      <c r="F287" s="37" t="n"/>
      <c r="G287" s="36" t="n"/>
      <c r="H287" s="37" t="n"/>
      <c r="I287" s="37" t="n"/>
      <c r="J287" s="37" t="n"/>
      <c r="K287" s="37" t="n"/>
      <c r="L287" s="36" t="n"/>
      <c r="M287" s="36" t="n"/>
      <c r="N287" s="33">
        <f>IF(M287="","",M287*LotSize)</f>
        <v/>
      </c>
      <c r="O287" s="51" t="n"/>
      <c r="P287" s="32" t="n"/>
      <c r="Q287" s="29" t="n"/>
      <c r="R287" s="30">
        <f>IF(OR(G287="",Q287="",H287=""),"",IF(H287="CE",G287-Q287,Q287-G287))</f>
        <v/>
      </c>
      <c r="S287" s="31">
        <f>IF(R287="","",R287/Q287)</f>
        <v/>
      </c>
      <c r="T287" s="38" t="n"/>
      <c r="U287" s="32" t="n"/>
      <c r="V287" s="52" t="n"/>
      <c r="W287" s="37" t="n"/>
      <c r="X287" s="32" t="n"/>
      <c r="Y287" s="32" t="n"/>
      <c r="Z287" s="39">
        <f>IF(OR(X287="",P287="",N287=""),"",ABS(X287-P287)*N287)</f>
        <v/>
      </c>
      <c r="AA287" s="53">
        <f>IF(OR(Z287="",Y287=""),"",IF(Z287=0,"",ABS(P287-Y287)*N287/Z287))</f>
        <v/>
      </c>
      <c r="AB287" s="54">
        <f>IF(Z287="","",Z287/Capital)</f>
        <v/>
      </c>
      <c r="AC287" s="5">
        <f>IF(B287="","",IF(X287="","NO SL",IF(OR(N(M287)&gt;MaxLots,N(AB287)&gt;RiskPct),"OVERSIZED","OK")))</f>
        <v/>
      </c>
      <c r="AD287" s="51" t="n"/>
      <c r="AE287" s="32" t="n"/>
      <c r="AF287" s="37" t="n"/>
      <c r="AG287" s="32" t="n"/>
      <c r="AH287" s="32" t="n"/>
      <c r="AI287" s="39">
        <f>IF(OR(AG287="",P287="",N287=""),"",ABS(AG287-P287)*N287)</f>
        <v/>
      </c>
      <c r="AJ287" s="39">
        <f>IF(OR(AH287="",P287="",N287=""),"",ABS(P287-AH287)*N287)</f>
        <v/>
      </c>
      <c r="AK287" s="39">
        <f>IF(OR(AE287="",P287="",N287=""),"",IF(I287="Buy",AE287-P287,P287-AE287)*N287)</f>
        <v/>
      </c>
      <c r="AL287" s="39">
        <f>IF(OR(AJ287="",AK287=""),"",MAX(0,AJ287-AK287))</f>
        <v/>
      </c>
      <c r="AM287" s="39">
        <f>IF(AK287="","",(P287+AE287)*N287)</f>
        <v/>
      </c>
      <c r="AN287" s="55">
        <f>IF(AK287="","",BrokeragePerOrder*2*MAX(1,N(L287)))</f>
        <v/>
      </c>
      <c r="AO287" s="55">
        <f>IF(AK287="","",STTRate*IF(I287="Buy",AE287,P287)*N287)</f>
        <v/>
      </c>
      <c r="AP287" s="55">
        <f>IF(AK287="","",ExchRate*AM287)</f>
        <v/>
      </c>
      <c r="AQ287" s="55">
        <f>IF(AK287="","",SEBIRate*AM287)</f>
        <v/>
      </c>
      <c r="AR287" s="55">
        <f>IF(AK287="","",StampRate*IF(I287="Buy",P287,AE287)*N287)</f>
        <v/>
      </c>
      <c r="AS287" s="55">
        <f>IF(AK287="","",GSTRate*(AN287+AP287+AQ287))</f>
        <v/>
      </c>
      <c r="AT287" s="55">
        <f>IF(AK287="","",AN287+AO287+AP287+AQ287+AR287+AS287)</f>
        <v/>
      </c>
      <c r="AU287" s="39">
        <f>IF(AK287="","",AK287-AT287)</f>
        <v/>
      </c>
      <c r="AV287" s="56">
        <f>IF(AU287="","",AU287/IF(N(Z287)&gt;0,Z287,RiskPerTrade))</f>
        <v/>
      </c>
      <c r="AW287" s="31">
        <f>IF(AU287="","",AU287/Capital)</f>
        <v/>
      </c>
      <c r="AX287" s="37" t="n"/>
      <c r="AY287" s="37" t="n"/>
      <c r="AZ287" s="37" t="n"/>
      <c r="BA287" s="37" t="n"/>
      <c r="BB287" s="37" t="n"/>
      <c r="BC287" s="37" t="n"/>
      <c r="BD287" s="37" t="n"/>
      <c r="BE287" s="5">
        <f>IF(AU287="","",IF(AU287&gt;0,"Win",IF(AU287&lt;0,"Loss","BE")))</f>
        <v/>
      </c>
      <c r="BF287" s="5">
        <f>IF(O287="","",LOOKUP(O287,List_BucketStart,List_BucketLabel))</f>
        <v/>
      </c>
      <c r="BG287" s="57">
        <f>IF(B287="","",B287-WEEKDAY(B287,3))</f>
        <v/>
      </c>
      <c r="BH287" s="28">
        <f>IF(B287="","",COUNTIF($B$6:B287,B287))</f>
        <v/>
      </c>
      <c r="BI287" s="39">
        <f>IF(B287="","",SUMIFS($AU$6:AU287,$B$6:B287,B287)-N(AU287))</f>
        <v/>
      </c>
      <c r="BJ287" s="5">
        <f>IF(OR(B287="",E287=""),"",IF(AND(E287=0,I287="Sell",MAX(N(O287),N(AD287))&gt;ExpiryCutoff),"BREACH","OK"))</f>
        <v/>
      </c>
      <c r="BK287" s="5">
        <f>IF(B287="","",IF(OR(AC287&lt;&gt;"OK",BJ287="BREACH",BH287&gt;MaxTradesDay,BI287&lt;=-DailyLossLimit,OR(AF287="Panic",AF287="Revenge",AF287="Rule break")),"CHECK","OK"))</f>
        <v/>
      </c>
      <c r="BL287" s="39">
        <f>IF(AU287="","",SUM($AU$6:AU287))</f>
        <v/>
      </c>
      <c r="BM287" s="39">
        <f>IF(BL287="","",Capital+BL287)</f>
        <v/>
      </c>
      <c r="BN287" s="39">
        <f>IF(BM287="","",MAX(Capital,MAX($BM$6:BM287)))</f>
        <v/>
      </c>
      <c r="BO287" s="39">
        <f>IF(BM287="","",BN287-BM287)</f>
        <v/>
      </c>
      <c r="BP287" s="58">
        <f>IF(BO287="","",BO287/BN287)</f>
        <v/>
      </c>
      <c r="BQ287" s="28">
        <f>IF(AU287="","",IF(AU287&lt;0,N(BQ286)+1,0))</f>
        <v/>
      </c>
    </row>
    <row r="288">
      <c r="A288" s="28">
        <f>IF(B288="","",COUNT($B$6:B288))</f>
        <v/>
      </c>
      <c r="B288" s="27" t="n"/>
      <c r="C288" s="5">
        <f>IF(B288="","",TEXT(B288,"ddd"))</f>
        <v/>
      </c>
      <c r="D288" s="27" t="n"/>
      <c r="E288" s="28">
        <f>IF(OR(B288="",D288=""),"",MAX(0,NETWORKDAYS(B288,D288)-1))</f>
        <v/>
      </c>
      <c r="F288" s="37" t="n"/>
      <c r="G288" s="36" t="n"/>
      <c r="H288" s="37" t="n"/>
      <c r="I288" s="37" t="n"/>
      <c r="J288" s="37" t="n"/>
      <c r="K288" s="37" t="n"/>
      <c r="L288" s="36" t="n"/>
      <c r="M288" s="36" t="n"/>
      <c r="N288" s="33">
        <f>IF(M288="","",M288*LotSize)</f>
        <v/>
      </c>
      <c r="O288" s="51" t="n"/>
      <c r="P288" s="32" t="n"/>
      <c r="Q288" s="29" t="n"/>
      <c r="R288" s="30">
        <f>IF(OR(G288="",Q288="",H288=""),"",IF(H288="CE",G288-Q288,Q288-G288))</f>
        <v/>
      </c>
      <c r="S288" s="31">
        <f>IF(R288="","",R288/Q288)</f>
        <v/>
      </c>
      <c r="T288" s="38" t="n"/>
      <c r="U288" s="32" t="n"/>
      <c r="V288" s="52" t="n"/>
      <c r="W288" s="37" t="n"/>
      <c r="X288" s="32" t="n"/>
      <c r="Y288" s="32" t="n"/>
      <c r="Z288" s="39">
        <f>IF(OR(X288="",P288="",N288=""),"",ABS(X288-P288)*N288)</f>
        <v/>
      </c>
      <c r="AA288" s="53">
        <f>IF(OR(Z288="",Y288=""),"",IF(Z288=0,"",ABS(P288-Y288)*N288/Z288))</f>
        <v/>
      </c>
      <c r="AB288" s="54">
        <f>IF(Z288="","",Z288/Capital)</f>
        <v/>
      </c>
      <c r="AC288" s="5">
        <f>IF(B288="","",IF(X288="","NO SL",IF(OR(N(M288)&gt;MaxLots,N(AB288)&gt;RiskPct),"OVERSIZED","OK")))</f>
        <v/>
      </c>
      <c r="AD288" s="51" t="n"/>
      <c r="AE288" s="32" t="n"/>
      <c r="AF288" s="37" t="n"/>
      <c r="AG288" s="32" t="n"/>
      <c r="AH288" s="32" t="n"/>
      <c r="AI288" s="39">
        <f>IF(OR(AG288="",P288="",N288=""),"",ABS(AG288-P288)*N288)</f>
        <v/>
      </c>
      <c r="AJ288" s="39">
        <f>IF(OR(AH288="",P288="",N288=""),"",ABS(P288-AH288)*N288)</f>
        <v/>
      </c>
      <c r="AK288" s="39">
        <f>IF(OR(AE288="",P288="",N288=""),"",IF(I288="Buy",AE288-P288,P288-AE288)*N288)</f>
        <v/>
      </c>
      <c r="AL288" s="39">
        <f>IF(OR(AJ288="",AK288=""),"",MAX(0,AJ288-AK288))</f>
        <v/>
      </c>
      <c r="AM288" s="39">
        <f>IF(AK288="","",(P288+AE288)*N288)</f>
        <v/>
      </c>
      <c r="AN288" s="55">
        <f>IF(AK288="","",BrokeragePerOrder*2*MAX(1,N(L288)))</f>
        <v/>
      </c>
      <c r="AO288" s="55">
        <f>IF(AK288="","",STTRate*IF(I288="Buy",AE288,P288)*N288)</f>
        <v/>
      </c>
      <c r="AP288" s="55">
        <f>IF(AK288="","",ExchRate*AM288)</f>
        <v/>
      </c>
      <c r="AQ288" s="55">
        <f>IF(AK288="","",SEBIRate*AM288)</f>
        <v/>
      </c>
      <c r="AR288" s="55">
        <f>IF(AK288="","",StampRate*IF(I288="Buy",P288,AE288)*N288)</f>
        <v/>
      </c>
      <c r="AS288" s="55">
        <f>IF(AK288="","",GSTRate*(AN288+AP288+AQ288))</f>
        <v/>
      </c>
      <c r="AT288" s="55">
        <f>IF(AK288="","",AN288+AO288+AP288+AQ288+AR288+AS288)</f>
        <v/>
      </c>
      <c r="AU288" s="39">
        <f>IF(AK288="","",AK288-AT288)</f>
        <v/>
      </c>
      <c r="AV288" s="56">
        <f>IF(AU288="","",AU288/IF(N(Z288)&gt;0,Z288,RiskPerTrade))</f>
        <v/>
      </c>
      <c r="AW288" s="31">
        <f>IF(AU288="","",AU288/Capital)</f>
        <v/>
      </c>
      <c r="AX288" s="37" t="n"/>
      <c r="AY288" s="37" t="n"/>
      <c r="AZ288" s="37" t="n"/>
      <c r="BA288" s="37" t="n"/>
      <c r="BB288" s="37" t="n"/>
      <c r="BC288" s="37" t="n"/>
      <c r="BD288" s="37" t="n"/>
      <c r="BE288" s="5">
        <f>IF(AU288="","",IF(AU288&gt;0,"Win",IF(AU288&lt;0,"Loss","BE")))</f>
        <v/>
      </c>
      <c r="BF288" s="5">
        <f>IF(O288="","",LOOKUP(O288,List_BucketStart,List_BucketLabel))</f>
        <v/>
      </c>
      <c r="BG288" s="57">
        <f>IF(B288="","",B288-WEEKDAY(B288,3))</f>
        <v/>
      </c>
      <c r="BH288" s="28">
        <f>IF(B288="","",COUNTIF($B$6:B288,B288))</f>
        <v/>
      </c>
      <c r="BI288" s="39">
        <f>IF(B288="","",SUMIFS($AU$6:AU288,$B$6:B288,B288)-N(AU288))</f>
        <v/>
      </c>
      <c r="BJ288" s="5">
        <f>IF(OR(B288="",E288=""),"",IF(AND(E288=0,I288="Sell",MAX(N(O288),N(AD288))&gt;ExpiryCutoff),"BREACH","OK"))</f>
        <v/>
      </c>
      <c r="BK288" s="5">
        <f>IF(B288="","",IF(OR(AC288&lt;&gt;"OK",BJ288="BREACH",BH288&gt;MaxTradesDay,BI288&lt;=-DailyLossLimit,OR(AF288="Panic",AF288="Revenge",AF288="Rule break")),"CHECK","OK"))</f>
        <v/>
      </c>
      <c r="BL288" s="39">
        <f>IF(AU288="","",SUM($AU$6:AU288))</f>
        <v/>
      </c>
      <c r="BM288" s="39">
        <f>IF(BL288="","",Capital+BL288)</f>
        <v/>
      </c>
      <c r="BN288" s="39">
        <f>IF(BM288="","",MAX(Capital,MAX($BM$6:BM288)))</f>
        <v/>
      </c>
      <c r="BO288" s="39">
        <f>IF(BM288="","",BN288-BM288)</f>
        <v/>
      </c>
      <c r="BP288" s="58">
        <f>IF(BO288="","",BO288/BN288)</f>
        <v/>
      </c>
      <c r="BQ288" s="28">
        <f>IF(AU288="","",IF(AU288&lt;0,N(BQ287)+1,0))</f>
        <v/>
      </c>
    </row>
    <row r="289">
      <c r="A289" s="28">
        <f>IF(B289="","",COUNT($B$6:B289))</f>
        <v/>
      </c>
      <c r="B289" s="27" t="n"/>
      <c r="C289" s="5">
        <f>IF(B289="","",TEXT(B289,"ddd"))</f>
        <v/>
      </c>
      <c r="D289" s="27" t="n"/>
      <c r="E289" s="28">
        <f>IF(OR(B289="",D289=""),"",MAX(0,NETWORKDAYS(B289,D289)-1))</f>
        <v/>
      </c>
      <c r="F289" s="37" t="n"/>
      <c r="G289" s="36" t="n"/>
      <c r="H289" s="37" t="n"/>
      <c r="I289" s="37" t="n"/>
      <c r="J289" s="37" t="n"/>
      <c r="K289" s="37" t="n"/>
      <c r="L289" s="36" t="n"/>
      <c r="M289" s="36" t="n"/>
      <c r="N289" s="33">
        <f>IF(M289="","",M289*LotSize)</f>
        <v/>
      </c>
      <c r="O289" s="51" t="n"/>
      <c r="P289" s="32" t="n"/>
      <c r="Q289" s="29" t="n"/>
      <c r="R289" s="30">
        <f>IF(OR(G289="",Q289="",H289=""),"",IF(H289="CE",G289-Q289,Q289-G289))</f>
        <v/>
      </c>
      <c r="S289" s="31">
        <f>IF(R289="","",R289/Q289)</f>
        <v/>
      </c>
      <c r="T289" s="38" t="n"/>
      <c r="U289" s="32" t="n"/>
      <c r="V289" s="52" t="n"/>
      <c r="W289" s="37" t="n"/>
      <c r="X289" s="32" t="n"/>
      <c r="Y289" s="32" t="n"/>
      <c r="Z289" s="39">
        <f>IF(OR(X289="",P289="",N289=""),"",ABS(X289-P289)*N289)</f>
        <v/>
      </c>
      <c r="AA289" s="53">
        <f>IF(OR(Z289="",Y289=""),"",IF(Z289=0,"",ABS(P289-Y289)*N289/Z289))</f>
        <v/>
      </c>
      <c r="AB289" s="54">
        <f>IF(Z289="","",Z289/Capital)</f>
        <v/>
      </c>
      <c r="AC289" s="5">
        <f>IF(B289="","",IF(X289="","NO SL",IF(OR(N(M289)&gt;MaxLots,N(AB289)&gt;RiskPct),"OVERSIZED","OK")))</f>
        <v/>
      </c>
      <c r="AD289" s="51" t="n"/>
      <c r="AE289" s="32" t="n"/>
      <c r="AF289" s="37" t="n"/>
      <c r="AG289" s="32" t="n"/>
      <c r="AH289" s="32" t="n"/>
      <c r="AI289" s="39">
        <f>IF(OR(AG289="",P289="",N289=""),"",ABS(AG289-P289)*N289)</f>
        <v/>
      </c>
      <c r="AJ289" s="39">
        <f>IF(OR(AH289="",P289="",N289=""),"",ABS(P289-AH289)*N289)</f>
        <v/>
      </c>
      <c r="AK289" s="39">
        <f>IF(OR(AE289="",P289="",N289=""),"",IF(I289="Buy",AE289-P289,P289-AE289)*N289)</f>
        <v/>
      </c>
      <c r="AL289" s="39">
        <f>IF(OR(AJ289="",AK289=""),"",MAX(0,AJ289-AK289))</f>
        <v/>
      </c>
      <c r="AM289" s="39">
        <f>IF(AK289="","",(P289+AE289)*N289)</f>
        <v/>
      </c>
      <c r="AN289" s="55">
        <f>IF(AK289="","",BrokeragePerOrder*2*MAX(1,N(L289)))</f>
        <v/>
      </c>
      <c r="AO289" s="55">
        <f>IF(AK289="","",STTRate*IF(I289="Buy",AE289,P289)*N289)</f>
        <v/>
      </c>
      <c r="AP289" s="55">
        <f>IF(AK289="","",ExchRate*AM289)</f>
        <v/>
      </c>
      <c r="AQ289" s="55">
        <f>IF(AK289="","",SEBIRate*AM289)</f>
        <v/>
      </c>
      <c r="AR289" s="55">
        <f>IF(AK289="","",StampRate*IF(I289="Buy",P289,AE289)*N289)</f>
        <v/>
      </c>
      <c r="AS289" s="55">
        <f>IF(AK289="","",GSTRate*(AN289+AP289+AQ289))</f>
        <v/>
      </c>
      <c r="AT289" s="55">
        <f>IF(AK289="","",AN289+AO289+AP289+AQ289+AR289+AS289)</f>
        <v/>
      </c>
      <c r="AU289" s="39">
        <f>IF(AK289="","",AK289-AT289)</f>
        <v/>
      </c>
      <c r="AV289" s="56">
        <f>IF(AU289="","",AU289/IF(N(Z289)&gt;0,Z289,RiskPerTrade))</f>
        <v/>
      </c>
      <c r="AW289" s="31">
        <f>IF(AU289="","",AU289/Capital)</f>
        <v/>
      </c>
      <c r="AX289" s="37" t="n"/>
      <c r="AY289" s="37" t="n"/>
      <c r="AZ289" s="37" t="n"/>
      <c r="BA289" s="37" t="n"/>
      <c r="BB289" s="37" t="n"/>
      <c r="BC289" s="37" t="n"/>
      <c r="BD289" s="37" t="n"/>
      <c r="BE289" s="5">
        <f>IF(AU289="","",IF(AU289&gt;0,"Win",IF(AU289&lt;0,"Loss","BE")))</f>
        <v/>
      </c>
      <c r="BF289" s="5">
        <f>IF(O289="","",LOOKUP(O289,List_BucketStart,List_BucketLabel))</f>
        <v/>
      </c>
      <c r="BG289" s="57">
        <f>IF(B289="","",B289-WEEKDAY(B289,3))</f>
        <v/>
      </c>
      <c r="BH289" s="28">
        <f>IF(B289="","",COUNTIF($B$6:B289,B289))</f>
        <v/>
      </c>
      <c r="BI289" s="39">
        <f>IF(B289="","",SUMIFS($AU$6:AU289,$B$6:B289,B289)-N(AU289))</f>
        <v/>
      </c>
      <c r="BJ289" s="5">
        <f>IF(OR(B289="",E289=""),"",IF(AND(E289=0,I289="Sell",MAX(N(O289),N(AD289))&gt;ExpiryCutoff),"BREACH","OK"))</f>
        <v/>
      </c>
      <c r="BK289" s="5">
        <f>IF(B289="","",IF(OR(AC289&lt;&gt;"OK",BJ289="BREACH",BH289&gt;MaxTradesDay,BI289&lt;=-DailyLossLimit,OR(AF289="Panic",AF289="Revenge",AF289="Rule break")),"CHECK","OK"))</f>
        <v/>
      </c>
      <c r="BL289" s="39">
        <f>IF(AU289="","",SUM($AU$6:AU289))</f>
        <v/>
      </c>
      <c r="BM289" s="39">
        <f>IF(BL289="","",Capital+BL289)</f>
        <v/>
      </c>
      <c r="BN289" s="39">
        <f>IF(BM289="","",MAX(Capital,MAX($BM$6:BM289)))</f>
        <v/>
      </c>
      <c r="BO289" s="39">
        <f>IF(BM289="","",BN289-BM289)</f>
        <v/>
      </c>
      <c r="BP289" s="58">
        <f>IF(BO289="","",BO289/BN289)</f>
        <v/>
      </c>
      <c r="BQ289" s="28">
        <f>IF(AU289="","",IF(AU289&lt;0,N(BQ288)+1,0))</f>
        <v/>
      </c>
    </row>
    <row r="290">
      <c r="A290" s="28">
        <f>IF(B290="","",COUNT($B$6:B290))</f>
        <v/>
      </c>
      <c r="B290" s="27" t="n"/>
      <c r="C290" s="5">
        <f>IF(B290="","",TEXT(B290,"ddd"))</f>
        <v/>
      </c>
      <c r="D290" s="27" t="n"/>
      <c r="E290" s="28">
        <f>IF(OR(B290="",D290=""),"",MAX(0,NETWORKDAYS(B290,D290)-1))</f>
        <v/>
      </c>
      <c r="F290" s="37" t="n"/>
      <c r="G290" s="36" t="n"/>
      <c r="H290" s="37" t="n"/>
      <c r="I290" s="37" t="n"/>
      <c r="J290" s="37" t="n"/>
      <c r="K290" s="37" t="n"/>
      <c r="L290" s="36" t="n"/>
      <c r="M290" s="36" t="n"/>
      <c r="N290" s="33">
        <f>IF(M290="","",M290*LotSize)</f>
        <v/>
      </c>
      <c r="O290" s="51" t="n"/>
      <c r="P290" s="32" t="n"/>
      <c r="Q290" s="29" t="n"/>
      <c r="R290" s="30">
        <f>IF(OR(G290="",Q290="",H290=""),"",IF(H290="CE",G290-Q290,Q290-G290))</f>
        <v/>
      </c>
      <c r="S290" s="31">
        <f>IF(R290="","",R290/Q290)</f>
        <v/>
      </c>
      <c r="T290" s="38" t="n"/>
      <c r="U290" s="32" t="n"/>
      <c r="V290" s="52" t="n"/>
      <c r="W290" s="37" t="n"/>
      <c r="X290" s="32" t="n"/>
      <c r="Y290" s="32" t="n"/>
      <c r="Z290" s="39">
        <f>IF(OR(X290="",P290="",N290=""),"",ABS(X290-P290)*N290)</f>
        <v/>
      </c>
      <c r="AA290" s="53">
        <f>IF(OR(Z290="",Y290=""),"",IF(Z290=0,"",ABS(P290-Y290)*N290/Z290))</f>
        <v/>
      </c>
      <c r="AB290" s="54">
        <f>IF(Z290="","",Z290/Capital)</f>
        <v/>
      </c>
      <c r="AC290" s="5">
        <f>IF(B290="","",IF(X290="","NO SL",IF(OR(N(M290)&gt;MaxLots,N(AB290)&gt;RiskPct),"OVERSIZED","OK")))</f>
        <v/>
      </c>
      <c r="AD290" s="51" t="n"/>
      <c r="AE290" s="32" t="n"/>
      <c r="AF290" s="37" t="n"/>
      <c r="AG290" s="32" t="n"/>
      <c r="AH290" s="32" t="n"/>
      <c r="AI290" s="39">
        <f>IF(OR(AG290="",P290="",N290=""),"",ABS(AG290-P290)*N290)</f>
        <v/>
      </c>
      <c r="AJ290" s="39">
        <f>IF(OR(AH290="",P290="",N290=""),"",ABS(P290-AH290)*N290)</f>
        <v/>
      </c>
      <c r="AK290" s="39">
        <f>IF(OR(AE290="",P290="",N290=""),"",IF(I290="Buy",AE290-P290,P290-AE290)*N290)</f>
        <v/>
      </c>
      <c r="AL290" s="39">
        <f>IF(OR(AJ290="",AK290=""),"",MAX(0,AJ290-AK290))</f>
        <v/>
      </c>
      <c r="AM290" s="39">
        <f>IF(AK290="","",(P290+AE290)*N290)</f>
        <v/>
      </c>
      <c r="AN290" s="55">
        <f>IF(AK290="","",BrokeragePerOrder*2*MAX(1,N(L290)))</f>
        <v/>
      </c>
      <c r="AO290" s="55">
        <f>IF(AK290="","",STTRate*IF(I290="Buy",AE290,P290)*N290)</f>
        <v/>
      </c>
      <c r="AP290" s="55">
        <f>IF(AK290="","",ExchRate*AM290)</f>
        <v/>
      </c>
      <c r="AQ290" s="55">
        <f>IF(AK290="","",SEBIRate*AM290)</f>
        <v/>
      </c>
      <c r="AR290" s="55">
        <f>IF(AK290="","",StampRate*IF(I290="Buy",P290,AE290)*N290)</f>
        <v/>
      </c>
      <c r="AS290" s="55">
        <f>IF(AK290="","",GSTRate*(AN290+AP290+AQ290))</f>
        <v/>
      </c>
      <c r="AT290" s="55">
        <f>IF(AK290="","",AN290+AO290+AP290+AQ290+AR290+AS290)</f>
        <v/>
      </c>
      <c r="AU290" s="39">
        <f>IF(AK290="","",AK290-AT290)</f>
        <v/>
      </c>
      <c r="AV290" s="56">
        <f>IF(AU290="","",AU290/IF(N(Z290)&gt;0,Z290,RiskPerTrade))</f>
        <v/>
      </c>
      <c r="AW290" s="31">
        <f>IF(AU290="","",AU290/Capital)</f>
        <v/>
      </c>
      <c r="AX290" s="37" t="n"/>
      <c r="AY290" s="37" t="n"/>
      <c r="AZ290" s="37" t="n"/>
      <c r="BA290" s="37" t="n"/>
      <c r="BB290" s="37" t="n"/>
      <c r="BC290" s="37" t="n"/>
      <c r="BD290" s="37" t="n"/>
      <c r="BE290" s="5">
        <f>IF(AU290="","",IF(AU290&gt;0,"Win",IF(AU290&lt;0,"Loss","BE")))</f>
        <v/>
      </c>
      <c r="BF290" s="5">
        <f>IF(O290="","",LOOKUP(O290,List_BucketStart,List_BucketLabel))</f>
        <v/>
      </c>
      <c r="BG290" s="57">
        <f>IF(B290="","",B290-WEEKDAY(B290,3))</f>
        <v/>
      </c>
      <c r="BH290" s="28">
        <f>IF(B290="","",COUNTIF($B$6:B290,B290))</f>
        <v/>
      </c>
      <c r="BI290" s="39">
        <f>IF(B290="","",SUMIFS($AU$6:AU290,$B$6:B290,B290)-N(AU290))</f>
        <v/>
      </c>
      <c r="BJ290" s="5">
        <f>IF(OR(B290="",E290=""),"",IF(AND(E290=0,I290="Sell",MAX(N(O290),N(AD290))&gt;ExpiryCutoff),"BREACH","OK"))</f>
        <v/>
      </c>
      <c r="BK290" s="5">
        <f>IF(B290="","",IF(OR(AC290&lt;&gt;"OK",BJ290="BREACH",BH290&gt;MaxTradesDay,BI290&lt;=-DailyLossLimit,OR(AF290="Panic",AF290="Revenge",AF290="Rule break")),"CHECK","OK"))</f>
        <v/>
      </c>
      <c r="BL290" s="39">
        <f>IF(AU290="","",SUM($AU$6:AU290))</f>
        <v/>
      </c>
      <c r="BM290" s="39">
        <f>IF(BL290="","",Capital+BL290)</f>
        <v/>
      </c>
      <c r="BN290" s="39">
        <f>IF(BM290="","",MAX(Capital,MAX($BM$6:BM290)))</f>
        <v/>
      </c>
      <c r="BO290" s="39">
        <f>IF(BM290="","",BN290-BM290)</f>
        <v/>
      </c>
      <c r="BP290" s="58">
        <f>IF(BO290="","",BO290/BN290)</f>
        <v/>
      </c>
      <c r="BQ290" s="28">
        <f>IF(AU290="","",IF(AU290&lt;0,N(BQ289)+1,0))</f>
        <v/>
      </c>
    </row>
    <row r="291">
      <c r="A291" s="28">
        <f>IF(B291="","",COUNT($B$6:B291))</f>
        <v/>
      </c>
      <c r="B291" s="27" t="n"/>
      <c r="C291" s="5">
        <f>IF(B291="","",TEXT(B291,"ddd"))</f>
        <v/>
      </c>
      <c r="D291" s="27" t="n"/>
      <c r="E291" s="28">
        <f>IF(OR(B291="",D291=""),"",MAX(0,NETWORKDAYS(B291,D291)-1))</f>
        <v/>
      </c>
      <c r="F291" s="37" t="n"/>
      <c r="G291" s="36" t="n"/>
      <c r="H291" s="37" t="n"/>
      <c r="I291" s="37" t="n"/>
      <c r="J291" s="37" t="n"/>
      <c r="K291" s="37" t="n"/>
      <c r="L291" s="36" t="n"/>
      <c r="M291" s="36" t="n"/>
      <c r="N291" s="33">
        <f>IF(M291="","",M291*LotSize)</f>
        <v/>
      </c>
      <c r="O291" s="51" t="n"/>
      <c r="P291" s="32" t="n"/>
      <c r="Q291" s="29" t="n"/>
      <c r="R291" s="30">
        <f>IF(OR(G291="",Q291="",H291=""),"",IF(H291="CE",G291-Q291,Q291-G291))</f>
        <v/>
      </c>
      <c r="S291" s="31">
        <f>IF(R291="","",R291/Q291)</f>
        <v/>
      </c>
      <c r="T291" s="38" t="n"/>
      <c r="U291" s="32" t="n"/>
      <c r="V291" s="52" t="n"/>
      <c r="W291" s="37" t="n"/>
      <c r="X291" s="32" t="n"/>
      <c r="Y291" s="32" t="n"/>
      <c r="Z291" s="39">
        <f>IF(OR(X291="",P291="",N291=""),"",ABS(X291-P291)*N291)</f>
        <v/>
      </c>
      <c r="AA291" s="53">
        <f>IF(OR(Z291="",Y291=""),"",IF(Z291=0,"",ABS(P291-Y291)*N291/Z291))</f>
        <v/>
      </c>
      <c r="AB291" s="54">
        <f>IF(Z291="","",Z291/Capital)</f>
        <v/>
      </c>
      <c r="AC291" s="5">
        <f>IF(B291="","",IF(X291="","NO SL",IF(OR(N(M291)&gt;MaxLots,N(AB291)&gt;RiskPct),"OVERSIZED","OK")))</f>
        <v/>
      </c>
      <c r="AD291" s="51" t="n"/>
      <c r="AE291" s="32" t="n"/>
      <c r="AF291" s="37" t="n"/>
      <c r="AG291" s="32" t="n"/>
      <c r="AH291" s="32" t="n"/>
      <c r="AI291" s="39">
        <f>IF(OR(AG291="",P291="",N291=""),"",ABS(AG291-P291)*N291)</f>
        <v/>
      </c>
      <c r="AJ291" s="39">
        <f>IF(OR(AH291="",P291="",N291=""),"",ABS(P291-AH291)*N291)</f>
        <v/>
      </c>
      <c r="AK291" s="39">
        <f>IF(OR(AE291="",P291="",N291=""),"",IF(I291="Buy",AE291-P291,P291-AE291)*N291)</f>
        <v/>
      </c>
      <c r="AL291" s="39">
        <f>IF(OR(AJ291="",AK291=""),"",MAX(0,AJ291-AK291))</f>
        <v/>
      </c>
      <c r="AM291" s="39">
        <f>IF(AK291="","",(P291+AE291)*N291)</f>
        <v/>
      </c>
      <c r="AN291" s="55">
        <f>IF(AK291="","",BrokeragePerOrder*2*MAX(1,N(L291)))</f>
        <v/>
      </c>
      <c r="AO291" s="55">
        <f>IF(AK291="","",STTRate*IF(I291="Buy",AE291,P291)*N291)</f>
        <v/>
      </c>
      <c r="AP291" s="55">
        <f>IF(AK291="","",ExchRate*AM291)</f>
        <v/>
      </c>
      <c r="AQ291" s="55">
        <f>IF(AK291="","",SEBIRate*AM291)</f>
        <v/>
      </c>
      <c r="AR291" s="55">
        <f>IF(AK291="","",StampRate*IF(I291="Buy",P291,AE291)*N291)</f>
        <v/>
      </c>
      <c r="AS291" s="55">
        <f>IF(AK291="","",GSTRate*(AN291+AP291+AQ291))</f>
        <v/>
      </c>
      <c r="AT291" s="55">
        <f>IF(AK291="","",AN291+AO291+AP291+AQ291+AR291+AS291)</f>
        <v/>
      </c>
      <c r="AU291" s="39">
        <f>IF(AK291="","",AK291-AT291)</f>
        <v/>
      </c>
      <c r="AV291" s="56">
        <f>IF(AU291="","",AU291/IF(N(Z291)&gt;0,Z291,RiskPerTrade))</f>
        <v/>
      </c>
      <c r="AW291" s="31">
        <f>IF(AU291="","",AU291/Capital)</f>
        <v/>
      </c>
      <c r="AX291" s="37" t="n"/>
      <c r="AY291" s="37" t="n"/>
      <c r="AZ291" s="37" t="n"/>
      <c r="BA291" s="37" t="n"/>
      <c r="BB291" s="37" t="n"/>
      <c r="BC291" s="37" t="n"/>
      <c r="BD291" s="37" t="n"/>
      <c r="BE291" s="5">
        <f>IF(AU291="","",IF(AU291&gt;0,"Win",IF(AU291&lt;0,"Loss","BE")))</f>
        <v/>
      </c>
      <c r="BF291" s="5">
        <f>IF(O291="","",LOOKUP(O291,List_BucketStart,List_BucketLabel))</f>
        <v/>
      </c>
      <c r="BG291" s="57">
        <f>IF(B291="","",B291-WEEKDAY(B291,3))</f>
        <v/>
      </c>
      <c r="BH291" s="28">
        <f>IF(B291="","",COUNTIF($B$6:B291,B291))</f>
        <v/>
      </c>
      <c r="BI291" s="39">
        <f>IF(B291="","",SUMIFS($AU$6:AU291,$B$6:B291,B291)-N(AU291))</f>
        <v/>
      </c>
      <c r="BJ291" s="5">
        <f>IF(OR(B291="",E291=""),"",IF(AND(E291=0,I291="Sell",MAX(N(O291),N(AD291))&gt;ExpiryCutoff),"BREACH","OK"))</f>
        <v/>
      </c>
      <c r="BK291" s="5">
        <f>IF(B291="","",IF(OR(AC291&lt;&gt;"OK",BJ291="BREACH",BH291&gt;MaxTradesDay,BI291&lt;=-DailyLossLimit,OR(AF291="Panic",AF291="Revenge",AF291="Rule break")),"CHECK","OK"))</f>
        <v/>
      </c>
      <c r="BL291" s="39">
        <f>IF(AU291="","",SUM($AU$6:AU291))</f>
        <v/>
      </c>
      <c r="BM291" s="39">
        <f>IF(BL291="","",Capital+BL291)</f>
        <v/>
      </c>
      <c r="BN291" s="39">
        <f>IF(BM291="","",MAX(Capital,MAX($BM$6:BM291)))</f>
        <v/>
      </c>
      <c r="BO291" s="39">
        <f>IF(BM291="","",BN291-BM291)</f>
        <v/>
      </c>
      <c r="BP291" s="58">
        <f>IF(BO291="","",BO291/BN291)</f>
        <v/>
      </c>
      <c r="BQ291" s="28">
        <f>IF(AU291="","",IF(AU291&lt;0,N(BQ290)+1,0))</f>
        <v/>
      </c>
    </row>
    <row r="292">
      <c r="A292" s="28">
        <f>IF(B292="","",COUNT($B$6:B292))</f>
        <v/>
      </c>
      <c r="B292" s="27" t="n"/>
      <c r="C292" s="5">
        <f>IF(B292="","",TEXT(B292,"ddd"))</f>
        <v/>
      </c>
      <c r="D292" s="27" t="n"/>
      <c r="E292" s="28">
        <f>IF(OR(B292="",D292=""),"",MAX(0,NETWORKDAYS(B292,D292)-1))</f>
        <v/>
      </c>
      <c r="F292" s="37" t="n"/>
      <c r="G292" s="36" t="n"/>
      <c r="H292" s="37" t="n"/>
      <c r="I292" s="37" t="n"/>
      <c r="J292" s="37" t="n"/>
      <c r="K292" s="37" t="n"/>
      <c r="L292" s="36" t="n"/>
      <c r="M292" s="36" t="n"/>
      <c r="N292" s="33">
        <f>IF(M292="","",M292*LotSize)</f>
        <v/>
      </c>
      <c r="O292" s="51" t="n"/>
      <c r="P292" s="32" t="n"/>
      <c r="Q292" s="29" t="n"/>
      <c r="R292" s="30">
        <f>IF(OR(G292="",Q292="",H292=""),"",IF(H292="CE",G292-Q292,Q292-G292))</f>
        <v/>
      </c>
      <c r="S292" s="31">
        <f>IF(R292="","",R292/Q292)</f>
        <v/>
      </c>
      <c r="T292" s="38" t="n"/>
      <c r="U292" s="32" t="n"/>
      <c r="V292" s="52" t="n"/>
      <c r="W292" s="37" t="n"/>
      <c r="X292" s="32" t="n"/>
      <c r="Y292" s="32" t="n"/>
      <c r="Z292" s="39">
        <f>IF(OR(X292="",P292="",N292=""),"",ABS(X292-P292)*N292)</f>
        <v/>
      </c>
      <c r="AA292" s="53">
        <f>IF(OR(Z292="",Y292=""),"",IF(Z292=0,"",ABS(P292-Y292)*N292/Z292))</f>
        <v/>
      </c>
      <c r="AB292" s="54">
        <f>IF(Z292="","",Z292/Capital)</f>
        <v/>
      </c>
      <c r="AC292" s="5">
        <f>IF(B292="","",IF(X292="","NO SL",IF(OR(N(M292)&gt;MaxLots,N(AB292)&gt;RiskPct),"OVERSIZED","OK")))</f>
        <v/>
      </c>
      <c r="AD292" s="51" t="n"/>
      <c r="AE292" s="32" t="n"/>
      <c r="AF292" s="37" t="n"/>
      <c r="AG292" s="32" t="n"/>
      <c r="AH292" s="32" t="n"/>
      <c r="AI292" s="39">
        <f>IF(OR(AG292="",P292="",N292=""),"",ABS(AG292-P292)*N292)</f>
        <v/>
      </c>
      <c r="AJ292" s="39">
        <f>IF(OR(AH292="",P292="",N292=""),"",ABS(P292-AH292)*N292)</f>
        <v/>
      </c>
      <c r="AK292" s="39">
        <f>IF(OR(AE292="",P292="",N292=""),"",IF(I292="Buy",AE292-P292,P292-AE292)*N292)</f>
        <v/>
      </c>
      <c r="AL292" s="39">
        <f>IF(OR(AJ292="",AK292=""),"",MAX(0,AJ292-AK292))</f>
        <v/>
      </c>
      <c r="AM292" s="39">
        <f>IF(AK292="","",(P292+AE292)*N292)</f>
        <v/>
      </c>
      <c r="AN292" s="55">
        <f>IF(AK292="","",BrokeragePerOrder*2*MAX(1,N(L292)))</f>
        <v/>
      </c>
      <c r="AO292" s="55">
        <f>IF(AK292="","",STTRate*IF(I292="Buy",AE292,P292)*N292)</f>
        <v/>
      </c>
      <c r="AP292" s="55">
        <f>IF(AK292="","",ExchRate*AM292)</f>
        <v/>
      </c>
      <c r="AQ292" s="55">
        <f>IF(AK292="","",SEBIRate*AM292)</f>
        <v/>
      </c>
      <c r="AR292" s="55">
        <f>IF(AK292="","",StampRate*IF(I292="Buy",P292,AE292)*N292)</f>
        <v/>
      </c>
      <c r="AS292" s="55">
        <f>IF(AK292="","",GSTRate*(AN292+AP292+AQ292))</f>
        <v/>
      </c>
      <c r="AT292" s="55">
        <f>IF(AK292="","",AN292+AO292+AP292+AQ292+AR292+AS292)</f>
        <v/>
      </c>
      <c r="AU292" s="39">
        <f>IF(AK292="","",AK292-AT292)</f>
        <v/>
      </c>
      <c r="AV292" s="56">
        <f>IF(AU292="","",AU292/IF(N(Z292)&gt;0,Z292,RiskPerTrade))</f>
        <v/>
      </c>
      <c r="AW292" s="31">
        <f>IF(AU292="","",AU292/Capital)</f>
        <v/>
      </c>
      <c r="AX292" s="37" t="n"/>
      <c r="AY292" s="37" t="n"/>
      <c r="AZ292" s="37" t="n"/>
      <c r="BA292" s="37" t="n"/>
      <c r="BB292" s="37" t="n"/>
      <c r="BC292" s="37" t="n"/>
      <c r="BD292" s="37" t="n"/>
      <c r="BE292" s="5">
        <f>IF(AU292="","",IF(AU292&gt;0,"Win",IF(AU292&lt;0,"Loss","BE")))</f>
        <v/>
      </c>
      <c r="BF292" s="5">
        <f>IF(O292="","",LOOKUP(O292,List_BucketStart,List_BucketLabel))</f>
        <v/>
      </c>
      <c r="BG292" s="57">
        <f>IF(B292="","",B292-WEEKDAY(B292,3))</f>
        <v/>
      </c>
      <c r="BH292" s="28">
        <f>IF(B292="","",COUNTIF($B$6:B292,B292))</f>
        <v/>
      </c>
      <c r="BI292" s="39">
        <f>IF(B292="","",SUMIFS($AU$6:AU292,$B$6:B292,B292)-N(AU292))</f>
        <v/>
      </c>
      <c r="BJ292" s="5">
        <f>IF(OR(B292="",E292=""),"",IF(AND(E292=0,I292="Sell",MAX(N(O292),N(AD292))&gt;ExpiryCutoff),"BREACH","OK"))</f>
        <v/>
      </c>
      <c r="BK292" s="5">
        <f>IF(B292="","",IF(OR(AC292&lt;&gt;"OK",BJ292="BREACH",BH292&gt;MaxTradesDay,BI292&lt;=-DailyLossLimit,OR(AF292="Panic",AF292="Revenge",AF292="Rule break")),"CHECK","OK"))</f>
        <v/>
      </c>
      <c r="BL292" s="39">
        <f>IF(AU292="","",SUM($AU$6:AU292))</f>
        <v/>
      </c>
      <c r="BM292" s="39">
        <f>IF(BL292="","",Capital+BL292)</f>
        <v/>
      </c>
      <c r="BN292" s="39">
        <f>IF(BM292="","",MAX(Capital,MAX($BM$6:BM292)))</f>
        <v/>
      </c>
      <c r="BO292" s="39">
        <f>IF(BM292="","",BN292-BM292)</f>
        <v/>
      </c>
      <c r="BP292" s="58">
        <f>IF(BO292="","",BO292/BN292)</f>
        <v/>
      </c>
      <c r="BQ292" s="28">
        <f>IF(AU292="","",IF(AU292&lt;0,N(BQ291)+1,0))</f>
        <v/>
      </c>
    </row>
    <row r="293">
      <c r="A293" s="28">
        <f>IF(B293="","",COUNT($B$6:B293))</f>
        <v/>
      </c>
      <c r="B293" s="27" t="n"/>
      <c r="C293" s="5">
        <f>IF(B293="","",TEXT(B293,"ddd"))</f>
        <v/>
      </c>
      <c r="D293" s="27" t="n"/>
      <c r="E293" s="28">
        <f>IF(OR(B293="",D293=""),"",MAX(0,NETWORKDAYS(B293,D293)-1))</f>
        <v/>
      </c>
      <c r="F293" s="37" t="n"/>
      <c r="G293" s="36" t="n"/>
      <c r="H293" s="37" t="n"/>
      <c r="I293" s="37" t="n"/>
      <c r="J293" s="37" t="n"/>
      <c r="K293" s="37" t="n"/>
      <c r="L293" s="36" t="n"/>
      <c r="M293" s="36" t="n"/>
      <c r="N293" s="33">
        <f>IF(M293="","",M293*LotSize)</f>
        <v/>
      </c>
      <c r="O293" s="51" t="n"/>
      <c r="P293" s="32" t="n"/>
      <c r="Q293" s="29" t="n"/>
      <c r="R293" s="30">
        <f>IF(OR(G293="",Q293="",H293=""),"",IF(H293="CE",G293-Q293,Q293-G293))</f>
        <v/>
      </c>
      <c r="S293" s="31">
        <f>IF(R293="","",R293/Q293)</f>
        <v/>
      </c>
      <c r="T293" s="38" t="n"/>
      <c r="U293" s="32" t="n"/>
      <c r="V293" s="52" t="n"/>
      <c r="W293" s="37" t="n"/>
      <c r="X293" s="32" t="n"/>
      <c r="Y293" s="32" t="n"/>
      <c r="Z293" s="39">
        <f>IF(OR(X293="",P293="",N293=""),"",ABS(X293-P293)*N293)</f>
        <v/>
      </c>
      <c r="AA293" s="53">
        <f>IF(OR(Z293="",Y293=""),"",IF(Z293=0,"",ABS(P293-Y293)*N293/Z293))</f>
        <v/>
      </c>
      <c r="AB293" s="54">
        <f>IF(Z293="","",Z293/Capital)</f>
        <v/>
      </c>
      <c r="AC293" s="5">
        <f>IF(B293="","",IF(X293="","NO SL",IF(OR(N(M293)&gt;MaxLots,N(AB293)&gt;RiskPct),"OVERSIZED","OK")))</f>
        <v/>
      </c>
      <c r="AD293" s="51" t="n"/>
      <c r="AE293" s="32" t="n"/>
      <c r="AF293" s="37" t="n"/>
      <c r="AG293" s="32" t="n"/>
      <c r="AH293" s="32" t="n"/>
      <c r="AI293" s="39">
        <f>IF(OR(AG293="",P293="",N293=""),"",ABS(AG293-P293)*N293)</f>
        <v/>
      </c>
      <c r="AJ293" s="39">
        <f>IF(OR(AH293="",P293="",N293=""),"",ABS(P293-AH293)*N293)</f>
        <v/>
      </c>
      <c r="AK293" s="39">
        <f>IF(OR(AE293="",P293="",N293=""),"",IF(I293="Buy",AE293-P293,P293-AE293)*N293)</f>
        <v/>
      </c>
      <c r="AL293" s="39">
        <f>IF(OR(AJ293="",AK293=""),"",MAX(0,AJ293-AK293))</f>
        <v/>
      </c>
      <c r="AM293" s="39">
        <f>IF(AK293="","",(P293+AE293)*N293)</f>
        <v/>
      </c>
      <c r="AN293" s="55">
        <f>IF(AK293="","",BrokeragePerOrder*2*MAX(1,N(L293)))</f>
        <v/>
      </c>
      <c r="AO293" s="55">
        <f>IF(AK293="","",STTRate*IF(I293="Buy",AE293,P293)*N293)</f>
        <v/>
      </c>
      <c r="AP293" s="55">
        <f>IF(AK293="","",ExchRate*AM293)</f>
        <v/>
      </c>
      <c r="AQ293" s="55">
        <f>IF(AK293="","",SEBIRate*AM293)</f>
        <v/>
      </c>
      <c r="AR293" s="55">
        <f>IF(AK293="","",StampRate*IF(I293="Buy",P293,AE293)*N293)</f>
        <v/>
      </c>
      <c r="AS293" s="55">
        <f>IF(AK293="","",GSTRate*(AN293+AP293+AQ293))</f>
        <v/>
      </c>
      <c r="AT293" s="55">
        <f>IF(AK293="","",AN293+AO293+AP293+AQ293+AR293+AS293)</f>
        <v/>
      </c>
      <c r="AU293" s="39">
        <f>IF(AK293="","",AK293-AT293)</f>
        <v/>
      </c>
      <c r="AV293" s="56">
        <f>IF(AU293="","",AU293/IF(N(Z293)&gt;0,Z293,RiskPerTrade))</f>
        <v/>
      </c>
      <c r="AW293" s="31">
        <f>IF(AU293="","",AU293/Capital)</f>
        <v/>
      </c>
      <c r="AX293" s="37" t="n"/>
      <c r="AY293" s="37" t="n"/>
      <c r="AZ293" s="37" t="n"/>
      <c r="BA293" s="37" t="n"/>
      <c r="BB293" s="37" t="n"/>
      <c r="BC293" s="37" t="n"/>
      <c r="BD293" s="37" t="n"/>
      <c r="BE293" s="5">
        <f>IF(AU293="","",IF(AU293&gt;0,"Win",IF(AU293&lt;0,"Loss","BE")))</f>
        <v/>
      </c>
      <c r="BF293" s="5">
        <f>IF(O293="","",LOOKUP(O293,List_BucketStart,List_BucketLabel))</f>
        <v/>
      </c>
      <c r="BG293" s="57">
        <f>IF(B293="","",B293-WEEKDAY(B293,3))</f>
        <v/>
      </c>
      <c r="BH293" s="28">
        <f>IF(B293="","",COUNTIF($B$6:B293,B293))</f>
        <v/>
      </c>
      <c r="BI293" s="39">
        <f>IF(B293="","",SUMIFS($AU$6:AU293,$B$6:B293,B293)-N(AU293))</f>
        <v/>
      </c>
      <c r="BJ293" s="5">
        <f>IF(OR(B293="",E293=""),"",IF(AND(E293=0,I293="Sell",MAX(N(O293),N(AD293))&gt;ExpiryCutoff),"BREACH","OK"))</f>
        <v/>
      </c>
      <c r="BK293" s="5">
        <f>IF(B293="","",IF(OR(AC293&lt;&gt;"OK",BJ293="BREACH",BH293&gt;MaxTradesDay,BI293&lt;=-DailyLossLimit,OR(AF293="Panic",AF293="Revenge",AF293="Rule break")),"CHECK","OK"))</f>
        <v/>
      </c>
      <c r="BL293" s="39">
        <f>IF(AU293="","",SUM($AU$6:AU293))</f>
        <v/>
      </c>
      <c r="BM293" s="39">
        <f>IF(BL293="","",Capital+BL293)</f>
        <v/>
      </c>
      <c r="BN293" s="39">
        <f>IF(BM293="","",MAX(Capital,MAX($BM$6:BM293)))</f>
        <v/>
      </c>
      <c r="BO293" s="39">
        <f>IF(BM293="","",BN293-BM293)</f>
        <v/>
      </c>
      <c r="BP293" s="58">
        <f>IF(BO293="","",BO293/BN293)</f>
        <v/>
      </c>
      <c r="BQ293" s="28">
        <f>IF(AU293="","",IF(AU293&lt;0,N(BQ292)+1,0))</f>
        <v/>
      </c>
    </row>
    <row r="294">
      <c r="A294" s="28">
        <f>IF(B294="","",COUNT($B$6:B294))</f>
        <v/>
      </c>
      <c r="B294" s="27" t="n"/>
      <c r="C294" s="5">
        <f>IF(B294="","",TEXT(B294,"ddd"))</f>
        <v/>
      </c>
      <c r="D294" s="27" t="n"/>
      <c r="E294" s="28">
        <f>IF(OR(B294="",D294=""),"",MAX(0,NETWORKDAYS(B294,D294)-1))</f>
        <v/>
      </c>
      <c r="F294" s="37" t="n"/>
      <c r="G294" s="36" t="n"/>
      <c r="H294" s="37" t="n"/>
      <c r="I294" s="37" t="n"/>
      <c r="J294" s="37" t="n"/>
      <c r="K294" s="37" t="n"/>
      <c r="L294" s="36" t="n"/>
      <c r="M294" s="36" t="n"/>
      <c r="N294" s="33">
        <f>IF(M294="","",M294*LotSize)</f>
        <v/>
      </c>
      <c r="O294" s="51" t="n"/>
      <c r="P294" s="32" t="n"/>
      <c r="Q294" s="29" t="n"/>
      <c r="R294" s="30">
        <f>IF(OR(G294="",Q294="",H294=""),"",IF(H294="CE",G294-Q294,Q294-G294))</f>
        <v/>
      </c>
      <c r="S294" s="31">
        <f>IF(R294="","",R294/Q294)</f>
        <v/>
      </c>
      <c r="T294" s="38" t="n"/>
      <c r="U294" s="32" t="n"/>
      <c r="V294" s="52" t="n"/>
      <c r="W294" s="37" t="n"/>
      <c r="X294" s="32" t="n"/>
      <c r="Y294" s="32" t="n"/>
      <c r="Z294" s="39">
        <f>IF(OR(X294="",P294="",N294=""),"",ABS(X294-P294)*N294)</f>
        <v/>
      </c>
      <c r="AA294" s="53">
        <f>IF(OR(Z294="",Y294=""),"",IF(Z294=0,"",ABS(P294-Y294)*N294/Z294))</f>
        <v/>
      </c>
      <c r="AB294" s="54">
        <f>IF(Z294="","",Z294/Capital)</f>
        <v/>
      </c>
      <c r="AC294" s="5">
        <f>IF(B294="","",IF(X294="","NO SL",IF(OR(N(M294)&gt;MaxLots,N(AB294)&gt;RiskPct),"OVERSIZED","OK")))</f>
        <v/>
      </c>
      <c r="AD294" s="51" t="n"/>
      <c r="AE294" s="32" t="n"/>
      <c r="AF294" s="37" t="n"/>
      <c r="AG294" s="32" t="n"/>
      <c r="AH294" s="32" t="n"/>
      <c r="AI294" s="39">
        <f>IF(OR(AG294="",P294="",N294=""),"",ABS(AG294-P294)*N294)</f>
        <v/>
      </c>
      <c r="AJ294" s="39">
        <f>IF(OR(AH294="",P294="",N294=""),"",ABS(P294-AH294)*N294)</f>
        <v/>
      </c>
      <c r="AK294" s="39">
        <f>IF(OR(AE294="",P294="",N294=""),"",IF(I294="Buy",AE294-P294,P294-AE294)*N294)</f>
        <v/>
      </c>
      <c r="AL294" s="39">
        <f>IF(OR(AJ294="",AK294=""),"",MAX(0,AJ294-AK294))</f>
        <v/>
      </c>
      <c r="AM294" s="39">
        <f>IF(AK294="","",(P294+AE294)*N294)</f>
        <v/>
      </c>
      <c r="AN294" s="55">
        <f>IF(AK294="","",BrokeragePerOrder*2*MAX(1,N(L294)))</f>
        <v/>
      </c>
      <c r="AO294" s="55">
        <f>IF(AK294="","",STTRate*IF(I294="Buy",AE294,P294)*N294)</f>
        <v/>
      </c>
      <c r="AP294" s="55">
        <f>IF(AK294="","",ExchRate*AM294)</f>
        <v/>
      </c>
      <c r="AQ294" s="55">
        <f>IF(AK294="","",SEBIRate*AM294)</f>
        <v/>
      </c>
      <c r="AR294" s="55">
        <f>IF(AK294="","",StampRate*IF(I294="Buy",P294,AE294)*N294)</f>
        <v/>
      </c>
      <c r="AS294" s="55">
        <f>IF(AK294="","",GSTRate*(AN294+AP294+AQ294))</f>
        <v/>
      </c>
      <c r="AT294" s="55">
        <f>IF(AK294="","",AN294+AO294+AP294+AQ294+AR294+AS294)</f>
        <v/>
      </c>
      <c r="AU294" s="39">
        <f>IF(AK294="","",AK294-AT294)</f>
        <v/>
      </c>
      <c r="AV294" s="56">
        <f>IF(AU294="","",AU294/IF(N(Z294)&gt;0,Z294,RiskPerTrade))</f>
        <v/>
      </c>
      <c r="AW294" s="31">
        <f>IF(AU294="","",AU294/Capital)</f>
        <v/>
      </c>
      <c r="AX294" s="37" t="n"/>
      <c r="AY294" s="37" t="n"/>
      <c r="AZ294" s="37" t="n"/>
      <c r="BA294" s="37" t="n"/>
      <c r="BB294" s="37" t="n"/>
      <c r="BC294" s="37" t="n"/>
      <c r="BD294" s="37" t="n"/>
      <c r="BE294" s="5">
        <f>IF(AU294="","",IF(AU294&gt;0,"Win",IF(AU294&lt;0,"Loss","BE")))</f>
        <v/>
      </c>
      <c r="BF294" s="5">
        <f>IF(O294="","",LOOKUP(O294,List_BucketStart,List_BucketLabel))</f>
        <v/>
      </c>
      <c r="BG294" s="57">
        <f>IF(B294="","",B294-WEEKDAY(B294,3))</f>
        <v/>
      </c>
      <c r="BH294" s="28">
        <f>IF(B294="","",COUNTIF($B$6:B294,B294))</f>
        <v/>
      </c>
      <c r="BI294" s="39">
        <f>IF(B294="","",SUMIFS($AU$6:AU294,$B$6:B294,B294)-N(AU294))</f>
        <v/>
      </c>
      <c r="BJ294" s="5">
        <f>IF(OR(B294="",E294=""),"",IF(AND(E294=0,I294="Sell",MAX(N(O294),N(AD294))&gt;ExpiryCutoff),"BREACH","OK"))</f>
        <v/>
      </c>
      <c r="BK294" s="5">
        <f>IF(B294="","",IF(OR(AC294&lt;&gt;"OK",BJ294="BREACH",BH294&gt;MaxTradesDay,BI294&lt;=-DailyLossLimit,OR(AF294="Panic",AF294="Revenge",AF294="Rule break")),"CHECK","OK"))</f>
        <v/>
      </c>
      <c r="BL294" s="39">
        <f>IF(AU294="","",SUM($AU$6:AU294))</f>
        <v/>
      </c>
      <c r="BM294" s="39">
        <f>IF(BL294="","",Capital+BL294)</f>
        <v/>
      </c>
      <c r="BN294" s="39">
        <f>IF(BM294="","",MAX(Capital,MAX($BM$6:BM294)))</f>
        <v/>
      </c>
      <c r="BO294" s="39">
        <f>IF(BM294="","",BN294-BM294)</f>
        <v/>
      </c>
      <c r="BP294" s="58">
        <f>IF(BO294="","",BO294/BN294)</f>
        <v/>
      </c>
      <c r="BQ294" s="28">
        <f>IF(AU294="","",IF(AU294&lt;0,N(BQ293)+1,0))</f>
        <v/>
      </c>
    </row>
    <row r="295">
      <c r="A295" s="28">
        <f>IF(B295="","",COUNT($B$6:B295))</f>
        <v/>
      </c>
      <c r="B295" s="27" t="n"/>
      <c r="C295" s="5">
        <f>IF(B295="","",TEXT(B295,"ddd"))</f>
        <v/>
      </c>
      <c r="D295" s="27" t="n"/>
      <c r="E295" s="28">
        <f>IF(OR(B295="",D295=""),"",MAX(0,NETWORKDAYS(B295,D295)-1))</f>
        <v/>
      </c>
      <c r="F295" s="37" t="n"/>
      <c r="G295" s="36" t="n"/>
      <c r="H295" s="37" t="n"/>
      <c r="I295" s="37" t="n"/>
      <c r="J295" s="37" t="n"/>
      <c r="K295" s="37" t="n"/>
      <c r="L295" s="36" t="n"/>
      <c r="M295" s="36" t="n"/>
      <c r="N295" s="33">
        <f>IF(M295="","",M295*LotSize)</f>
        <v/>
      </c>
      <c r="O295" s="51" t="n"/>
      <c r="P295" s="32" t="n"/>
      <c r="Q295" s="29" t="n"/>
      <c r="R295" s="30">
        <f>IF(OR(G295="",Q295="",H295=""),"",IF(H295="CE",G295-Q295,Q295-G295))</f>
        <v/>
      </c>
      <c r="S295" s="31">
        <f>IF(R295="","",R295/Q295)</f>
        <v/>
      </c>
      <c r="T295" s="38" t="n"/>
      <c r="U295" s="32" t="n"/>
      <c r="V295" s="52" t="n"/>
      <c r="W295" s="37" t="n"/>
      <c r="X295" s="32" t="n"/>
      <c r="Y295" s="32" t="n"/>
      <c r="Z295" s="39">
        <f>IF(OR(X295="",P295="",N295=""),"",ABS(X295-P295)*N295)</f>
        <v/>
      </c>
      <c r="AA295" s="53">
        <f>IF(OR(Z295="",Y295=""),"",IF(Z295=0,"",ABS(P295-Y295)*N295/Z295))</f>
        <v/>
      </c>
      <c r="AB295" s="54">
        <f>IF(Z295="","",Z295/Capital)</f>
        <v/>
      </c>
      <c r="AC295" s="5">
        <f>IF(B295="","",IF(X295="","NO SL",IF(OR(N(M295)&gt;MaxLots,N(AB295)&gt;RiskPct),"OVERSIZED","OK")))</f>
        <v/>
      </c>
      <c r="AD295" s="51" t="n"/>
      <c r="AE295" s="32" t="n"/>
      <c r="AF295" s="37" t="n"/>
      <c r="AG295" s="32" t="n"/>
      <c r="AH295" s="32" t="n"/>
      <c r="AI295" s="39">
        <f>IF(OR(AG295="",P295="",N295=""),"",ABS(AG295-P295)*N295)</f>
        <v/>
      </c>
      <c r="AJ295" s="39">
        <f>IF(OR(AH295="",P295="",N295=""),"",ABS(P295-AH295)*N295)</f>
        <v/>
      </c>
      <c r="AK295" s="39">
        <f>IF(OR(AE295="",P295="",N295=""),"",IF(I295="Buy",AE295-P295,P295-AE295)*N295)</f>
        <v/>
      </c>
      <c r="AL295" s="39">
        <f>IF(OR(AJ295="",AK295=""),"",MAX(0,AJ295-AK295))</f>
        <v/>
      </c>
      <c r="AM295" s="39">
        <f>IF(AK295="","",(P295+AE295)*N295)</f>
        <v/>
      </c>
      <c r="AN295" s="55">
        <f>IF(AK295="","",BrokeragePerOrder*2*MAX(1,N(L295)))</f>
        <v/>
      </c>
      <c r="AO295" s="55">
        <f>IF(AK295="","",STTRate*IF(I295="Buy",AE295,P295)*N295)</f>
        <v/>
      </c>
      <c r="AP295" s="55">
        <f>IF(AK295="","",ExchRate*AM295)</f>
        <v/>
      </c>
      <c r="AQ295" s="55">
        <f>IF(AK295="","",SEBIRate*AM295)</f>
        <v/>
      </c>
      <c r="AR295" s="55">
        <f>IF(AK295="","",StampRate*IF(I295="Buy",P295,AE295)*N295)</f>
        <v/>
      </c>
      <c r="AS295" s="55">
        <f>IF(AK295="","",GSTRate*(AN295+AP295+AQ295))</f>
        <v/>
      </c>
      <c r="AT295" s="55">
        <f>IF(AK295="","",AN295+AO295+AP295+AQ295+AR295+AS295)</f>
        <v/>
      </c>
      <c r="AU295" s="39">
        <f>IF(AK295="","",AK295-AT295)</f>
        <v/>
      </c>
      <c r="AV295" s="56">
        <f>IF(AU295="","",AU295/IF(N(Z295)&gt;0,Z295,RiskPerTrade))</f>
        <v/>
      </c>
      <c r="AW295" s="31">
        <f>IF(AU295="","",AU295/Capital)</f>
        <v/>
      </c>
      <c r="AX295" s="37" t="n"/>
      <c r="AY295" s="37" t="n"/>
      <c r="AZ295" s="37" t="n"/>
      <c r="BA295" s="37" t="n"/>
      <c r="BB295" s="37" t="n"/>
      <c r="BC295" s="37" t="n"/>
      <c r="BD295" s="37" t="n"/>
      <c r="BE295" s="5">
        <f>IF(AU295="","",IF(AU295&gt;0,"Win",IF(AU295&lt;0,"Loss","BE")))</f>
        <v/>
      </c>
      <c r="BF295" s="5">
        <f>IF(O295="","",LOOKUP(O295,List_BucketStart,List_BucketLabel))</f>
        <v/>
      </c>
      <c r="BG295" s="57">
        <f>IF(B295="","",B295-WEEKDAY(B295,3))</f>
        <v/>
      </c>
      <c r="BH295" s="28">
        <f>IF(B295="","",COUNTIF($B$6:B295,B295))</f>
        <v/>
      </c>
      <c r="BI295" s="39">
        <f>IF(B295="","",SUMIFS($AU$6:AU295,$B$6:B295,B295)-N(AU295))</f>
        <v/>
      </c>
      <c r="BJ295" s="5">
        <f>IF(OR(B295="",E295=""),"",IF(AND(E295=0,I295="Sell",MAX(N(O295),N(AD295))&gt;ExpiryCutoff),"BREACH","OK"))</f>
        <v/>
      </c>
      <c r="BK295" s="5">
        <f>IF(B295="","",IF(OR(AC295&lt;&gt;"OK",BJ295="BREACH",BH295&gt;MaxTradesDay,BI295&lt;=-DailyLossLimit,OR(AF295="Panic",AF295="Revenge",AF295="Rule break")),"CHECK","OK"))</f>
        <v/>
      </c>
      <c r="BL295" s="39">
        <f>IF(AU295="","",SUM($AU$6:AU295))</f>
        <v/>
      </c>
      <c r="BM295" s="39">
        <f>IF(BL295="","",Capital+BL295)</f>
        <v/>
      </c>
      <c r="BN295" s="39">
        <f>IF(BM295="","",MAX(Capital,MAX($BM$6:BM295)))</f>
        <v/>
      </c>
      <c r="BO295" s="39">
        <f>IF(BM295="","",BN295-BM295)</f>
        <v/>
      </c>
      <c r="BP295" s="58">
        <f>IF(BO295="","",BO295/BN295)</f>
        <v/>
      </c>
      <c r="BQ295" s="28">
        <f>IF(AU295="","",IF(AU295&lt;0,N(BQ294)+1,0))</f>
        <v/>
      </c>
    </row>
    <row r="296">
      <c r="A296" s="28">
        <f>IF(B296="","",COUNT($B$6:B296))</f>
        <v/>
      </c>
      <c r="B296" s="27" t="n"/>
      <c r="C296" s="5">
        <f>IF(B296="","",TEXT(B296,"ddd"))</f>
        <v/>
      </c>
      <c r="D296" s="27" t="n"/>
      <c r="E296" s="28">
        <f>IF(OR(B296="",D296=""),"",MAX(0,NETWORKDAYS(B296,D296)-1))</f>
        <v/>
      </c>
      <c r="F296" s="37" t="n"/>
      <c r="G296" s="36" t="n"/>
      <c r="H296" s="37" t="n"/>
      <c r="I296" s="37" t="n"/>
      <c r="J296" s="37" t="n"/>
      <c r="K296" s="37" t="n"/>
      <c r="L296" s="36" t="n"/>
      <c r="M296" s="36" t="n"/>
      <c r="N296" s="33">
        <f>IF(M296="","",M296*LotSize)</f>
        <v/>
      </c>
      <c r="O296" s="51" t="n"/>
      <c r="P296" s="32" t="n"/>
      <c r="Q296" s="29" t="n"/>
      <c r="R296" s="30">
        <f>IF(OR(G296="",Q296="",H296=""),"",IF(H296="CE",G296-Q296,Q296-G296))</f>
        <v/>
      </c>
      <c r="S296" s="31">
        <f>IF(R296="","",R296/Q296)</f>
        <v/>
      </c>
      <c r="T296" s="38" t="n"/>
      <c r="U296" s="32" t="n"/>
      <c r="V296" s="52" t="n"/>
      <c r="W296" s="37" t="n"/>
      <c r="X296" s="32" t="n"/>
      <c r="Y296" s="32" t="n"/>
      <c r="Z296" s="39">
        <f>IF(OR(X296="",P296="",N296=""),"",ABS(X296-P296)*N296)</f>
        <v/>
      </c>
      <c r="AA296" s="53">
        <f>IF(OR(Z296="",Y296=""),"",IF(Z296=0,"",ABS(P296-Y296)*N296/Z296))</f>
        <v/>
      </c>
      <c r="AB296" s="54">
        <f>IF(Z296="","",Z296/Capital)</f>
        <v/>
      </c>
      <c r="AC296" s="5">
        <f>IF(B296="","",IF(X296="","NO SL",IF(OR(N(M296)&gt;MaxLots,N(AB296)&gt;RiskPct),"OVERSIZED","OK")))</f>
        <v/>
      </c>
      <c r="AD296" s="51" t="n"/>
      <c r="AE296" s="32" t="n"/>
      <c r="AF296" s="37" t="n"/>
      <c r="AG296" s="32" t="n"/>
      <c r="AH296" s="32" t="n"/>
      <c r="AI296" s="39">
        <f>IF(OR(AG296="",P296="",N296=""),"",ABS(AG296-P296)*N296)</f>
        <v/>
      </c>
      <c r="AJ296" s="39">
        <f>IF(OR(AH296="",P296="",N296=""),"",ABS(P296-AH296)*N296)</f>
        <v/>
      </c>
      <c r="AK296" s="39">
        <f>IF(OR(AE296="",P296="",N296=""),"",IF(I296="Buy",AE296-P296,P296-AE296)*N296)</f>
        <v/>
      </c>
      <c r="AL296" s="39">
        <f>IF(OR(AJ296="",AK296=""),"",MAX(0,AJ296-AK296))</f>
        <v/>
      </c>
      <c r="AM296" s="39">
        <f>IF(AK296="","",(P296+AE296)*N296)</f>
        <v/>
      </c>
      <c r="AN296" s="55">
        <f>IF(AK296="","",BrokeragePerOrder*2*MAX(1,N(L296)))</f>
        <v/>
      </c>
      <c r="AO296" s="55">
        <f>IF(AK296="","",STTRate*IF(I296="Buy",AE296,P296)*N296)</f>
        <v/>
      </c>
      <c r="AP296" s="55">
        <f>IF(AK296="","",ExchRate*AM296)</f>
        <v/>
      </c>
      <c r="AQ296" s="55">
        <f>IF(AK296="","",SEBIRate*AM296)</f>
        <v/>
      </c>
      <c r="AR296" s="55">
        <f>IF(AK296="","",StampRate*IF(I296="Buy",P296,AE296)*N296)</f>
        <v/>
      </c>
      <c r="AS296" s="55">
        <f>IF(AK296="","",GSTRate*(AN296+AP296+AQ296))</f>
        <v/>
      </c>
      <c r="AT296" s="55">
        <f>IF(AK296="","",AN296+AO296+AP296+AQ296+AR296+AS296)</f>
        <v/>
      </c>
      <c r="AU296" s="39">
        <f>IF(AK296="","",AK296-AT296)</f>
        <v/>
      </c>
      <c r="AV296" s="56">
        <f>IF(AU296="","",AU296/IF(N(Z296)&gt;0,Z296,RiskPerTrade))</f>
        <v/>
      </c>
      <c r="AW296" s="31">
        <f>IF(AU296="","",AU296/Capital)</f>
        <v/>
      </c>
      <c r="AX296" s="37" t="n"/>
      <c r="AY296" s="37" t="n"/>
      <c r="AZ296" s="37" t="n"/>
      <c r="BA296" s="37" t="n"/>
      <c r="BB296" s="37" t="n"/>
      <c r="BC296" s="37" t="n"/>
      <c r="BD296" s="37" t="n"/>
      <c r="BE296" s="5">
        <f>IF(AU296="","",IF(AU296&gt;0,"Win",IF(AU296&lt;0,"Loss","BE")))</f>
        <v/>
      </c>
      <c r="BF296" s="5">
        <f>IF(O296="","",LOOKUP(O296,List_BucketStart,List_BucketLabel))</f>
        <v/>
      </c>
      <c r="BG296" s="57">
        <f>IF(B296="","",B296-WEEKDAY(B296,3))</f>
        <v/>
      </c>
      <c r="BH296" s="28">
        <f>IF(B296="","",COUNTIF($B$6:B296,B296))</f>
        <v/>
      </c>
      <c r="BI296" s="39">
        <f>IF(B296="","",SUMIFS($AU$6:AU296,$B$6:B296,B296)-N(AU296))</f>
        <v/>
      </c>
      <c r="BJ296" s="5">
        <f>IF(OR(B296="",E296=""),"",IF(AND(E296=0,I296="Sell",MAX(N(O296),N(AD296))&gt;ExpiryCutoff),"BREACH","OK"))</f>
        <v/>
      </c>
      <c r="BK296" s="5">
        <f>IF(B296="","",IF(OR(AC296&lt;&gt;"OK",BJ296="BREACH",BH296&gt;MaxTradesDay,BI296&lt;=-DailyLossLimit,OR(AF296="Panic",AF296="Revenge",AF296="Rule break")),"CHECK","OK"))</f>
        <v/>
      </c>
      <c r="BL296" s="39">
        <f>IF(AU296="","",SUM($AU$6:AU296))</f>
        <v/>
      </c>
      <c r="BM296" s="39">
        <f>IF(BL296="","",Capital+BL296)</f>
        <v/>
      </c>
      <c r="BN296" s="39">
        <f>IF(BM296="","",MAX(Capital,MAX($BM$6:BM296)))</f>
        <v/>
      </c>
      <c r="BO296" s="39">
        <f>IF(BM296="","",BN296-BM296)</f>
        <v/>
      </c>
      <c r="BP296" s="58">
        <f>IF(BO296="","",BO296/BN296)</f>
        <v/>
      </c>
      <c r="BQ296" s="28">
        <f>IF(AU296="","",IF(AU296&lt;0,N(BQ295)+1,0))</f>
        <v/>
      </c>
    </row>
    <row r="297">
      <c r="A297" s="28">
        <f>IF(B297="","",COUNT($B$6:B297))</f>
        <v/>
      </c>
      <c r="B297" s="27" t="n"/>
      <c r="C297" s="5">
        <f>IF(B297="","",TEXT(B297,"ddd"))</f>
        <v/>
      </c>
      <c r="D297" s="27" t="n"/>
      <c r="E297" s="28">
        <f>IF(OR(B297="",D297=""),"",MAX(0,NETWORKDAYS(B297,D297)-1))</f>
        <v/>
      </c>
      <c r="F297" s="37" t="n"/>
      <c r="G297" s="36" t="n"/>
      <c r="H297" s="37" t="n"/>
      <c r="I297" s="37" t="n"/>
      <c r="J297" s="37" t="n"/>
      <c r="K297" s="37" t="n"/>
      <c r="L297" s="36" t="n"/>
      <c r="M297" s="36" t="n"/>
      <c r="N297" s="33">
        <f>IF(M297="","",M297*LotSize)</f>
        <v/>
      </c>
      <c r="O297" s="51" t="n"/>
      <c r="P297" s="32" t="n"/>
      <c r="Q297" s="29" t="n"/>
      <c r="R297" s="30">
        <f>IF(OR(G297="",Q297="",H297=""),"",IF(H297="CE",G297-Q297,Q297-G297))</f>
        <v/>
      </c>
      <c r="S297" s="31">
        <f>IF(R297="","",R297/Q297)</f>
        <v/>
      </c>
      <c r="T297" s="38" t="n"/>
      <c r="U297" s="32" t="n"/>
      <c r="V297" s="52" t="n"/>
      <c r="W297" s="37" t="n"/>
      <c r="X297" s="32" t="n"/>
      <c r="Y297" s="32" t="n"/>
      <c r="Z297" s="39">
        <f>IF(OR(X297="",P297="",N297=""),"",ABS(X297-P297)*N297)</f>
        <v/>
      </c>
      <c r="AA297" s="53">
        <f>IF(OR(Z297="",Y297=""),"",IF(Z297=0,"",ABS(P297-Y297)*N297/Z297))</f>
        <v/>
      </c>
      <c r="AB297" s="54">
        <f>IF(Z297="","",Z297/Capital)</f>
        <v/>
      </c>
      <c r="AC297" s="5">
        <f>IF(B297="","",IF(X297="","NO SL",IF(OR(N(M297)&gt;MaxLots,N(AB297)&gt;RiskPct),"OVERSIZED","OK")))</f>
        <v/>
      </c>
      <c r="AD297" s="51" t="n"/>
      <c r="AE297" s="32" t="n"/>
      <c r="AF297" s="37" t="n"/>
      <c r="AG297" s="32" t="n"/>
      <c r="AH297" s="32" t="n"/>
      <c r="AI297" s="39">
        <f>IF(OR(AG297="",P297="",N297=""),"",ABS(AG297-P297)*N297)</f>
        <v/>
      </c>
      <c r="AJ297" s="39">
        <f>IF(OR(AH297="",P297="",N297=""),"",ABS(P297-AH297)*N297)</f>
        <v/>
      </c>
      <c r="AK297" s="39">
        <f>IF(OR(AE297="",P297="",N297=""),"",IF(I297="Buy",AE297-P297,P297-AE297)*N297)</f>
        <v/>
      </c>
      <c r="AL297" s="39">
        <f>IF(OR(AJ297="",AK297=""),"",MAX(0,AJ297-AK297))</f>
        <v/>
      </c>
      <c r="AM297" s="39">
        <f>IF(AK297="","",(P297+AE297)*N297)</f>
        <v/>
      </c>
      <c r="AN297" s="55">
        <f>IF(AK297="","",BrokeragePerOrder*2*MAX(1,N(L297)))</f>
        <v/>
      </c>
      <c r="AO297" s="55">
        <f>IF(AK297="","",STTRate*IF(I297="Buy",AE297,P297)*N297)</f>
        <v/>
      </c>
      <c r="AP297" s="55">
        <f>IF(AK297="","",ExchRate*AM297)</f>
        <v/>
      </c>
      <c r="AQ297" s="55">
        <f>IF(AK297="","",SEBIRate*AM297)</f>
        <v/>
      </c>
      <c r="AR297" s="55">
        <f>IF(AK297="","",StampRate*IF(I297="Buy",P297,AE297)*N297)</f>
        <v/>
      </c>
      <c r="AS297" s="55">
        <f>IF(AK297="","",GSTRate*(AN297+AP297+AQ297))</f>
        <v/>
      </c>
      <c r="AT297" s="55">
        <f>IF(AK297="","",AN297+AO297+AP297+AQ297+AR297+AS297)</f>
        <v/>
      </c>
      <c r="AU297" s="39">
        <f>IF(AK297="","",AK297-AT297)</f>
        <v/>
      </c>
      <c r="AV297" s="56">
        <f>IF(AU297="","",AU297/IF(N(Z297)&gt;0,Z297,RiskPerTrade))</f>
        <v/>
      </c>
      <c r="AW297" s="31">
        <f>IF(AU297="","",AU297/Capital)</f>
        <v/>
      </c>
      <c r="AX297" s="37" t="n"/>
      <c r="AY297" s="37" t="n"/>
      <c r="AZ297" s="37" t="n"/>
      <c r="BA297" s="37" t="n"/>
      <c r="BB297" s="37" t="n"/>
      <c r="BC297" s="37" t="n"/>
      <c r="BD297" s="37" t="n"/>
      <c r="BE297" s="5">
        <f>IF(AU297="","",IF(AU297&gt;0,"Win",IF(AU297&lt;0,"Loss","BE")))</f>
        <v/>
      </c>
      <c r="BF297" s="5">
        <f>IF(O297="","",LOOKUP(O297,List_BucketStart,List_BucketLabel))</f>
        <v/>
      </c>
      <c r="BG297" s="57">
        <f>IF(B297="","",B297-WEEKDAY(B297,3))</f>
        <v/>
      </c>
      <c r="BH297" s="28">
        <f>IF(B297="","",COUNTIF($B$6:B297,B297))</f>
        <v/>
      </c>
      <c r="BI297" s="39">
        <f>IF(B297="","",SUMIFS($AU$6:AU297,$B$6:B297,B297)-N(AU297))</f>
        <v/>
      </c>
      <c r="BJ297" s="5">
        <f>IF(OR(B297="",E297=""),"",IF(AND(E297=0,I297="Sell",MAX(N(O297),N(AD297))&gt;ExpiryCutoff),"BREACH","OK"))</f>
        <v/>
      </c>
      <c r="BK297" s="5">
        <f>IF(B297="","",IF(OR(AC297&lt;&gt;"OK",BJ297="BREACH",BH297&gt;MaxTradesDay,BI297&lt;=-DailyLossLimit,OR(AF297="Panic",AF297="Revenge",AF297="Rule break")),"CHECK","OK"))</f>
        <v/>
      </c>
      <c r="BL297" s="39">
        <f>IF(AU297="","",SUM($AU$6:AU297))</f>
        <v/>
      </c>
      <c r="BM297" s="39">
        <f>IF(BL297="","",Capital+BL297)</f>
        <v/>
      </c>
      <c r="BN297" s="39">
        <f>IF(BM297="","",MAX(Capital,MAX($BM$6:BM297)))</f>
        <v/>
      </c>
      <c r="BO297" s="39">
        <f>IF(BM297="","",BN297-BM297)</f>
        <v/>
      </c>
      <c r="BP297" s="58">
        <f>IF(BO297="","",BO297/BN297)</f>
        <v/>
      </c>
      <c r="BQ297" s="28">
        <f>IF(AU297="","",IF(AU297&lt;0,N(BQ296)+1,0))</f>
        <v/>
      </c>
    </row>
    <row r="298">
      <c r="A298" s="28">
        <f>IF(B298="","",COUNT($B$6:B298))</f>
        <v/>
      </c>
      <c r="B298" s="27" t="n"/>
      <c r="C298" s="5">
        <f>IF(B298="","",TEXT(B298,"ddd"))</f>
        <v/>
      </c>
      <c r="D298" s="27" t="n"/>
      <c r="E298" s="28">
        <f>IF(OR(B298="",D298=""),"",MAX(0,NETWORKDAYS(B298,D298)-1))</f>
        <v/>
      </c>
      <c r="F298" s="37" t="n"/>
      <c r="G298" s="36" t="n"/>
      <c r="H298" s="37" t="n"/>
      <c r="I298" s="37" t="n"/>
      <c r="J298" s="37" t="n"/>
      <c r="K298" s="37" t="n"/>
      <c r="L298" s="36" t="n"/>
      <c r="M298" s="36" t="n"/>
      <c r="N298" s="33">
        <f>IF(M298="","",M298*LotSize)</f>
        <v/>
      </c>
      <c r="O298" s="51" t="n"/>
      <c r="P298" s="32" t="n"/>
      <c r="Q298" s="29" t="n"/>
      <c r="R298" s="30">
        <f>IF(OR(G298="",Q298="",H298=""),"",IF(H298="CE",G298-Q298,Q298-G298))</f>
        <v/>
      </c>
      <c r="S298" s="31">
        <f>IF(R298="","",R298/Q298)</f>
        <v/>
      </c>
      <c r="T298" s="38" t="n"/>
      <c r="U298" s="32" t="n"/>
      <c r="V298" s="52" t="n"/>
      <c r="W298" s="37" t="n"/>
      <c r="X298" s="32" t="n"/>
      <c r="Y298" s="32" t="n"/>
      <c r="Z298" s="39">
        <f>IF(OR(X298="",P298="",N298=""),"",ABS(X298-P298)*N298)</f>
        <v/>
      </c>
      <c r="AA298" s="53">
        <f>IF(OR(Z298="",Y298=""),"",IF(Z298=0,"",ABS(P298-Y298)*N298/Z298))</f>
        <v/>
      </c>
      <c r="AB298" s="54">
        <f>IF(Z298="","",Z298/Capital)</f>
        <v/>
      </c>
      <c r="AC298" s="5">
        <f>IF(B298="","",IF(X298="","NO SL",IF(OR(N(M298)&gt;MaxLots,N(AB298)&gt;RiskPct),"OVERSIZED","OK")))</f>
        <v/>
      </c>
      <c r="AD298" s="51" t="n"/>
      <c r="AE298" s="32" t="n"/>
      <c r="AF298" s="37" t="n"/>
      <c r="AG298" s="32" t="n"/>
      <c r="AH298" s="32" t="n"/>
      <c r="AI298" s="39">
        <f>IF(OR(AG298="",P298="",N298=""),"",ABS(AG298-P298)*N298)</f>
        <v/>
      </c>
      <c r="AJ298" s="39">
        <f>IF(OR(AH298="",P298="",N298=""),"",ABS(P298-AH298)*N298)</f>
        <v/>
      </c>
      <c r="AK298" s="39">
        <f>IF(OR(AE298="",P298="",N298=""),"",IF(I298="Buy",AE298-P298,P298-AE298)*N298)</f>
        <v/>
      </c>
      <c r="AL298" s="39">
        <f>IF(OR(AJ298="",AK298=""),"",MAX(0,AJ298-AK298))</f>
        <v/>
      </c>
      <c r="AM298" s="39">
        <f>IF(AK298="","",(P298+AE298)*N298)</f>
        <v/>
      </c>
      <c r="AN298" s="55">
        <f>IF(AK298="","",BrokeragePerOrder*2*MAX(1,N(L298)))</f>
        <v/>
      </c>
      <c r="AO298" s="55">
        <f>IF(AK298="","",STTRate*IF(I298="Buy",AE298,P298)*N298)</f>
        <v/>
      </c>
      <c r="AP298" s="55">
        <f>IF(AK298="","",ExchRate*AM298)</f>
        <v/>
      </c>
      <c r="AQ298" s="55">
        <f>IF(AK298="","",SEBIRate*AM298)</f>
        <v/>
      </c>
      <c r="AR298" s="55">
        <f>IF(AK298="","",StampRate*IF(I298="Buy",P298,AE298)*N298)</f>
        <v/>
      </c>
      <c r="AS298" s="55">
        <f>IF(AK298="","",GSTRate*(AN298+AP298+AQ298))</f>
        <v/>
      </c>
      <c r="AT298" s="55">
        <f>IF(AK298="","",AN298+AO298+AP298+AQ298+AR298+AS298)</f>
        <v/>
      </c>
      <c r="AU298" s="39">
        <f>IF(AK298="","",AK298-AT298)</f>
        <v/>
      </c>
      <c r="AV298" s="56">
        <f>IF(AU298="","",AU298/IF(N(Z298)&gt;0,Z298,RiskPerTrade))</f>
        <v/>
      </c>
      <c r="AW298" s="31">
        <f>IF(AU298="","",AU298/Capital)</f>
        <v/>
      </c>
      <c r="AX298" s="37" t="n"/>
      <c r="AY298" s="37" t="n"/>
      <c r="AZ298" s="37" t="n"/>
      <c r="BA298" s="37" t="n"/>
      <c r="BB298" s="37" t="n"/>
      <c r="BC298" s="37" t="n"/>
      <c r="BD298" s="37" t="n"/>
      <c r="BE298" s="5">
        <f>IF(AU298="","",IF(AU298&gt;0,"Win",IF(AU298&lt;0,"Loss","BE")))</f>
        <v/>
      </c>
      <c r="BF298" s="5">
        <f>IF(O298="","",LOOKUP(O298,List_BucketStart,List_BucketLabel))</f>
        <v/>
      </c>
      <c r="BG298" s="57">
        <f>IF(B298="","",B298-WEEKDAY(B298,3))</f>
        <v/>
      </c>
      <c r="BH298" s="28">
        <f>IF(B298="","",COUNTIF($B$6:B298,B298))</f>
        <v/>
      </c>
      <c r="BI298" s="39">
        <f>IF(B298="","",SUMIFS($AU$6:AU298,$B$6:B298,B298)-N(AU298))</f>
        <v/>
      </c>
      <c r="BJ298" s="5">
        <f>IF(OR(B298="",E298=""),"",IF(AND(E298=0,I298="Sell",MAX(N(O298),N(AD298))&gt;ExpiryCutoff),"BREACH","OK"))</f>
        <v/>
      </c>
      <c r="BK298" s="5">
        <f>IF(B298="","",IF(OR(AC298&lt;&gt;"OK",BJ298="BREACH",BH298&gt;MaxTradesDay,BI298&lt;=-DailyLossLimit,OR(AF298="Panic",AF298="Revenge",AF298="Rule break")),"CHECK","OK"))</f>
        <v/>
      </c>
      <c r="BL298" s="39">
        <f>IF(AU298="","",SUM($AU$6:AU298))</f>
        <v/>
      </c>
      <c r="BM298" s="39">
        <f>IF(BL298="","",Capital+BL298)</f>
        <v/>
      </c>
      <c r="BN298" s="39">
        <f>IF(BM298="","",MAX(Capital,MAX($BM$6:BM298)))</f>
        <v/>
      </c>
      <c r="BO298" s="39">
        <f>IF(BM298="","",BN298-BM298)</f>
        <v/>
      </c>
      <c r="BP298" s="58">
        <f>IF(BO298="","",BO298/BN298)</f>
        <v/>
      </c>
      <c r="BQ298" s="28">
        <f>IF(AU298="","",IF(AU298&lt;0,N(BQ297)+1,0))</f>
        <v/>
      </c>
    </row>
    <row r="299">
      <c r="A299" s="28">
        <f>IF(B299="","",COUNT($B$6:B299))</f>
        <v/>
      </c>
      <c r="B299" s="27" t="n"/>
      <c r="C299" s="5">
        <f>IF(B299="","",TEXT(B299,"ddd"))</f>
        <v/>
      </c>
      <c r="D299" s="27" t="n"/>
      <c r="E299" s="28">
        <f>IF(OR(B299="",D299=""),"",MAX(0,NETWORKDAYS(B299,D299)-1))</f>
        <v/>
      </c>
      <c r="F299" s="37" t="n"/>
      <c r="G299" s="36" t="n"/>
      <c r="H299" s="37" t="n"/>
      <c r="I299" s="37" t="n"/>
      <c r="J299" s="37" t="n"/>
      <c r="K299" s="37" t="n"/>
      <c r="L299" s="36" t="n"/>
      <c r="M299" s="36" t="n"/>
      <c r="N299" s="33">
        <f>IF(M299="","",M299*LotSize)</f>
        <v/>
      </c>
      <c r="O299" s="51" t="n"/>
      <c r="P299" s="32" t="n"/>
      <c r="Q299" s="29" t="n"/>
      <c r="R299" s="30">
        <f>IF(OR(G299="",Q299="",H299=""),"",IF(H299="CE",G299-Q299,Q299-G299))</f>
        <v/>
      </c>
      <c r="S299" s="31">
        <f>IF(R299="","",R299/Q299)</f>
        <v/>
      </c>
      <c r="T299" s="38" t="n"/>
      <c r="U299" s="32" t="n"/>
      <c r="V299" s="52" t="n"/>
      <c r="W299" s="37" t="n"/>
      <c r="X299" s="32" t="n"/>
      <c r="Y299" s="32" t="n"/>
      <c r="Z299" s="39">
        <f>IF(OR(X299="",P299="",N299=""),"",ABS(X299-P299)*N299)</f>
        <v/>
      </c>
      <c r="AA299" s="53">
        <f>IF(OR(Z299="",Y299=""),"",IF(Z299=0,"",ABS(P299-Y299)*N299/Z299))</f>
        <v/>
      </c>
      <c r="AB299" s="54">
        <f>IF(Z299="","",Z299/Capital)</f>
        <v/>
      </c>
      <c r="AC299" s="5">
        <f>IF(B299="","",IF(X299="","NO SL",IF(OR(N(M299)&gt;MaxLots,N(AB299)&gt;RiskPct),"OVERSIZED","OK")))</f>
        <v/>
      </c>
      <c r="AD299" s="51" t="n"/>
      <c r="AE299" s="32" t="n"/>
      <c r="AF299" s="37" t="n"/>
      <c r="AG299" s="32" t="n"/>
      <c r="AH299" s="32" t="n"/>
      <c r="AI299" s="39">
        <f>IF(OR(AG299="",P299="",N299=""),"",ABS(AG299-P299)*N299)</f>
        <v/>
      </c>
      <c r="AJ299" s="39">
        <f>IF(OR(AH299="",P299="",N299=""),"",ABS(P299-AH299)*N299)</f>
        <v/>
      </c>
      <c r="AK299" s="39">
        <f>IF(OR(AE299="",P299="",N299=""),"",IF(I299="Buy",AE299-P299,P299-AE299)*N299)</f>
        <v/>
      </c>
      <c r="AL299" s="39">
        <f>IF(OR(AJ299="",AK299=""),"",MAX(0,AJ299-AK299))</f>
        <v/>
      </c>
      <c r="AM299" s="39">
        <f>IF(AK299="","",(P299+AE299)*N299)</f>
        <v/>
      </c>
      <c r="AN299" s="55">
        <f>IF(AK299="","",BrokeragePerOrder*2*MAX(1,N(L299)))</f>
        <v/>
      </c>
      <c r="AO299" s="55">
        <f>IF(AK299="","",STTRate*IF(I299="Buy",AE299,P299)*N299)</f>
        <v/>
      </c>
      <c r="AP299" s="55">
        <f>IF(AK299="","",ExchRate*AM299)</f>
        <v/>
      </c>
      <c r="AQ299" s="55">
        <f>IF(AK299="","",SEBIRate*AM299)</f>
        <v/>
      </c>
      <c r="AR299" s="55">
        <f>IF(AK299="","",StampRate*IF(I299="Buy",P299,AE299)*N299)</f>
        <v/>
      </c>
      <c r="AS299" s="55">
        <f>IF(AK299="","",GSTRate*(AN299+AP299+AQ299))</f>
        <v/>
      </c>
      <c r="AT299" s="55">
        <f>IF(AK299="","",AN299+AO299+AP299+AQ299+AR299+AS299)</f>
        <v/>
      </c>
      <c r="AU299" s="39">
        <f>IF(AK299="","",AK299-AT299)</f>
        <v/>
      </c>
      <c r="AV299" s="56">
        <f>IF(AU299="","",AU299/IF(N(Z299)&gt;0,Z299,RiskPerTrade))</f>
        <v/>
      </c>
      <c r="AW299" s="31">
        <f>IF(AU299="","",AU299/Capital)</f>
        <v/>
      </c>
      <c r="AX299" s="37" t="n"/>
      <c r="AY299" s="37" t="n"/>
      <c r="AZ299" s="37" t="n"/>
      <c r="BA299" s="37" t="n"/>
      <c r="BB299" s="37" t="n"/>
      <c r="BC299" s="37" t="n"/>
      <c r="BD299" s="37" t="n"/>
      <c r="BE299" s="5">
        <f>IF(AU299="","",IF(AU299&gt;0,"Win",IF(AU299&lt;0,"Loss","BE")))</f>
        <v/>
      </c>
      <c r="BF299" s="5">
        <f>IF(O299="","",LOOKUP(O299,List_BucketStart,List_BucketLabel))</f>
        <v/>
      </c>
      <c r="BG299" s="57">
        <f>IF(B299="","",B299-WEEKDAY(B299,3))</f>
        <v/>
      </c>
      <c r="BH299" s="28">
        <f>IF(B299="","",COUNTIF($B$6:B299,B299))</f>
        <v/>
      </c>
      <c r="BI299" s="39">
        <f>IF(B299="","",SUMIFS($AU$6:AU299,$B$6:B299,B299)-N(AU299))</f>
        <v/>
      </c>
      <c r="BJ299" s="5">
        <f>IF(OR(B299="",E299=""),"",IF(AND(E299=0,I299="Sell",MAX(N(O299),N(AD299))&gt;ExpiryCutoff),"BREACH","OK"))</f>
        <v/>
      </c>
      <c r="BK299" s="5">
        <f>IF(B299="","",IF(OR(AC299&lt;&gt;"OK",BJ299="BREACH",BH299&gt;MaxTradesDay,BI299&lt;=-DailyLossLimit,OR(AF299="Panic",AF299="Revenge",AF299="Rule break")),"CHECK","OK"))</f>
        <v/>
      </c>
      <c r="BL299" s="39">
        <f>IF(AU299="","",SUM($AU$6:AU299))</f>
        <v/>
      </c>
      <c r="BM299" s="39">
        <f>IF(BL299="","",Capital+BL299)</f>
        <v/>
      </c>
      <c r="BN299" s="39">
        <f>IF(BM299="","",MAX(Capital,MAX($BM$6:BM299)))</f>
        <v/>
      </c>
      <c r="BO299" s="39">
        <f>IF(BM299="","",BN299-BM299)</f>
        <v/>
      </c>
      <c r="BP299" s="58">
        <f>IF(BO299="","",BO299/BN299)</f>
        <v/>
      </c>
      <c r="BQ299" s="28">
        <f>IF(AU299="","",IF(AU299&lt;0,N(BQ298)+1,0))</f>
        <v/>
      </c>
    </row>
    <row r="300">
      <c r="A300" s="28">
        <f>IF(B300="","",COUNT($B$6:B300))</f>
        <v/>
      </c>
      <c r="B300" s="27" t="n"/>
      <c r="C300" s="5">
        <f>IF(B300="","",TEXT(B300,"ddd"))</f>
        <v/>
      </c>
      <c r="D300" s="27" t="n"/>
      <c r="E300" s="28">
        <f>IF(OR(B300="",D300=""),"",MAX(0,NETWORKDAYS(B300,D300)-1))</f>
        <v/>
      </c>
      <c r="F300" s="37" t="n"/>
      <c r="G300" s="36" t="n"/>
      <c r="H300" s="37" t="n"/>
      <c r="I300" s="37" t="n"/>
      <c r="J300" s="37" t="n"/>
      <c r="K300" s="37" t="n"/>
      <c r="L300" s="36" t="n"/>
      <c r="M300" s="36" t="n"/>
      <c r="N300" s="33">
        <f>IF(M300="","",M300*LotSize)</f>
        <v/>
      </c>
      <c r="O300" s="51" t="n"/>
      <c r="P300" s="32" t="n"/>
      <c r="Q300" s="29" t="n"/>
      <c r="R300" s="30">
        <f>IF(OR(G300="",Q300="",H300=""),"",IF(H300="CE",G300-Q300,Q300-G300))</f>
        <v/>
      </c>
      <c r="S300" s="31">
        <f>IF(R300="","",R300/Q300)</f>
        <v/>
      </c>
      <c r="T300" s="38" t="n"/>
      <c r="U300" s="32" t="n"/>
      <c r="V300" s="52" t="n"/>
      <c r="W300" s="37" t="n"/>
      <c r="X300" s="32" t="n"/>
      <c r="Y300" s="32" t="n"/>
      <c r="Z300" s="39">
        <f>IF(OR(X300="",P300="",N300=""),"",ABS(X300-P300)*N300)</f>
        <v/>
      </c>
      <c r="AA300" s="53">
        <f>IF(OR(Z300="",Y300=""),"",IF(Z300=0,"",ABS(P300-Y300)*N300/Z300))</f>
        <v/>
      </c>
      <c r="AB300" s="54">
        <f>IF(Z300="","",Z300/Capital)</f>
        <v/>
      </c>
      <c r="AC300" s="5">
        <f>IF(B300="","",IF(X300="","NO SL",IF(OR(N(M300)&gt;MaxLots,N(AB300)&gt;RiskPct),"OVERSIZED","OK")))</f>
        <v/>
      </c>
      <c r="AD300" s="51" t="n"/>
      <c r="AE300" s="32" t="n"/>
      <c r="AF300" s="37" t="n"/>
      <c r="AG300" s="32" t="n"/>
      <c r="AH300" s="32" t="n"/>
      <c r="AI300" s="39">
        <f>IF(OR(AG300="",P300="",N300=""),"",ABS(AG300-P300)*N300)</f>
        <v/>
      </c>
      <c r="AJ300" s="39">
        <f>IF(OR(AH300="",P300="",N300=""),"",ABS(P300-AH300)*N300)</f>
        <v/>
      </c>
      <c r="AK300" s="39">
        <f>IF(OR(AE300="",P300="",N300=""),"",IF(I300="Buy",AE300-P300,P300-AE300)*N300)</f>
        <v/>
      </c>
      <c r="AL300" s="39">
        <f>IF(OR(AJ300="",AK300=""),"",MAX(0,AJ300-AK300))</f>
        <v/>
      </c>
      <c r="AM300" s="39">
        <f>IF(AK300="","",(P300+AE300)*N300)</f>
        <v/>
      </c>
      <c r="AN300" s="55">
        <f>IF(AK300="","",BrokeragePerOrder*2*MAX(1,N(L300)))</f>
        <v/>
      </c>
      <c r="AO300" s="55">
        <f>IF(AK300="","",STTRate*IF(I300="Buy",AE300,P300)*N300)</f>
        <v/>
      </c>
      <c r="AP300" s="55">
        <f>IF(AK300="","",ExchRate*AM300)</f>
        <v/>
      </c>
      <c r="AQ300" s="55">
        <f>IF(AK300="","",SEBIRate*AM300)</f>
        <v/>
      </c>
      <c r="AR300" s="55">
        <f>IF(AK300="","",StampRate*IF(I300="Buy",P300,AE300)*N300)</f>
        <v/>
      </c>
      <c r="AS300" s="55">
        <f>IF(AK300="","",GSTRate*(AN300+AP300+AQ300))</f>
        <v/>
      </c>
      <c r="AT300" s="55">
        <f>IF(AK300="","",AN300+AO300+AP300+AQ300+AR300+AS300)</f>
        <v/>
      </c>
      <c r="AU300" s="39">
        <f>IF(AK300="","",AK300-AT300)</f>
        <v/>
      </c>
      <c r="AV300" s="56">
        <f>IF(AU300="","",AU300/IF(N(Z300)&gt;0,Z300,RiskPerTrade))</f>
        <v/>
      </c>
      <c r="AW300" s="31">
        <f>IF(AU300="","",AU300/Capital)</f>
        <v/>
      </c>
      <c r="AX300" s="37" t="n"/>
      <c r="AY300" s="37" t="n"/>
      <c r="AZ300" s="37" t="n"/>
      <c r="BA300" s="37" t="n"/>
      <c r="BB300" s="37" t="n"/>
      <c r="BC300" s="37" t="n"/>
      <c r="BD300" s="37" t="n"/>
      <c r="BE300" s="5">
        <f>IF(AU300="","",IF(AU300&gt;0,"Win",IF(AU300&lt;0,"Loss","BE")))</f>
        <v/>
      </c>
      <c r="BF300" s="5">
        <f>IF(O300="","",LOOKUP(O300,List_BucketStart,List_BucketLabel))</f>
        <v/>
      </c>
      <c r="BG300" s="57">
        <f>IF(B300="","",B300-WEEKDAY(B300,3))</f>
        <v/>
      </c>
      <c r="BH300" s="28">
        <f>IF(B300="","",COUNTIF($B$6:B300,B300))</f>
        <v/>
      </c>
      <c r="BI300" s="39">
        <f>IF(B300="","",SUMIFS($AU$6:AU300,$B$6:B300,B300)-N(AU300))</f>
        <v/>
      </c>
      <c r="BJ300" s="5">
        <f>IF(OR(B300="",E300=""),"",IF(AND(E300=0,I300="Sell",MAX(N(O300),N(AD300))&gt;ExpiryCutoff),"BREACH","OK"))</f>
        <v/>
      </c>
      <c r="BK300" s="5">
        <f>IF(B300="","",IF(OR(AC300&lt;&gt;"OK",BJ300="BREACH",BH300&gt;MaxTradesDay,BI300&lt;=-DailyLossLimit,OR(AF300="Panic",AF300="Revenge",AF300="Rule break")),"CHECK","OK"))</f>
        <v/>
      </c>
      <c r="BL300" s="39">
        <f>IF(AU300="","",SUM($AU$6:AU300))</f>
        <v/>
      </c>
      <c r="BM300" s="39">
        <f>IF(BL300="","",Capital+BL300)</f>
        <v/>
      </c>
      <c r="BN300" s="39">
        <f>IF(BM300="","",MAX(Capital,MAX($BM$6:BM300)))</f>
        <v/>
      </c>
      <c r="BO300" s="39">
        <f>IF(BM300="","",BN300-BM300)</f>
        <v/>
      </c>
      <c r="BP300" s="58">
        <f>IF(BO300="","",BO300/BN300)</f>
        <v/>
      </c>
      <c r="BQ300" s="28">
        <f>IF(AU300="","",IF(AU300&lt;0,N(BQ299)+1,0))</f>
        <v/>
      </c>
    </row>
    <row r="301">
      <c r="A301" s="28">
        <f>IF(B301="","",COUNT($B$6:B301))</f>
        <v/>
      </c>
      <c r="B301" s="27" t="n"/>
      <c r="C301" s="5">
        <f>IF(B301="","",TEXT(B301,"ddd"))</f>
        <v/>
      </c>
      <c r="D301" s="27" t="n"/>
      <c r="E301" s="28">
        <f>IF(OR(B301="",D301=""),"",MAX(0,NETWORKDAYS(B301,D301)-1))</f>
        <v/>
      </c>
      <c r="F301" s="37" t="n"/>
      <c r="G301" s="36" t="n"/>
      <c r="H301" s="37" t="n"/>
      <c r="I301" s="37" t="n"/>
      <c r="J301" s="37" t="n"/>
      <c r="K301" s="37" t="n"/>
      <c r="L301" s="36" t="n"/>
      <c r="M301" s="36" t="n"/>
      <c r="N301" s="33">
        <f>IF(M301="","",M301*LotSize)</f>
        <v/>
      </c>
      <c r="O301" s="51" t="n"/>
      <c r="P301" s="32" t="n"/>
      <c r="Q301" s="29" t="n"/>
      <c r="R301" s="30">
        <f>IF(OR(G301="",Q301="",H301=""),"",IF(H301="CE",G301-Q301,Q301-G301))</f>
        <v/>
      </c>
      <c r="S301" s="31">
        <f>IF(R301="","",R301/Q301)</f>
        <v/>
      </c>
      <c r="T301" s="38" t="n"/>
      <c r="U301" s="32" t="n"/>
      <c r="V301" s="52" t="n"/>
      <c r="W301" s="37" t="n"/>
      <c r="X301" s="32" t="n"/>
      <c r="Y301" s="32" t="n"/>
      <c r="Z301" s="39">
        <f>IF(OR(X301="",P301="",N301=""),"",ABS(X301-P301)*N301)</f>
        <v/>
      </c>
      <c r="AA301" s="53">
        <f>IF(OR(Z301="",Y301=""),"",IF(Z301=0,"",ABS(P301-Y301)*N301/Z301))</f>
        <v/>
      </c>
      <c r="AB301" s="54">
        <f>IF(Z301="","",Z301/Capital)</f>
        <v/>
      </c>
      <c r="AC301" s="5">
        <f>IF(B301="","",IF(X301="","NO SL",IF(OR(N(M301)&gt;MaxLots,N(AB301)&gt;RiskPct),"OVERSIZED","OK")))</f>
        <v/>
      </c>
      <c r="AD301" s="51" t="n"/>
      <c r="AE301" s="32" t="n"/>
      <c r="AF301" s="37" t="n"/>
      <c r="AG301" s="32" t="n"/>
      <c r="AH301" s="32" t="n"/>
      <c r="AI301" s="39">
        <f>IF(OR(AG301="",P301="",N301=""),"",ABS(AG301-P301)*N301)</f>
        <v/>
      </c>
      <c r="AJ301" s="39">
        <f>IF(OR(AH301="",P301="",N301=""),"",ABS(P301-AH301)*N301)</f>
        <v/>
      </c>
      <c r="AK301" s="39">
        <f>IF(OR(AE301="",P301="",N301=""),"",IF(I301="Buy",AE301-P301,P301-AE301)*N301)</f>
        <v/>
      </c>
      <c r="AL301" s="39">
        <f>IF(OR(AJ301="",AK301=""),"",MAX(0,AJ301-AK301))</f>
        <v/>
      </c>
      <c r="AM301" s="39">
        <f>IF(AK301="","",(P301+AE301)*N301)</f>
        <v/>
      </c>
      <c r="AN301" s="55">
        <f>IF(AK301="","",BrokeragePerOrder*2*MAX(1,N(L301)))</f>
        <v/>
      </c>
      <c r="AO301" s="55">
        <f>IF(AK301="","",STTRate*IF(I301="Buy",AE301,P301)*N301)</f>
        <v/>
      </c>
      <c r="AP301" s="55">
        <f>IF(AK301="","",ExchRate*AM301)</f>
        <v/>
      </c>
      <c r="AQ301" s="55">
        <f>IF(AK301="","",SEBIRate*AM301)</f>
        <v/>
      </c>
      <c r="AR301" s="55">
        <f>IF(AK301="","",StampRate*IF(I301="Buy",P301,AE301)*N301)</f>
        <v/>
      </c>
      <c r="AS301" s="55">
        <f>IF(AK301="","",GSTRate*(AN301+AP301+AQ301))</f>
        <v/>
      </c>
      <c r="AT301" s="55">
        <f>IF(AK301="","",AN301+AO301+AP301+AQ301+AR301+AS301)</f>
        <v/>
      </c>
      <c r="AU301" s="39">
        <f>IF(AK301="","",AK301-AT301)</f>
        <v/>
      </c>
      <c r="AV301" s="56">
        <f>IF(AU301="","",AU301/IF(N(Z301)&gt;0,Z301,RiskPerTrade))</f>
        <v/>
      </c>
      <c r="AW301" s="31">
        <f>IF(AU301="","",AU301/Capital)</f>
        <v/>
      </c>
      <c r="AX301" s="37" t="n"/>
      <c r="AY301" s="37" t="n"/>
      <c r="AZ301" s="37" t="n"/>
      <c r="BA301" s="37" t="n"/>
      <c r="BB301" s="37" t="n"/>
      <c r="BC301" s="37" t="n"/>
      <c r="BD301" s="37" t="n"/>
      <c r="BE301" s="5">
        <f>IF(AU301="","",IF(AU301&gt;0,"Win",IF(AU301&lt;0,"Loss","BE")))</f>
        <v/>
      </c>
      <c r="BF301" s="5">
        <f>IF(O301="","",LOOKUP(O301,List_BucketStart,List_BucketLabel))</f>
        <v/>
      </c>
      <c r="BG301" s="57">
        <f>IF(B301="","",B301-WEEKDAY(B301,3))</f>
        <v/>
      </c>
      <c r="BH301" s="28">
        <f>IF(B301="","",COUNTIF($B$6:B301,B301))</f>
        <v/>
      </c>
      <c r="BI301" s="39">
        <f>IF(B301="","",SUMIFS($AU$6:AU301,$B$6:B301,B301)-N(AU301))</f>
        <v/>
      </c>
      <c r="BJ301" s="5">
        <f>IF(OR(B301="",E301=""),"",IF(AND(E301=0,I301="Sell",MAX(N(O301),N(AD301))&gt;ExpiryCutoff),"BREACH","OK"))</f>
        <v/>
      </c>
      <c r="BK301" s="5">
        <f>IF(B301="","",IF(OR(AC301&lt;&gt;"OK",BJ301="BREACH",BH301&gt;MaxTradesDay,BI301&lt;=-DailyLossLimit,OR(AF301="Panic",AF301="Revenge",AF301="Rule break")),"CHECK","OK"))</f>
        <v/>
      </c>
      <c r="BL301" s="39">
        <f>IF(AU301="","",SUM($AU$6:AU301))</f>
        <v/>
      </c>
      <c r="BM301" s="39">
        <f>IF(BL301="","",Capital+BL301)</f>
        <v/>
      </c>
      <c r="BN301" s="39">
        <f>IF(BM301="","",MAX(Capital,MAX($BM$6:BM301)))</f>
        <v/>
      </c>
      <c r="BO301" s="39">
        <f>IF(BM301="","",BN301-BM301)</f>
        <v/>
      </c>
      <c r="BP301" s="58">
        <f>IF(BO301="","",BO301/BN301)</f>
        <v/>
      </c>
      <c r="BQ301" s="28">
        <f>IF(AU301="","",IF(AU301&lt;0,N(BQ300)+1,0))</f>
        <v/>
      </c>
    </row>
    <row r="302">
      <c r="A302" s="28">
        <f>IF(B302="","",COUNT($B$6:B302))</f>
        <v/>
      </c>
      <c r="B302" s="27" t="n"/>
      <c r="C302" s="5">
        <f>IF(B302="","",TEXT(B302,"ddd"))</f>
        <v/>
      </c>
      <c r="D302" s="27" t="n"/>
      <c r="E302" s="28">
        <f>IF(OR(B302="",D302=""),"",MAX(0,NETWORKDAYS(B302,D302)-1))</f>
        <v/>
      </c>
      <c r="F302" s="37" t="n"/>
      <c r="G302" s="36" t="n"/>
      <c r="H302" s="37" t="n"/>
      <c r="I302" s="37" t="n"/>
      <c r="J302" s="37" t="n"/>
      <c r="K302" s="37" t="n"/>
      <c r="L302" s="36" t="n"/>
      <c r="M302" s="36" t="n"/>
      <c r="N302" s="33">
        <f>IF(M302="","",M302*LotSize)</f>
        <v/>
      </c>
      <c r="O302" s="51" t="n"/>
      <c r="P302" s="32" t="n"/>
      <c r="Q302" s="29" t="n"/>
      <c r="R302" s="30">
        <f>IF(OR(G302="",Q302="",H302=""),"",IF(H302="CE",G302-Q302,Q302-G302))</f>
        <v/>
      </c>
      <c r="S302" s="31">
        <f>IF(R302="","",R302/Q302)</f>
        <v/>
      </c>
      <c r="T302" s="38" t="n"/>
      <c r="U302" s="32" t="n"/>
      <c r="V302" s="52" t="n"/>
      <c r="W302" s="37" t="n"/>
      <c r="X302" s="32" t="n"/>
      <c r="Y302" s="32" t="n"/>
      <c r="Z302" s="39">
        <f>IF(OR(X302="",P302="",N302=""),"",ABS(X302-P302)*N302)</f>
        <v/>
      </c>
      <c r="AA302" s="53">
        <f>IF(OR(Z302="",Y302=""),"",IF(Z302=0,"",ABS(P302-Y302)*N302/Z302))</f>
        <v/>
      </c>
      <c r="AB302" s="54">
        <f>IF(Z302="","",Z302/Capital)</f>
        <v/>
      </c>
      <c r="AC302" s="5">
        <f>IF(B302="","",IF(X302="","NO SL",IF(OR(N(M302)&gt;MaxLots,N(AB302)&gt;RiskPct),"OVERSIZED","OK")))</f>
        <v/>
      </c>
      <c r="AD302" s="51" t="n"/>
      <c r="AE302" s="32" t="n"/>
      <c r="AF302" s="37" t="n"/>
      <c r="AG302" s="32" t="n"/>
      <c r="AH302" s="32" t="n"/>
      <c r="AI302" s="39">
        <f>IF(OR(AG302="",P302="",N302=""),"",ABS(AG302-P302)*N302)</f>
        <v/>
      </c>
      <c r="AJ302" s="39">
        <f>IF(OR(AH302="",P302="",N302=""),"",ABS(P302-AH302)*N302)</f>
        <v/>
      </c>
      <c r="AK302" s="39">
        <f>IF(OR(AE302="",P302="",N302=""),"",IF(I302="Buy",AE302-P302,P302-AE302)*N302)</f>
        <v/>
      </c>
      <c r="AL302" s="39">
        <f>IF(OR(AJ302="",AK302=""),"",MAX(0,AJ302-AK302))</f>
        <v/>
      </c>
      <c r="AM302" s="39">
        <f>IF(AK302="","",(P302+AE302)*N302)</f>
        <v/>
      </c>
      <c r="AN302" s="55">
        <f>IF(AK302="","",BrokeragePerOrder*2*MAX(1,N(L302)))</f>
        <v/>
      </c>
      <c r="AO302" s="55">
        <f>IF(AK302="","",STTRate*IF(I302="Buy",AE302,P302)*N302)</f>
        <v/>
      </c>
      <c r="AP302" s="55">
        <f>IF(AK302="","",ExchRate*AM302)</f>
        <v/>
      </c>
      <c r="AQ302" s="55">
        <f>IF(AK302="","",SEBIRate*AM302)</f>
        <v/>
      </c>
      <c r="AR302" s="55">
        <f>IF(AK302="","",StampRate*IF(I302="Buy",P302,AE302)*N302)</f>
        <v/>
      </c>
      <c r="AS302" s="55">
        <f>IF(AK302="","",GSTRate*(AN302+AP302+AQ302))</f>
        <v/>
      </c>
      <c r="AT302" s="55">
        <f>IF(AK302="","",AN302+AO302+AP302+AQ302+AR302+AS302)</f>
        <v/>
      </c>
      <c r="AU302" s="39">
        <f>IF(AK302="","",AK302-AT302)</f>
        <v/>
      </c>
      <c r="AV302" s="56">
        <f>IF(AU302="","",AU302/IF(N(Z302)&gt;0,Z302,RiskPerTrade))</f>
        <v/>
      </c>
      <c r="AW302" s="31">
        <f>IF(AU302="","",AU302/Capital)</f>
        <v/>
      </c>
      <c r="AX302" s="37" t="n"/>
      <c r="AY302" s="37" t="n"/>
      <c r="AZ302" s="37" t="n"/>
      <c r="BA302" s="37" t="n"/>
      <c r="BB302" s="37" t="n"/>
      <c r="BC302" s="37" t="n"/>
      <c r="BD302" s="37" t="n"/>
      <c r="BE302" s="5">
        <f>IF(AU302="","",IF(AU302&gt;0,"Win",IF(AU302&lt;0,"Loss","BE")))</f>
        <v/>
      </c>
      <c r="BF302" s="5">
        <f>IF(O302="","",LOOKUP(O302,List_BucketStart,List_BucketLabel))</f>
        <v/>
      </c>
      <c r="BG302" s="57">
        <f>IF(B302="","",B302-WEEKDAY(B302,3))</f>
        <v/>
      </c>
      <c r="BH302" s="28">
        <f>IF(B302="","",COUNTIF($B$6:B302,B302))</f>
        <v/>
      </c>
      <c r="BI302" s="39">
        <f>IF(B302="","",SUMIFS($AU$6:AU302,$B$6:B302,B302)-N(AU302))</f>
        <v/>
      </c>
      <c r="BJ302" s="5">
        <f>IF(OR(B302="",E302=""),"",IF(AND(E302=0,I302="Sell",MAX(N(O302),N(AD302))&gt;ExpiryCutoff),"BREACH","OK"))</f>
        <v/>
      </c>
      <c r="BK302" s="5">
        <f>IF(B302="","",IF(OR(AC302&lt;&gt;"OK",BJ302="BREACH",BH302&gt;MaxTradesDay,BI302&lt;=-DailyLossLimit,OR(AF302="Panic",AF302="Revenge",AF302="Rule break")),"CHECK","OK"))</f>
        <v/>
      </c>
      <c r="BL302" s="39">
        <f>IF(AU302="","",SUM($AU$6:AU302))</f>
        <v/>
      </c>
      <c r="BM302" s="39">
        <f>IF(BL302="","",Capital+BL302)</f>
        <v/>
      </c>
      <c r="BN302" s="39">
        <f>IF(BM302="","",MAX(Capital,MAX($BM$6:BM302)))</f>
        <v/>
      </c>
      <c r="BO302" s="39">
        <f>IF(BM302="","",BN302-BM302)</f>
        <v/>
      </c>
      <c r="BP302" s="58">
        <f>IF(BO302="","",BO302/BN302)</f>
        <v/>
      </c>
      <c r="BQ302" s="28">
        <f>IF(AU302="","",IF(AU302&lt;0,N(BQ301)+1,0))</f>
        <v/>
      </c>
    </row>
    <row r="303">
      <c r="A303" s="28">
        <f>IF(B303="","",COUNT($B$6:B303))</f>
        <v/>
      </c>
      <c r="B303" s="27" t="n"/>
      <c r="C303" s="5">
        <f>IF(B303="","",TEXT(B303,"ddd"))</f>
        <v/>
      </c>
      <c r="D303" s="27" t="n"/>
      <c r="E303" s="28">
        <f>IF(OR(B303="",D303=""),"",MAX(0,NETWORKDAYS(B303,D303)-1))</f>
        <v/>
      </c>
      <c r="F303" s="37" t="n"/>
      <c r="G303" s="36" t="n"/>
      <c r="H303" s="37" t="n"/>
      <c r="I303" s="37" t="n"/>
      <c r="J303" s="37" t="n"/>
      <c r="K303" s="37" t="n"/>
      <c r="L303" s="36" t="n"/>
      <c r="M303" s="36" t="n"/>
      <c r="N303" s="33">
        <f>IF(M303="","",M303*LotSize)</f>
        <v/>
      </c>
      <c r="O303" s="51" t="n"/>
      <c r="P303" s="32" t="n"/>
      <c r="Q303" s="29" t="n"/>
      <c r="R303" s="30">
        <f>IF(OR(G303="",Q303="",H303=""),"",IF(H303="CE",G303-Q303,Q303-G303))</f>
        <v/>
      </c>
      <c r="S303" s="31">
        <f>IF(R303="","",R303/Q303)</f>
        <v/>
      </c>
      <c r="T303" s="38" t="n"/>
      <c r="U303" s="32" t="n"/>
      <c r="V303" s="52" t="n"/>
      <c r="W303" s="37" t="n"/>
      <c r="X303" s="32" t="n"/>
      <c r="Y303" s="32" t="n"/>
      <c r="Z303" s="39">
        <f>IF(OR(X303="",P303="",N303=""),"",ABS(X303-P303)*N303)</f>
        <v/>
      </c>
      <c r="AA303" s="53">
        <f>IF(OR(Z303="",Y303=""),"",IF(Z303=0,"",ABS(P303-Y303)*N303/Z303))</f>
        <v/>
      </c>
      <c r="AB303" s="54">
        <f>IF(Z303="","",Z303/Capital)</f>
        <v/>
      </c>
      <c r="AC303" s="5">
        <f>IF(B303="","",IF(X303="","NO SL",IF(OR(N(M303)&gt;MaxLots,N(AB303)&gt;RiskPct),"OVERSIZED","OK")))</f>
        <v/>
      </c>
      <c r="AD303" s="51" t="n"/>
      <c r="AE303" s="32" t="n"/>
      <c r="AF303" s="37" t="n"/>
      <c r="AG303" s="32" t="n"/>
      <c r="AH303" s="32" t="n"/>
      <c r="AI303" s="39">
        <f>IF(OR(AG303="",P303="",N303=""),"",ABS(AG303-P303)*N303)</f>
        <v/>
      </c>
      <c r="AJ303" s="39">
        <f>IF(OR(AH303="",P303="",N303=""),"",ABS(P303-AH303)*N303)</f>
        <v/>
      </c>
      <c r="AK303" s="39">
        <f>IF(OR(AE303="",P303="",N303=""),"",IF(I303="Buy",AE303-P303,P303-AE303)*N303)</f>
        <v/>
      </c>
      <c r="AL303" s="39">
        <f>IF(OR(AJ303="",AK303=""),"",MAX(0,AJ303-AK303))</f>
        <v/>
      </c>
      <c r="AM303" s="39">
        <f>IF(AK303="","",(P303+AE303)*N303)</f>
        <v/>
      </c>
      <c r="AN303" s="55">
        <f>IF(AK303="","",BrokeragePerOrder*2*MAX(1,N(L303)))</f>
        <v/>
      </c>
      <c r="AO303" s="55">
        <f>IF(AK303="","",STTRate*IF(I303="Buy",AE303,P303)*N303)</f>
        <v/>
      </c>
      <c r="AP303" s="55">
        <f>IF(AK303="","",ExchRate*AM303)</f>
        <v/>
      </c>
      <c r="AQ303" s="55">
        <f>IF(AK303="","",SEBIRate*AM303)</f>
        <v/>
      </c>
      <c r="AR303" s="55">
        <f>IF(AK303="","",StampRate*IF(I303="Buy",P303,AE303)*N303)</f>
        <v/>
      </c>
      <c r="AS303" s="55">
        <f>IF(AK303="","",GSTRate*(AN303+AP303+AQ303))</f>
        <v/>
      </c>
      <c r="AT303" s="55">
        <f>IF(AK303="","",AN303+AO303+AP303+AQ303+AR303+AS303)</f>
        <v/>
      </c>
      <c r="AU303" s="39">
        <f>IF(AK303="","",AK303-AT303)</f>
        <v/>
      </c>
      <c r="AV303" s="56">
        <f>IF(AU303="","",AU303/IF(N(Z303)&gt;0,Z303,RiskPerTrade))</f>
        <v/>
      </c>
      <c r="AW303" s="31">
        <f>IF(AU303="","",AU303/Capital)</f>
        <v/>
      </c>
      <c r="AX303" s="37" t="n"/>
      <c r="AY303" s="37" t="n"/>
      <c r="AZ303" s="37" t="n"/>
      <c r="BA303" s="37" t="n"/>
      <c r="BB303" s="37" t="n"/>
      <c r="BC303" s="37" t="n"/>
      <c r="BD303" s="37" t="n"/>
      <c r="BE303" s="5">
        <f>IF(AU303="","",IF(AU303&gt;0,"Win",IF(AU303&lt;0,"Loss","BE")))</f>
        <v/>
      </c>
      <c r="BF303" s="5">
        <f>IF(O303="","",LOOKUP(O303,List_BucketStart,List_BucketLabel))</f>
        <v/>
      </c>
      <c r="BG303" s="57">
        <f>IF(B303="","",B303-WEEKDAY(B303,3))</f>
        <v/>
      </c>
      <c r="BH303" s="28">
        <f>IF(B303="","",COUNTIF($B$6:B303,B303))</f>
        <v/>
      </c>
      <c r="BI303" s="39">
        <f>IF(B303="","",SUMIFS($AU$6:AU303,$B$6:B303,B303)-N(AU303))</f>
        <v/>
      </c>
      <c r="BJ303" s="5">
        <f>IF(OR(B303="",E303=""),"",IF(AND(E303=0,I303="Sell",MAX(N(O303),N(AD303))&gt;ExpiryCutoff),"BREACH","OK"))</f>
        <v/>
      </c>
      <c r="BK303" s="5">
        <f>IF(B303="","",IF(OR(AC303&lt;&gt;"OK",BJ303="BREACH",BH303&gt;MaxTradesDay,BI303&lt;=-DailyLossLimit,OR(AF303="Panic",AF303="Revenge",AF303="Rule break")),"CHECK","OK"))</f>
        <v/>
      </c>
      <c r="BL303" s="39">
        <f>IF(AU303="","",SUM($AU$6:AU303))</f>
        <v/>
      </c>
      <c r="BM303" s="39">
        <f>IF(BL303="","",Capital+BL303)</f>
        <v/>
      </c>
      <c r="BN303" s="39">
        <f>IF(BM303="","",MAX(Capital,MAX($BM$6:BM303)))</f>
        <v/>
      </c>
      <c r="BO303" s="39">
        <f>IF(BM303="","",BN303-BM303)</f>
        <v/>
      </c>
      <c r="BP303" s="58">
        <f>IF(BO303="","",BO303/BN303)</f>
        <v/>
      </c>
      <c r="BQ303" s="28">
        <f>IF(AU303="","",IF(AU303&lt;0,N(BQ302)+1,0))</f>
        <v/>
      </c>
    </row>
    <row r="304">
      <c r="A304" s="28">
        <f>IF(B304="","",COUNT($B$6:B304))</f>
        <v/>
      </c>
      <c r="B304" s="27" t="n"/>
      <c r="C304" s="5">
        <f>IF(B304="","",TEXT(B304,"ddd"))</f>
        <v/>
      </c>
      <c r="D304" s="27" t="n"/>
      <c r="E304" s="28">
        <f>IF(OR(B304="",D304=""),"",MAX(0,NETWORKDAYS(B304,D304)-1))</f>
        <v/>
      </c>
      <c r="F304" s="37" t="n"/>
      <c r="G304" s="36" t="n"/>
      <c r="H304" s="37" t="n"/>
      <c r="I304" s="37" t="n"/>
      <c r="J304" s="37" t="n"/>
      <c r="K304" s="37" t="n"/>
      <c r="L304" s="36" t="n"/>
      <c r="M304" s="36" t="n"/>
      <c r="N304" s="33">
        <f>IF(M304="","",M304*LotSize)</f>
        <v/>
      </c>
      <c r="O304" s="51" t="n"/>
      <c r="P304" s="32" t="n"/>
      <c r="Q304" s="29" t="n"/>
      <c r="R304" s="30">
        <f>IF(OR(G304="",Q304="",H304=""),"",IF(H304="CE",G304-Q304,Q304-G304))</f>
        <v/>
      </c>
      <c r="S304" s="31">
        <f>IF(R304="","",R304/Q304)</f>
        <v/>
      </c>
      <c r="T304" s="38" t="n"/>
      <c r="U304" s="32" t="n"/>
      <c r="V304" s="52" t="n"/>
      <c r="W304" s="37" t="n"/>
      <c r="X304" s="32" t="n"/>
      <c r="Y304" s="32" t="n"/>
      <c r="Z304" s="39">
        <f>IF(OR(X304="",P304="",N304=""),"",ABS(X304-P304)*N304)</f>
        <v/>
      </c>
      <c r="AA304" s="53">
        <f>IF(OR(Z304="",Y304=""),"",IF(Z304=0,"",ABS(P304-Y304)*N304/Z304))</f>
        <v/>
      </c>
      <c r="AB304" s="54">
        <f>IF(Z304="","",Z304/Capital)</f>
        <v/>
      </c>
      <c r="AC304" s="5">
        <f>IF(B304="","",IF(X304="","NO SL",IF(OR(N(M304)&gt;MaxLots,N(AB304)&gt;RiskPct),"OVERSIZED","OK")))</f>
        <v/>
      </c>
      <c r="AD304" s="51" t="n"/>
      <c r="AE304" s="32" t="n"/>
      <c r="AF304" s="37" t="n"/>
      <c r="AG304" s="32" t="n"/>
      <c r="AH304" s="32" t="n"/>
      <c r="AI304" s="39">
        <f>IF(OR(AG304="",P304="",N304=""),"",ABS(AG304-P304)*N304)</f>
        <v/>
      </c>
      <c r="AJ304" s="39">
        <f>IF(OR(AH304="",P304="",N304=""),"",ABS(P304-AH304)*N304)</f>
        <v/>
      </c>
      <c r="AK304" s="39">
        <f>IF(OR(AE304="",P304="",N304=""),"",IF(I304="Buy",AE304-P304,P304-AE304)*N304)</f>
        <v/>
      </c>
      <c r="AL304" s="39">
        <f>IF(OR(AJ304="",AK304=""),"",MAX(0,AJ304-AK304))</f>
        <v/>
      </c>
      <c r="AM304" s="39">
        <f>IF(AK304="","",(P304+AE304)*N304)</f>
        <v/>
      </c>
      <c r="AN304" s="55">
        <f>IF(AK304="","",BrokeragePerOrder*2*MAX(1,N(L304)))</f>
        <v/>
      </c>
      <c r="AO304" s="55">
        <f>IF(AK304="","",STTRate*IF(I304="Buy",AE304,P304)*N304)</f>
        <v/>
      </c>
      <c r="AP304" s="55">
        <f>IF(AK304="","",ExchRate*AM304)</f>
        <v/>
      </c>
      <c r="AQ304" s="55">
        <f>IF(AK304="","",SEBIRate*AM304)</f>
        <v/>
      </c>
      <c r="AR304" s="55">
        <f>IF(AK304="","",StampRate*IF(I304="Buy",P304,AE304)*N304)</f>
        <v/>
      </c>
      <c r="AS304" s="55">
        <f>IF(AK304="","",GSTRate*(AN304+AP304+AQ304))</f>
        <v/>
      </c>
      <c r="AT304" s="55">
        <f>IF(AK304="","",AN304+AO304+AP304+AQ304+AR304+AS304)</f>
        <v/>
      </c>
      <c r="AU304" s="39">
        <f>IF(AK304="","",AK304-AT304)</f>
        <v/>
      </c>
      <c r="AV304" s="56">
        <f>IF(AU304="","",AU304/IF(N(Z304)&gt;0,Z304,RiskPerTrade))</f>
        <v/>
      </c>
      <c r="AW304" s="31">
        <f>IF(AU304="","",AU304/Capital)</f>
        <v/>
      </c>
      <c r="AX304" s="37" t="n"/>
      <c r="AY304" s="37" t="n"/>
      <c r="AZ304" s="37" t="n"/>
      <c r="BA304" s="37" t="n"/>
      <c r="BB304" s="37" t="n"/>
      <c r="BC304" s="37" t="n"/>
      <c r="BD304" s="37" t="n"/>
      <c r="BE304" s="5">
        <f>IF(AU304="","",IF(AU304&gt;0,"Win",IF(AU304&lt;0,"Loss","BE")))</f>
        <v/>
      </c>
      <c r="BF304" s="5">
        <f>IF(O304="","",LOOKUP(O304,List_BucketStart,List_BucketLabel))</f>
        <v/>
      </c>
      <c r="BG304" s="57">
        <f>IF(B304="","",B304-WEEKDAY(B304,3))</f>
        <v/>
      </c>
      <c r="BH304" s="28">
        <f>IF(B304="","",COUNTIF($B$6:B304,B304))</f>
        <v/>
      </c>
      <c r="BI304" s="39">
        <f>IF(B304="","",SUMIFS($AU$6:AU304,$B$6:B304,B304)-N(AU304))</f>
        <v/>
      </c>
      <c r="BJ304" s="5">
        <f>IF(OR(B304="",E304=""),"",IF(AND(E304=0,I304="Sell",MAX(N(O304),N(AD304))&gt;ExpiryCutoff),"BREACH","OK"))</f>
        <v/>
      </c>
      <c r="BK304" s="5">
        <f>IF(B304="","",IF(OR(AC304&lt;&gt;"OK",BJ304="BREACH",BH304&gt;MaxTradesDay,BI304&lt;=-DailyLossLimit,OR(AF304="Panic",AF304="Revenge",AF304="Rule break")),"CHECK","OK"))</f>
        <v/>
      </c>
      <c r="BL304" s="39">
        <f>IF(AU304="","",SUM($AU$6:AU304))</f>
        <v/>
      </c>
      <c r="BM304" s="39">
        <f>IF(BL304="","",Capital+BL304)</f>
        <v/>
      </c>
      <c r="BN304" s="39">
        <f>IF(BM304="","",MAX(Capital,MAX($BM$6:BM304)))</f>
        <v/>
      </c>
      <c r="BO304" s="39">
        <f>IF(BM304="","",BN304-BM304)</f>
        <v/>
      </c>
      <c r="BP304" s="58">
        <f>IF(BO304="","",BO304/BN304)</f>
        <v/>
      </c>
      <c r="BQ304" s="28">
        <f>IF(AU304="","",IF(AU304&lt;0,N(BQ303)+1,0))</f>
        <v/>
      </c>
    </row>
    <row r="305">
      <c r="A305" s="28">
        <f>IF(B305="","",COUNT($B$6:B305))</f>
        <v/>
      </c>
      <c r="B305" s="27" t="n"/>
      <c r="C305" s="5">
        <f>IF(B305="","",TEXT(B305,"ddd"))</f>
        <v/>
      </c>
      <c r="D305" s="27" t="n"/>
      <c r="E305" s="28">
        <f>IF(OR(B305="",D305=""),"",MAX(0,NETWORKDAYS(B305,D305)-1))</f>
        <v/>
      </c>
      <c r="F305" s="37" t="n"/>
      <c r="G305" s="36" t="n"/>
      <c r="H305" s="37" t="n"/>
      <c r="I305" s="37" t="n"/>
      <c r="J305" s="37" t="n"/>
      <c r="K305" s="37" t="n"/>
      <c r="L305" s="36" t="n"/>
      <c r="M305" s="36" t="n"/>
      <c r="N305" s="33">
        <f>IF(M305="","",M305*LotSize)</f>
        <v/>
      </c>
      <c r="O305" s="51" t="n"/>
      <c r="P305" s="32" t="n"/>
      <c r="Q305" s="29" t="n"/>
      <c r="R305" s="30">
        <f>IF(OR(G305="",Q305="",H305=""),"",IF(H305="CE",G305-Q305,Q305-G305))</f>
        <v/>
      </c>
      <c r="S305" s="31">
        <f>IF(R305="","",R305/Q305)</f>
        <v/>
      </c>
      <c r="T305" s="38" t="n"/>
      <c r="U305" s="32" t="n"/>
      <c r="V305" s="52" t="n"/>
      <c r="W305" s="37" t="n"/>
      <c r="X305" s="32" t="n"/>
      <c r="Y305" s="32" t="n"/>
      <c r="Z305" s="39">
        <f>IF(OR(X305="",P305="",N305=""),"",ABS(X305-P305)*N305)</f>
        <v/>
      </c>
      <c r="AA305" s="53">
        <f>IF(OR(Z305="",Y305=""),"",IF(Z305=0,"",ABS(P305-Y305)*N305/Z305))</f>
        <v/>
      </c>
      <c r="AB305" s="54">
        <f>IF(Z305="","",Z305/Capital)</f>
        <v/>
      </c>
      <c r="AC305" s="5">
        <f>IF(B305="","",IF(X305="","NO SL",IF(OR(N(M305)&gt;MaxLots,N(AB305)&gt;RiskPct),"OVERSIZED","OK")))</f>
        <v/>
      </c>
      <c r="AD305" s="51" t="n"/>
      <c r="AE305" s="32" t="n"/>
      <c r="AF305" s="37" t="n"/>
      <c r="AG305" s="32" t="n"/>
      <c r="AH305" s="32" t="n"/>
      <c r="AI305" s="39">
        <f>IF(OR(AG305="",P305="",N305=""),"",ABS(AG305-P305)*N305)</f>
        <v/>
      </c>
      <c r="AJ305" s="39">
        <f>IF(OR(AH305="",P305="",N305=""),"",ABS(P305-AH305)*N305)</f>
        <v/>
      </c>
      <c r="AK305" s="39">
        <f>IF(OR(AE305="",P305="",N305=""),"",IF(I305="Buy",AE305-P305,P305-AE305)*N305)</f>
        <v/>
      </c>
      <c r="AL305" s="39">
        <f>IF(OR(AJ305="",AK305=""),"",MAX(0,AJ305-AK305))</f>
        <v/>
      </c>
      <c r="AM305" s="39">
        <f>IF(AK305="","",(P305+AE305)*N305)</f>
        <v/>
      </c>
      <c r="AN305" s="55">
        <f>IF(AK305="","",BrokeragePerOrder*2*MAX(1,N(L305)))</f>
        <v/>
      </c>
      <c r="AO305" s="55">
        <f>IF(AK305="","",STTRate*IF(I305="Buy",AE305,P305)*N305)</f>
        <v/>
      </c>
      <c r="AP305" s="55">
        <f>IF(AK305="","",ExchRate*AM305)</f>
        <v/>
      </c>
      <c r="AQ305" s="55">
        <f>IF(AK305="","",SEBIRate*AM305)</f>
        <v/>
      </c>
      <c r="AR305" s="55">
        <f>IF(AK305="","",StampRate*IF(I305="Buy",P305,AE305)*N305)</f>
        <v/>
      </c>
      <c r="AS305" s="55">
        <f>IF(AK305="","",GSTRate*(AN305+AP305+AQ305))</f>
        <v/>
      </c>
      <c r="AT305" s="55">
        <f>IF(AK305="","",AN305+AO305+AP305+AQ305+AR305+AS305)</f>
        <v/>
      </c>
      <c r="AU305" s="39">
        <f>IF(AK305="","",AK305-AT305)</f>
        <v/>
      </c>
      <c r="AV305" s="56">
        <f>IF(AU305="","",AU305/IF(N(Z305)&gt;0,Z305,RiskPerTrade))</f>
        <v/>
      </c>
      <c r="AW305" s="31">
        <f>IF(AU305="","",AU305/Capital)</f>
        <v/>
      </c>
      <c r="AX305" s="37" t="n"/>
      <c r="AY305" s="37" t="n"/>
      <c r="AZ305" s="37" t="n"/>
      <c r="BA305" s="37" t="n"/>
      <c r="BB305" s="37" t="n"/>
      <c r="BC305" s="37" t="n"/>
      <c r="BD305" s="37" t="n"/>
      <c r="BE305" s="5">
        <f>IF(AU305="","",IF(AU305&gt;0,"Win",IF(AU305&lt;0,"Loss","BE")))</f>
        <v/>
      </c>
      <c r="BF305" s="5">
        <f>IF(O305="","",LOOKUP(O305,List_BucketStart,List_BucketLabel))</f>
        <v/>
      </c>
      <c r="BG305" s="57">
        <f>IF(B305="","",B305-WEEKDAY(B305,3))</f>
        <v/>
      </c>
      <c r="BH305" s="28">
        <f>IF(B305="","",COUNTIF($B$6:B305,B305))</f>
        <v/>
      </c>
      <c r="BI305" s="39">
        <f>IF(B305="","",SUMIFS($AU$6:AU305,$B$6:B305,B305)-N(AU305))</f>
        <v/>
      </c>
      <c r="BJ305" s="5">
        <f>IF(OR(B305="",E305=""),"",IF(AND(E305=0,I305="Sell",MAX(N(O305),N(AD305))&gt;ExpiryCutoff),"BREACH","OK"))</f>
        <v/>
      </c>
      <c r="BK305" s="5">
        <f>IF(B305="","",IF(OR(AC305&lt;&gt;"OK",BJ305="BREACH",BH305&gt;MaxTradesDay,BI305&lt;=-DailyLossLimit,OR(AF305="Panic",AF305="Revenge",AF305="Rule break")),"CHECK","OK"))</f>
        <v/>
      </c>
      <c r="BL305" s="39">
        <f>IF(AU305="","",SUM($AU$6:AU305))</f>
        <v/>
      </c>
      <c r="BM305" s="39">
        <f>IF(BL305="","",Capital+BL305)</f>
        <v/>
      </c>
      <c r="BN305" s="39">
        <f>IF(BM305="","",MAX(Capital,MAX($BM$6:BM305)))</f>
        <v/>
      </c>
      <c r="BO305" s="39">
        <f>IF(BM305="","",BN305-BM305)</f>
        <v/>
      </c>
      <c r="BP305" s="58">
        <f>IF(BO305="","",BO305/BN305)</f>
        <v/>
      </c>
      <c r="BQ305" s="28">
        <f>IF(AU305="","",IF(AU305&lt;0,N(BQ304)+1,0))</f>
        <v/>
      </c>
    </row>
  </sheetData>
  <mergeCells count="10">
    <mergeCell ref="AM4:AS4"/>
    <mergeCell ref="A4:N4"/>
    <mergeCell ref="AT4:AW4"/>
    <mergeCell ref="AG4:AJ4"/>
    <mergeCell ref="AD4:AF4"/>
    <mergeCell ref="AX4:BD4"/>
    <mergeCell ref="O4:W4"/>
    <mergeCell ref="BE4:BQ4"/>
    <mergeCell ref="X4:AC4"/>
    <mergeCell ref="AK4:AL4"/>
  </mergeCells>
  <conditionalFormatting sqref="AU6:AU305">
    <cfRule type="cellIs" priority="1" operator="lessThan" dxfId="2">
      <formula>0</formula>
    </cfRule>
    <cfRule type="cellIs" priority="2" operator="greaterThan" dxfId="1">
      <formula>0</formula>
    </cfRule>
  </conditionalFormatting>
  <conditionalFormatting sqref="AK6:AK305">
    <cfRule type="cellIs" priority="3" operator="lessThan" dxfId="2">
      <formula>0</formula>
    </cfRule>
    <cfRule type="cellIs" priority="4" operator="greaterThan" dxfId="1">
      <formula>0</formula>
    </cfRule>
  </conditionalFormatting>
  <conditionalFormatting sqref="AV6:AV305">
    <cfRule type="cellIs" priority="5" operator="lessThan" dxfId="2">
      <formula>0</formula>
    </cfRule>
    <cfRule type="cellIs" priority="6" operator="greaterThan" dxfId="1">
      <formula>0</formula>
    </cfRule>
  </conditionalFormatting>
  <conditionalFormatting sqref="AW6:AW305">
    <cfRule type="cellIs" priority="7" operator="lessThan" dxfId="2">
      <formula>0</formula>
    </cfRule>
    <cfRule type="cellIs" priority="8" operator="greaterThan" dxfId="1">
      <formula>0</formula>
    </cfRule>
  </conditionalFormatting>
  <conditionalFormatting sqref="AC6:AC305">
    <cfRule type="expression" priority="9" dxfId="0">
      <formula>AND(AC6&lt;&gt;"",AC6&lt;&gt;"OK")</formula>
    </cfRule>
  </conditionalFormatting>
  <conditionalFormatting sqref="BJ6:BJ305">
    <cfRule type="expression" priority="10" dxfId="0">
      <formula>BJ6="BREACH"</formula>
    </cfRule>
  </conditionalFormatting>
  <conditionalFormatting sqref="BK6:BK305">
    <cfRule type="expression" priority="11" dxfId="3">
      <formula>BK6="CHECK"</formula>
    </cfRule>
  </conditionalFormatting>
  <conditionalFormatting sqref="AF6:AF305">
    <cfRule type="expression" priority="12" dxfId="2">
      <formula>OR(AF6="Panic",AF6="Revenge",AF6="Rule break")</formula>
    </cfRule>
  </conditionalFormatting>
  <conditionalFormatting sqref="AX6:AX305">
    <cfRule type="expression" priority="13" dxfId="2">
      <formula>AX6="N"</formula>
    </cfRule>
  </conditionalFormatting>
  <conditionalFormatting sqref="AL6:AL305">
    <cfRule type="expression" priority="14" dxfId="4">
      <formula>AND(ISNUMBER(AL6),AL6&gt;=RiskPerTrade)</formula>
    </cfRule>
  </conditionalFormatting>
  <conditionalFormatting sqref="BH6:BH305">
    <cfRule type="expression" priority="15" dxfId="2">
      <formula>AND(ISNUMBER(BH6),BH6&gt;MaxTradesDay)</formula>
    </cfRule>
  </conditionalFormatting>
  <dataValidations count="23">
    <dataValidation sqref="F6:F305" showDropDown="0" showInputMessage="0" showErrorMessage="1" allowBlank="1" errorTitle="Pick from list" error="Choose a value from the dropdown (edit choices on LISTS)." type="list">
      <formula1>=List_Instrument</formula1>
    </dataValidation>
    <dataValidation sqref="H6:H305" showDropDown="0" showInputMessage="0" showErrorMessage="1" allowBlank="1" errorTitle="Pick from list" error="Choose a value from the dropdown (edit choices on LISTS)." type="list">
      <formula1>=List_OptType</formula1>
    </dataValidation>
    <dataValidation sqref="I6:I305" showDropDown="0" showInputMessage="0" showErrorMessage="1" allowBlank="1" errorTitle="Pick from list" error="Choose a value from the dropdown (edit choices on LISTS)." type="list">
      <formula1>=List_Side</formula1>
    </dataValidation>
    <dataValidation sqref="J6:J305" showDropDown="0" showInputMessage="1" showErrorMessage="1" allowBlank="1" errorTitle="Pick from list" error="Choose a value from the dropdown (edit choices on LISTS)." promptTitle="Input" prompt="For spreads, log net credit and set Legs." type="list">
      <formula1>=List_Strategy</formula1>
    </dataValidation>
    <dataValidation sqref="W6:W305" showDropDown="0" showInputMessage="0" showErrorMessage="1" allowBlank="1" errorTitle="Pick from list" error="Choose a value from the dropdown (edit choices on LISTS)." type="list">
      <formula1>=List_YN</formula1>
    </dataValidation>
    <dataValidation sqref="AF6:AF305" showDropDown="0" showInputMessage="0" showErrorMessage="1" allowBlank="1" errorTitle="Pick from list" error="Choose a value from the dropdown (edit choices on LISTS)." type="list">
      <formula1>=List_ExitReason</formula1>
    </dataValidation>
    <dataValidation sqref="AX6:AX305" showDropDown="0" showInputMessage="0" showErrorMessage="1" allowBlank="1" errorTitle="Pick from list" error="Choose a value from the dropdown (edit choices on LISTS)." type="list">
      <formula1>=List_YN</formula1>
    </dataValidation>
    <dataValidation sqref="AY6:AY305" showDropDown="0" showInputMessage="0" showErrorMessage="1" allowBlank="1" errorTitle="Pick from list" error="Choose a value from the dropdown (edit choices on LISTS)." type="list">
      <formula1>=List_RuleBroken</formula1>
    </dataValidation>
    <dataValidation sqref="AZ6:AZ305" showDropDown="0" showInputMessage="0" showErrorMessage="1" allowBlank="1" errorTitle="Pick from list" error="Choose a value from the dropdown (edit choices on LISTS)." type="list">
      <formula1>=List_Emotion</formula1>
    </dataValidation>
    <dataValidation sqref="BA6:BA305" showDropDown="0" showInputMessage="0" showErrorMessage="1" allowBlank="1" errorTitle="Pick from list" error="Choose a value from the dropdown (edit choices on LISTS)." type="list">
      <formula1>=List_Emotion</formula1>
    </dataValidation>
    <dataValidation sqref="BB6:BB305" showDropDown="0" showInputMessage="0" showErrorMessage="1" allowBlank="1" errorTitle="Pick from list" error="Choose a value from the dropdown (edit choices on LISTS)." type="list">
      <formula1>=List_Grade</formula1>
    </dataValidation>
    <dataValidation sqref="M6:M305" showDropDown="0" showInputMessage="1" showErrorMessage="1" allowBlank="1" error="Whole number of lots." promptTitle="Lots" prompt="Whole number of lots." type="whole" operator="between">
      <formula1>1</formula1>
      <formula2>100</formula2>
    </dataValidation>
    <dataValidation sqref="L6:L305" showDropDown="0" showInputMessage="1" showErrorMessage="1" allowBlank="1" error="1 = single option, 2 = spread, 4 = condor/fly." promptTitle="Legs" prompt="1 = single option, 2 = spread, 4 = condor/fly." type="whole" operator="between">
      <formula1>1</formula1>
      <formula2>4</formula2>
    </dataValidation>
    <dataValidation sqref="B6:B305" showDropDown="0" showInputMessage="0" showErrorMessage="1" allowBlank="1" error="Enter a date (e.g. 29-09-2026)." type="date" operator="greaterThan">
      <formula1>43831</formula1>
    </dataValidation>
    <dataValidation sqref="D6:D305" showDropDown="0" showInputMessage="0" showErrorMessage="1" allowBlank="1" error="Enter a date (e.g. 29-09-2026)." type="date" operator="greaterThan">
      <formula1>43831</formula1>
    </dataValidation>
    <dataValidation sqref="O6:O305" showDropDown="0" showInputMessage="0" showErrorMessage="1" allowBlank="1" error="Enter a market-hours time, e.g. 10:40." type="time" operator="between">
      <formula1>0.375</formula1>
      <formula2>0.6667</formula2>
    </dataValidation>
    <dataValidation sqref="AD6:AD305" showDropDown="0" showInputMessage="0" showErrorMessage="1" allowBlank="1" error="Enter a market-hours time, e.g. 10:40." type="time" operator="between">
      <formula1>0.375</formula1>
      <formula2>0.6667</formula2>
    </dataValidation>
    <dataValidation sqref="P6:P305" showDropDown="0" showInputMessage="0" showErrorMessage="1" allowBlank="1" error="Premium must be ≥ 0." type="decimal" operator="greaterThanOrEqual">
      <formula1>0</formula1>
    </dataValidation>
    <dataValidation sqref="AE6:AE305" showDropDown="0" showInputMessage="0" showErrorMessage="1" allowBlank="1" error="Premium must be ≥ 0." type="decimal" operator="greaterThanOrEqual">
      <formula1>0</formula1>
    </dataValidation>
    <dataValidation sqref="X6:X305" showDropDown="0" showInputMessage="0" showErrorMessage="1" allowBlank="1" error="Premium must be ≥ 0." type="decimal" operator="greaterThanOrEqual">
      <formula1>0</formula1>
    </dataValidation>
    <dataValidation sqref="Y6:Y305" showDropDown="0" showInputMessage="0" showErrorMessage="1" allowBlank="1" error="Premium must be ≥ 0." type="decimal" operator="greaterThanOrEqual">
      <formula1>0</formula1>
    </dataValidation>
    <dataValidation sqref="AG6:AG305" showDropDown="0" showInputMessage="0" showErrorMessage="1" allowBlank="1" error="Premium must be ≥ 0." type="decimal" operator="greaterThanOrEqual">
      <formula1>0</formula1>
    </dataValidation>
    <dataValidation sqref="AH6:AH305" showDropDown="0" showInputMessage="0" showErrorMessage="1" allowBlank="1" error="Premium must be ≥ 0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404040"/>
    <outlinePr summaryBelow="1" summaryRight="1"/>
    <pageSetUpPr/>
  </sheetPr>
  <dimension ref="A1:X205"/>
  <sheetViews>
    <sheetView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5" customWidth="1" min="24" max="24"/>
  </cols>
  <sheetData>
    <row r="1">
      <c r="A1" s="1" t="inlineStr">
        <is>
          <t>DAILY SUMMARY – fully automatic from TRADE LOG</t>
        </is>
      </c>
    </row>
    <row r="2">
      <c r="A2" s="2" t="inlineStr">
        <is>
          <t>Dates are pulled from TRADE LOG in ascending order. Do not type here. Weekly drawdown = week-to-date net loss.</t>
        </is>
      </c>
    </row>
    <row r="5" ht="42" customHeight="1">
      <c r="A5" s="26" t="inlineStr">
        <is>
          <t>Date</t>
        </is>
      </c>
      <c r="B5" s="26" t="inlineStr">
        <is>
          <t>Day</t>
        </is>
      </c>
      <c r="C5" s="26" t="inlineStr">
        <is>
          <t>Trades</t>
        </is>
      </c>
      <c r="D5" s="26" t="inlineStr">
        <is>
          <t>Wins</t>
        </is>
      </c>
      <c r="E5" s="26" t="inlineStr">
        <is>
          <t>Losses</t>
        </is>
      </c>
      <c r="F5" s="26" t="inlineStr">
        <is>
          <t>Gross P&amp;L ₹</t>
        </is>
      </c>
      <c r="G5" s="26" t="inlineStr">
        <is>
          <t>Charges ₹</t>
        </is>
      </c>
      <c r="H5" s="26" t="inlineStr">
        <is>
          <t>Net P&amp;L ₹</t>
        </is>
      </c>
      <c r="I5" s="26" t="inlineStr">
        <is>
          <t>Cumulative Net ₹</t>
        </is>
      </c>
      <c r="J5" s="26" t="inlineStr">
        <is>
          <t>Equity ₹</t>
        </is>
      </c>
      <c r="K5" s="26" t="inlineStr">
        <is>
          <t>Peak Equity ₹</t>
        </is>
      </c>
      <c r="L5" s="26" t="inlineStr">
        <is>
          <t>Drawdown from Peak ₹</t>
        </is>
      </c>
      <c r="M5" s="26" t="inlineStr">
        <is>
          <t>Drawdown %</t>
        </is>
      </c>
      <c r="N5" s="26" t="inlineStr">
        <is>
          <t>Week Start (Mon)</t>
        </is>
      </c>
      <c r="O5" s="26" t="inlineStr">
        <is>
          <t>Week-to-Date Net ₹</t>
        </is>
      </c>
      <c r="P5" s="26" t="inlineStr">
        <is>
          <t>Rule Adherence %</t>
        </is>
      </c>
      <c r="Q5" s="26" t="inlineStr">
        <is>
          <t>Rule Breaks</t>
        </is>
      </c>
      <c r="R5" s="26" t="inlineStr">
        <is>
          <t>Max Lots Used</t>
        </is>
      </c>
      <c r="S5" s="26" t="inlineStr">
        <is>
          <t>Profit Given Back ₹</t>
        </is>
      </c>
      <c r="T5" s="26" t="inlineStr">
        <is>
          <t>Expiry Cutoff Breaches</t>
        </is>
      </c>
      <c r="U5" s="26" t="inlineStr">
        <is>
          <t>Daily Loss Limit</t>
        </is>
      </c>
      <c r="V5" s="26" t="inlineStr">
        <is>
          <t>Max Trades</t>
        </is>
      </c>
      <c r="W5" s="26" t="inlineStr">
        <is>
          <t>Weekly Drawdown</t>
        </is>
      </c>
      <c r="X5" s="26" t="inlineStr">
        <is>
          <t>Day Status</t>
        </is>
      </c>
    </row>
    <row r="6">
      <c r="A6" s="57">
        <f>IFERROR(SMALL(TL_Date,1),"")</f>
        <v/>
      </c>
      <c r="B6" s="5">
        <f>IF(A6="","",TEXT(A6,"ddd"))</f>
        <v/>
      </c>
      <c r="C6" s="28">
        <f>IF(A6="","",COUNTIF(TL_Date,A6))</f>
        <v/>
      </c>
      <c r="D6" s="28">
        <f>IF(A6="","",COUNTIFS(TL_Date,A6,TL_Net,"&gt;0"))</f>
        <v/>
      </c>
      <c r="E6" s="28">
        <f>IF(A6="","",COUNTIFS(TL_Date,A6,TL_Net,"&lt;0"))</f>
        <v/>
      </c>
      <c r="F6" s="39">
        <f>IF(A6="","",SUMIFS(TL_Gross,TL_Date,A6))</f>
        <v/>
      </c>
      <c r="G6" s="39">
        <f>IF(A6="","",SUMIFS(TL_Chg,TL_Date,A6))</f>
        <v/>
      </c>
      <c r="H6" s="39">
        <f>IF(A6="","",SUMIFS(TL_Net,TL_Date,A6))</f>
        <v/>
      </c>
      <c r="I6" s="39">
        <f>IF(A6="","",SUM($H$6:H6))</f>
        <v/>
      </c>
      <c r="J6" s="39">
        <f>IF(A6="","",Capital+I6)</f>
        <v/>
      </c>
      <c r="K6" s="39">
        <f>IF(A6="","",MAX(Capital,MAX($J$6:J6)))</f>
        <v/>
      </c>
      <c r="L6" s="39">
        <f>IF(A6="","",K6-J6)</f>
        <v/>
      </c>
      <c r="M6" s="58">
        <f>IF(A6="","",L6/K6)</f>
        <v/>
      </c>
      <c r="N6" s="57">
        <f>IF(A6="","",A6-WEEKDAY(A6,3))</f>
        <v/>
      </c>
      <c r="O6" s="39">
        <f>IF(A6="","",SUMIFS($H$6:H6,$N$6:N6,N6))</f>
        <v/>
      </c>
      <c r="P6" s="58">
        <f>IF(A6="","",IFERROR(COUNTIFS(TL_Date,A6,TL_Followed,"Y")/C6,0))</f>
        <v/>
      </c>
      <c r="Q6" s="28">
        <f>IF(A6="","",COUNTIFS(TL_Date,A6,TL_Followed,"N"))</f>
        <v/>
      </c>
      <c r="R6" s="28">
        <f>IF(A6="","",_xlfn.MAXIFS(TL_Lots,TL_Date,A6))</f>
        <v/>
      </c>
      <c r="S6" s="39">
        <f>IF(A6="","",SUMIFS(TL_GiveBack,TL_Date,A6))</f>
        <v/>
      </c>
      <c r="T6" s="28">
        <f>IF(A6="","",COUNTIFS(TL_Date,A6,TL_ExpBreach,"BREACH"))</f>
        <v/>
      </c>
      <c r="U6" s="5">
        <f>IF(A6="","",IF(H6&lt;=-DailyLossLimit,"BREACH","OK"))</f>
        <v/>
      </c>
      <c r="V6" s="5">
        <f>IF(A6="","",IF(C6&gt;MaxTradesDay,"BREACH","OK"))</f>
        <v/>
      </c>
      <c r="W6" s="5">
        <f>IF(A6="","",IF(O6&lt;=-WeeklyDDLimit,"BREACH","OK"))</f>
        <v/>
      </c>
      <c r="X6" s="5">
        <f>IF(A6="","",IF(OR(U6="BREACH",V6="BREACH",W6="BREACH",T6&gt;0,R6&gt;MaxLots),"LIMIT BROKEN","OK"))</f>
        <v/>
      </c>
    </row>
    <row r="7">
      <c r="A7" s="57">
        <f>IF(A6="","",IFERROR(SMALL(TL_Date,COUNTIF(TL_Date,"&lt;="&amp;A6)+1),""))</f>
        <v/>
      </c>
      <c r="B7" s="5">
        <f>IF(A7="","",TEXT(A7,"ddd"))</f>
        <v/>
      </c>
      <c r="C7" s="28">
        <f>IF(A7="","",COUNTIF(TL_Date,A7))</f>
        <v/>
      </c>
      <c r="D7" s="28">
        <f>IF(A7="","",COUNTIFS(TL_Date,A7,TL_Net,"&gt;0"))</f>
        <v/>
      </c>
      <c r="E7" s="28">
        <f>IF(A7="","",COUNTIFS(TL_Date,A7,TL_Net,"&lt;0"))</f>
        <v/>
      </c>
      <c r="F7" s="39">
        <f>IF(A7="","",SUMIFS(TL_Gross,TL_Date,A7))</f>
        <v/>
      </c>
      <c r="G7" s="39">
        <f>IF(A7="","",SUMIFS(TL_Chg,TL_Date,A7))</f>
        <v/>
      </c>
      <c r="H7" s="39">
        <f>IF(A7="","",SUMIFS(TL_Net,TL_Date,A7))</f>
        <v/>
      </c>
      <c r="I7" s="39">
        <f>IF(A7="","",SUM($H$6:H7))</f>
        <v/>
      </c>
      <c r="J7" s="39">
        <f>IF(A7="","",Capital+I7)</f>
        <v/>
      </c>
      <c r="K7" s="39">
        <f>IF(A7="","",MAX(Capital,MAX($J$6:J7)))</f>
        <v/>
      </c>
      <c r="L7" s="39">
        <f>IF(A7="","",K7-J7)</f>
        <v/>
      </c>
      <c r="M7" s="58">
        <f>IF(A7="","",L7/K7)</f>
        <v/>
      </c>
      <c r="N7" s="57">
        <f>IF(A7="","",A7-WEEKDAY(A7,3))</f>
        <v/>
      </c>
      <c r="O7" s="39">
        <f>IF(A7="","",SUMIFS($H$6:H7,$N$6:N7,N7))</f>
        <v/>
      </c>
      <c r="P7" s="58">
        <f>IF(A7="","",IFERROR(COUNTIFS(TL_Date,A7,TL_Followed,"Y")/C7,0))</f>
        <v/>
      </c>
      <c r="Q7" s="28">
        <f>IF(A7="","",COUNTIFS(TL_Date,A7,TL_Followed,"N"))</f>
        <v/>
      </c>
      <c r="R7" s="28">
        <f>IF(A7="","",_xlfn.MAXIFS(TL_Lots,TL_Date,A7))</f>
        <v/>
      </c>
      <c r="S7" s="39">
        <f>IF(A7="","",SUMIFS(TL_GiveBack,TL_Date,A7))</f>
        <v/>
      </c>
      <c r="T7" s="28">
        <f>IF(A7="","",COUNTIFS(TL_Date,A7,TL_ExpBreach,"BREACH"))</f>
        <v/>
      </c>
      <c r="U7" s="5">
        <f>IF(A7="","",IF(H7&lt;=-DailyLossLimit,"BREACH","OK"))</f>
        <v/>
      </c>
      <c r="V7" s="5">
        <f>IF(A7="","",IF(C7&gt;MaxTradesDay,"BREACH","OK"))</f>
        <v/>
      </c>
      <c r="W7" s="5">
        <f>IF(A7="","",IF(O7&lt;=-WeeklyDDLimit,"BREACH","OK"))</f>
        <v/>
      </c>
      <c r="X7" s="5">
        <f>IF(A7="","",IF(OR(U7="BREACH",V7="BREACH",W7="BREACH",T7&gt;0,R7&gt;MaxLots),"LIMIT BROKEN","OK"))</f>
        <v/>
      </c>
    </row>
    <row r="8">
      <c r="A8" s="57">
        <f>IF(A7="","",IFERROR(SMALL(TL_Date,COUNTIF(TL_Date,"&lt;="&amp;A7)+1),""))</f>
        <v/>
      </c>
      <c r="B8" s="5">
        <f>IF(A8="","",TEXT(A8,"ddd"))</f>
        <v/>
      </c>
      <c r="C8" s="28">
        <f>IF(A8="","",COUNTIF(TL_Date,A8))</f>
        <v/>
      </c>
      <c r="D8" s="28">
        <f>IF(A8="","",COUNTIFS(TL_Date,A8,TL_Net,"&gt;0"))</f>
        <v/>
      </c>
      <c r="E8" s="28">
        <f>IF(A8="","",COUNTIFS(TL_Date,A8,TL_Net,"&lt;0"))</f>
        <v/>
      </c>
      <c r="F8" s="39">
        <f>IF(A8="","",SUMIFS(TL_Gross,TL_Date,A8))</f>
        <v/>
      </c>
      <c r="G8" s="39">
        <f>IF(A8="","",SUMIFS(TL_Chg,TL_Date,A8))</f>
        <v/>
      </c>
      <c r="H8" s="39">
        <f>IF(A8="","",SUMIFS(TL_Net,TL_Date,A8))</f>
        <v/>
      </c>
      <c r="I8" s="39">
        <f>IF(A8="","",SUM($H$6:H8))</f>
        <v/>
      </c>
      <c r="J8" s="39">
        <f>IF(A8="","",Capital+I8)</f>
        <v/>
      </c>
      <c r="K8" s="39">
        <f>IF(A8="","",MAX(Capital,MAX($J$6:J8)))</f>
        <v/>
      </c>
      <c r="L8" s="39">
        <f>IF(A8="","",K8-J8)</f>
        <v/>
      </c>
      <c r="M8" s="58">
        <f>IF(A8="","",L8/K8)</f>
        <v/>
      </c>
      <c r="N8" s="57">
        <f>IF(A8="","",A8-WEEKDAY(A8,3))</f>
        <v/>
      </c>
      <c r="O8" s="39">
        <f>IF(A8="","",SUMIFS($H$6:H8,$N$6:N8,N8))</f>
        <v/>
      </c>
      <c r="P8" s="58">
        <f>IF(A8="","",IFERROR(COUNTIFS(TL_Date,A8,TL_Followed,"Y")/C8,0))</f>
        <v/>
      </c>
      <c r="Q8" s="28">
        <f>IF(A8="","",COUNTIFS(TL_Date,A8,TL_Followed,"N"))</f>
        <v/>
      </c>
      <c r="R8" s="28">
        <f>IF(A8="","",_xlfn.MAXIFS(TL_Lots,TL_Date,A8))</f>
        <v/>
      </c>
      <c r="S8" s="39">
        <f>IF(A8="","",SUMIFS(TL_GiveBack,TL_Date,A8))</f>
        <v/>
      </c>
      <c r="T8" s="28">
        <f>IF(A8="","",COUNTIFS(TL_Date,A8,TL_ExpBreach,"BREACH"))</f>
        <v/>
      </c>
      <c r="U8" s="5">
        <f>IF(A8="","",IF(H8&lt;=-DailyLossLimit,"BREACH","OK"))</f>
        <v/>
      </c>
      <c r="V8" s="5">
        <f>IF(A8="","",IF(C8&gt;MaxTradesDay,"BREACH","OK"))</f>
        <v/>
      </c>
      <c r="W8" s="5">
        <f>IF(A8="","",IF(O8&lt;=-WeeklyDDLimit,"BREACH","OK"))</f>
        <v/>
      </c>
      <c r="X8" s="5">
        <f>IF(A8="","",IF(OR(U8="BREACH",V8="BREACH",W8="BREACH",T8&gt;0,R8&gt;MaxLots),"LIMIT BROKEN","OK"))</f>
        <v/>
      </c>
    </row>
    <row r="9">
      <c r="A9" s="57">
        <f>IF(A8="","",IFERROR(SMALL(TL_Date,COUNTIF(TL_Date,"&lt;="&amp;A8)+1),""))</f>
        <v/>
      </c>
      <c r="B9" s="5">
        <f>IF(A9="","",TEXT(A9,"ddd"))</f>
        <v/>
      </c>
      <c r="C9" s="28">
        <f>IF(A9="","",COUNTIF(TL_Date,A9))</f>
        <v/>
      </c>
      <c r="D9" s="28">
        <f>IF(A9="","",COUNTIFS(TL_Date,A9,TL_Net,"&gt;0"))</f>
        <v/>
      </c>
      <c r="E9" s="28">
        <f>IF(A9="","",COUNTIFS(TL_Date,A9,TL_Net,"&lt;0"))</f>
        <v/>
      </c>
      <c r="F9" s="39">
        <f>IF(A9="","",SUMIFS(TL_Gross,TL_Date,A9))</f>
        <v/>
      </c>
      <c r="G9" s="39">
        <f>IF(A9="","",SUMIFS(TL_Chg,TL_Date,A9))</f>
        <v/>
      </c>
      <c r="H9" s="39">
        <f>IF(A9="","",SUMIFS(TL_Net,TL_Date,A9))</f>
        <v/>
      </c>
      <c r="I9" s="39">
        <f>IF(A9="","",SUM($H$6:H9))</f>
        <v/>
      </c>
      <c r="J9" s="39">
        <f>IF(A9="","",Capital+I9)</f>
        <v/>
      </c>
      <c r="K9" s="39">
        <f>IF(A9="","",MAX(Capital,MAX($J$6:J9)))</f>
        <v/>
      </c>
      <c r="L9" s="39">
        <f>IF(A9="","",K9-J9)</f>
        <v/>
      </c>
      <c r="M9" s="58">
        <f>IF(A9="","",L9/K9)</f>
        <v/>
      </c>
      <c r="N9" s="57">
        <f>IF(A9="","",A9-WEEKDAY(A9,3))</f>
        <v/>
      </c>
      <c r="O9" s="39">
        <f>IF(A9="","",SUMIFS($H$6:H9,$N$6:N9,N9))</f>
        <v/>
      </c>
      <c r="P9" s="58">
        <f>IF(A9="","",IFERROR(COUNTIFS(TL_Date,A9,TL_Followed,"Y")/C9,0))</f>
        <v/>
      </c>
      <c r="Q9" s="28">
        <f>IF(A9="","",COUNTIFS(TL_Date,A9,TL_Followed,"N"))</f>
        <v/>
      </c>
      <c r="R9" s="28">
        <f>IF(A9="","",_xlfn.MAXIFS(TL_Lots,TL_Date,A9))</f>
        <v/>
      </c>
      <c r="S9" s="39">
        <f>IF(A9="","",SUMIFS(TL_GiveBack,TL_Date,A9))</f>
        <v/>
      </c>
      <c r="T9" s="28">
        <f>IF(A9="","",COUNTIFS(TL_Date,A9,TL_ExpBreach,"BREACH"))</f>
        <v/>
      </c>
      <c r="U9" s="5">
        <f>IF(A9="","",IF(H9&lt;=-DailyLossLimit,"BREACH","OK"))</f>
        <v/>
      </c>
      <c r="V9" s="5">
        <f>IF(A9="","",IF(C9&gt;MaxTradesDay,"BREACH","OK"))</f>
        <v/>
      </c>
      <c r="W9" s="5">
        <f>IF(A9="","",IF(O9&lt;=-WeeklyDDLimit,"BREACH","OK"))</f>
        <v/>
      </c>
      <c r="X9" s="5">
        <f>IF(A9="","",IF(OR(U9="BREACH",V9="BREACH",W9="BREACH",T9&gt;0,R9&gt;MaxLots),"LIMIT BROKEN","OK"))</f>
        <v/>
      </c>
    </row>
    <row r="10">
      <c r="A10" s="57">
        <f>IF(A9="","",IFERROR(SMALL(TL_Date,COUNTIF(TL_Date,"&lt;="&amp;A9)+1),""))</f>
        <v/>
      </c>
      <c r="B10" s="5">
        <f>IF(A10="","",TEXT(A10,"ddd"))</f>
        <v/>
      </c>
      <c r="C10" s="28">
        <f>IF(A10="","",COUNTIF(TL_Date,A10))</f>
        <v/>
      </c>
      <c r="D10" s="28">
        <f>IF(A10="","",COUNTIFS(TL_Date,A10,TL_Net,"&gt;0"))</f>
        <v/>
      </c>
      <c r="E10" s="28">
        <f>IF(A10="","",COUNTIFS(TL_Date,A10,TL_Net,"&lt;0"))</f>
        <v/>
      </c>
      <c r="F10" s="39">
        <f>IF(A10="","",SUMIFS(TL_Gross,TL_Date,A10))</f>
        <v/>
      </c>
      <c r="G10" s="39">
        <f>IF(A10="","",SUMIFS(TL_Chg,TL_Date,A10))</f>
        <v/>
      </c>
      <c r="H10" s="39">
        <f>IF(A10="","",SUMIFS(TL_Net,TL_Date,A10))</f>
        <v/>
      </c>
      <c r="I10" s="39">
        <f>IF(A10="","",SUM($H$6:H10))</f>
        <v/>
      </c>
      <c r="J10" s="39">
        <f>IF(A10="","",Capital+I10)</f>
        <v/>
      </c>
      <c r="K10" s="39">
        <f>IF(A10="","",MAX(Capital,MAX($J$6:J10)))</f>
        <v/>
      </c>
      <c r="L10" s="39">
        <f>IF(A10="","",K10-J10)</f>
        <v/>
      </c>
      <c r="M10" s="58">
        <f>IF(A10="","",L10/K10)</f>
        <v/>
      </c>
      <c r="N10" s="57">
        <f>IF(A10="","",A10-WEEKDAY(A10,3))</f>
        <v/>
      </c>
      <c r="O10" s="39">
        <f>IF(A10="","",SUMIFS($H$6:H10,$N$6:N10,N10))</f>
        <v/>
      </c>
      <c r="P10" s="58">
        <f>IF(A10="","",IFERROR(COUNTIFS(TL_Date,A10,TL_Followed,"Y")/C10,0))</f>
        <v/>
      </c>
      <c r="Q10" s="28">
        <f>IF(A10="","",COUNTIFS(TL_Date,A10,TL_Followed,"N"))</f>
        <v/>
      </c>
      <c r="R10" s="28">
        <f>IF(A10="","",_xlfn.MAXIFS(TL_Lots,TL_Date,A10))</f>
        <v/>
      </c>
      <c r="S10" s="39">
        <f>IF(A10="","",SUMIFS(TL_GiveBack,TL_Date,A10))</f>
        <v/>
      </c>
      <c r="T10" s="28">
        <f>IF(A10="","",COUNTIFS(TL_Date,A10,TL_ExpBreach,"BREACH"))</f>
        <v/>
      </c>
      <c r="U10" s="5">
        <f>IF(A10="","",IF(H10&lt;=-DailyLossLimit,"BREACH","OK"))</f>
        <v/>
      </c>
      <c r="V10" s="5">
        <f>IF(A10="","",IF(C10&gt;MaxTradesDay,"BREACH","OK"))</f>
        <v/>
      </c>
      <c r="W10" s="5">
        <f>IF(A10="","",IF(O10&lt;=-WeeklyDDLimit,"BREACH","OK"))</f>
        <v/>
      </c>
      <c r="X10" s="5">
        <f>IF(A10="","",IF(OR(U10="BREACH",V10="BREACH",W10="BREACH",T10&gt;0,R10&gt;MaxLots),"LIMIT BROKEN","OK"))</f>
        <v/>
      </c>
    </row>
    <row r="11">
      <c r="A11" s="57">
        <f>IF(A10="","",IFERROR(SMALL(TL_Date,COUNTIF(TL_Date,"&lt;="&amp;A10)+1),""))</f>
        <v/>
      </c>
      <c r="B11" s="5">
        <f>IF(A11="","",TEXT(A11,"ddd"))</f>
        <v/>
      </c>
      <c r="C11" s="28">
        <f>IF(A11="","",COUNTIF(TL_Date,A11))</f>
        <v/>
      </c>
      <c r="D11" s="28">
        <f>IF(A11="","",COUNTIFS(TL_Date,A11,TL_Net,"&gt;0"))</f>
        <v/>
      </c>
      <c r="E11" s="28">
        <f>IF(A11="","",COUNTIFS(TL_Date,A11,TL_Net,"&lt;0"))</f>
        <v/>
      </c>
      <c r="F11" s="39">
        <f>IF(A11="","",SUMIFS(TL_Gross,TL_Date,A11))</f>
        <v/>
      </c>
      <c r="G11" s="39">
        <f>IF(A11="","",SUMIFS(TL_Chg,TL_Date,A11))</f>
        <v/>
      </c>
      <c r="H11" s="39">
        <f>IF(A11="","",SUMIFS(TL_Net,TL_Date,A11))</f>
        <v/>
      </c>
      <c r="I11" s="39">
        <f>IF(A11="","",SUM($H$6:H11))</f>
        <v/>
      </c>
      <c r="J11" s="39">
        <f>IF(A11="","",Capital+I11)</f>
        <v/>
      </c>
      <c r="K11" s="39">
        <f>IF(A11="","",MAX(Capital,MAX($J$6:J11)))</f>
        <v/>
      </c>
      <c r="L11" s="39">
        <f>IF(A11="","",K11-J11)</f>
        <v/>
      </c>
      <c r="M11" s="58">
        <f>IF(A11="","",L11/K11)</f>
        <v/>
      </c>
      <c r="N11" s="57">
        <f>IF(A11="","",A11-WEEKDAY(A11,3))</f>
        <v/>
      </c>
      <c r="O11" s="39">
        <f>IF(A11="","",SUMIFS($H$6:H11,$N$6:N11,N11))</f>
        <v/>
      </c>
      <c r="P11" s="58">
        <f>IF(A11="","",IFERROR(COUNTIFS(TL_Date,A11,TL_Followed,"Y")/C11,0))</f>
        <v/>
      </c>
      <c r="Q11" s="28">
        <f>IF(A11="","",COUNTIFS(TL_Date,A11,TL_Followed,"N"))</f>
        <v/>
      </c>
      <c r="R11" s="28">
        <f>IF(A11="","",_xlfn.MAXIFS(TL_Lots,TL_Date,A11))</f>
        <v/>
      </c>
      <c r="S11" s="39">
        <f>IF(A11="","",SUMIFS(TL_GiveBack,TL_Date,A11))</f>
        <v/>
      </c>
      <c r="T11" s="28">
        <f>IF(A11="","",COUNTIFS(TL_Date,A11,TL_ExpBreach,"BREACH"))</f>
        <v/>
      </c>
      <c r="U11" s="5">
        <f>IF(A11="","",IF(H11&lt;=-DailyLossLimit,"BREACH","OK"))</f>
        <v/>
      </c>
      <c r="V11" s="5">
        <f>IF(A11="","",IF(C11&gt;MaxTradesDay,"BREACH","OK"))</f>
        <v/>
      </c>
      <c r="W11" s="5">
        <f>IF(A11="","",IF(O11&lt;=-WeeklyDDLimit,"BREACH","OK"))</f>
        <v/>
      </c>
      <c r="X11" s="5">
        <f>IF(A11="","",IF(OR(U11="BREACH",V11="BREACH",W11="BREACH",T11&gt;0,R11&gt;MaxLots),"LIMIT BROKEN","OK"))</f>
        <v/>
      </c>
    </row>
    <row r="12">
      <c r="A12" s="57">
        <f>IF(A11="","",IFERROR(SMALL(TL_Date,COUNTIF(TL_Date,"&lt;="&amp;A11)+1),""))</f>
        <v/>
      </c>
      <c r="B12" s="5">
        <f>IF(A12="","",TEXT(A12,"ddd"))</f>
        <v/>
      </c>
      <c r="C12" s="28">
        <f>IF(A12="","",COUNTIF(TL_Date,A12))</f>
        <v/>
      </c>
      <c r="D12" s="28">
        <f>IF(A12="","",COUNTIFS(TL_Date,A12,TL_Net,"&gt;0"))</f>
        <v/>
      </c>
      <c r="E12" s="28">
        <f>IF(A12="","",COUNTIFS(TL_Date,A12,TL_Net,"&lt;0"))</f>
        <v/>
      </c>
      <c r="F12" s="39">
        <f>IF(A12="","",SUMIFS(TL_Gross,TL_Date,A12))</f>
        <v/>
      </c>
      <c r="G12" s="39">
        <f>IF(A12="","",SUMIFS(TL_Chg,TL_Date,A12))</f>
        <v/>
      </c>
      <c r="H12" s="39">
        <f>IF(A12="","",SUMIFS(TL_Net,TL_Date,A12))</f>
        <v/>
      </c>
      <c r="I12" s="39">
        <f>IF(A12="","",SUM($H$6:H12))</f>
        <v/>
      </c>
      <c r="J12" s="39">
        <f>IF(A12="","",Capital+I12)</f>
        <v/>
      </c>
      <c r="K12" s="39">
        <f>IF(A12="","",MAX(Capital,MAX($J$6:J12)))</f>
        <v/>
      </c>
      <c r="L12" s="39">
        <f>IF(A12="","",K12-J12)</f>
        <v/>
      </c>
      <c r="M12" s="58">
        <f>IF(A12="","",L12/K12)</f>
        <v/>
      </c>
      <c r="N12" s="57">
        <f>IF(A12="","",A12-WEEKDAY(A12,3))</f>
        <v/>
      </c>
      <c r="O12" s="39">
        <f>IF(A12="","",SUMIFS($H$6:H12,$N$6:N12,N12))</f>
        <v/>
      </c>
      <c r="P12" s="58">
        <f>IF(A12="","",IFERROR(COUNTIFS(TL_Date,A12,TL_Followed,"Y")/C12,0))</f>
        <v/>
      </c>
      <c r="Q12" s="28">
        <f>IF(A12="","",COUNTIFS(TL_Date,A12,TL_Followed,"N"))</f>
        <v/>
      </c>
      <c r="R12" s="28">
        <f>IF(A12="","",_xlfn.MAXIFS(TL_Lots,TL_Date,A12))</f>
        <v/>
      </c>
      <c r="S12" s="39">
        <f>IF(A12="","",SUMIFS(TL_GiveBack,TL_Date,A12))</f>
        <v/>
      </c>
      <c r="T12" s="28">
        <f>IF(A12="","",COUNTIFS(TL_Date,A12,TL_ExpBreach,"BREACH"))</f>
        <v/>
      </c>
      <c r="U12" s="5">
        <f>IF(A12="","",IF(H12&lt;=-DailyLossLimit,"BREACH","OK"))</f>
        <v/>
      </c>
      <c r="V12" s="5">
        <f>IF(A12="","",IF(C12&gt;MaxTradesDay,"BREACH","OK"))</f>
        <v/>
      </c>
      <c r="W12" s="5">
        <f>IF(A12="","",IF(O12&lt;=-WeeklyDDLimit,"BREACH","OK"))</f>
        <v/>
      </c>
      <c r="X12" s="5">
        <f>IF(A12="","",IF(OR(U12="BREACH",V12="BREACH",W12="BREACH",T12&gt;0,R12&gt;MaxLots),"LIMIT BROKEN","OK"))</f>
        <v/>
      </c>
    </row>
    <row r="13">
      <c r="A13" s="57">
        <f>IF(A12="","",IFERROR(SMALL(TL_Date,COUNTIF(TL_Date,"&lt;="&amp;A12)+1),""))</f>
        <v/>
      </c>
      <c r="B13" s="5">
        <f>IF(A13="","",TEXT(A13,"ddd"))</f>
        <v/>
      </c>
      <c r="C13" s="28">
        <f>IF(A13="","",COUNTIF(TL_Date,A13))</f>
        <v/>
      </c>
      <c r="D13" s="28">
        <f>IF(A13="","",COUNTIFS(TL_Date,A13,TL_Net,"&gt;0"))</f>
        <v/>
      </c>
      <c r="E13" s="28">
        <f>IF(A13="","",COUNTIFS(TL_Date,A13,TL_Net,"&lt;0"))</f>
        <v/>
      </c>
      <c r="F13" s="39">
        <f>IF(A13="","",SUMIFS(TL_Gross,TL_Date,A13))</f>
        <v/>
      </c>
      <c r="G13" s="39">
        <f>IF(A13="","",SUMIFS(TL_Chg,TL_Date,A13))</f>
        <v/>
      </c>
      <c r="H13" s="39">
        <f>IF(A13="","",SUMIFS(TL_Net,TL_Date,A13))</f>
        <v/>
      </c>
      <c r="I13" s="39">
        <f>IF(A13="","",SUM($H$6:H13))</f>
        <v/>
      </c>
      <c r="J13" s="39">
        <f>IF(A13="","",Capital+I13)</f>
        <v/>
      </c>
      <c r="K13" s="39">
        <f>IF(A13="","",MAX(Capital,MAX($J$6:J13)))</f>
        <v/>
      </c>
      <c r="L13" s="39">
        <f>IF(A13="","",K13-J13)</f>
        <v/>
      </c>
      <c r="M13" s="58">
        <f>IF(A13="","",L13/K13)</f>
        <v/>
      </c>
      <c r="N13" s="57">
        <f>IF(A13="","",A13-WEEKDAY(A13,3))</f>
        <v/>
      </c>
      <c r="O13" s="39">
        <f>IF(A13="","",SUMIFS($H$6:H13,$N$6:N13,N13))</f>
        <v/>
      </c>
      <c r="P13" s="58">
        <f>IF(A13="","",IFERROR(COUNTIFS(TL_Date,A13,TL_Followed,"Y")/C13,0))</f>
        <v/>
      </c>
      <c r="Q13" s="28">
        <f>IF(A13="","",COUNTIFS(TL_Date,A13,TL_Followed,"N"))</f>
        <v/>
      </c>
      <c r="R13" s="28">
        <f>IF(A13="","",_xlfn.MAXIFS(TL_Lots,TL_Date,A13))</f>
        <v/>
      </c>
      <c r="S13" s="39">
        <f>IF(A13="","",SUMIFS(TL_GiveBack,TL_Date,A13))</f>
        <v/>
      </c>
      <c r="T13" s="28">
        <f>IF(A13="","",COUNTIFS(TL_Date,A13,TL_ExpBreach,"BREACH"))</f>
        <v/>
      </c>
      <c r="U13" s="5">
        <f>IF(A13="","",IF(H13&lt;=-DailyLossLimit,"BREACH","OK"))</f>
        <v/>
      </c>
      <c r="V13" s="5">
        <f>IF(A13="","",IF(C13&gt;MaxTradesDay,"BREACH","OK"))</f>
        <v/>
      </c>
      <c r="W13" s="5">
        <f>IF(A13="","",IF(O13&lt;=-WeeklyDDLimit,"BREACH","OK"))</f>
        <v/>
      </c>
      <c r="X13" s="5">
        <f>IF(A13="","",IF(OR(U13="BREACH",V13="BREACH",W13="BREACH",T13&gt;0,R13&gt;MaxLots),"LIMIT BROKEN","OK"))</f>
        <v/>
      </c>
    </row>
    <row r="14">
      <c r="A14" s="57">
        <f>IF(A13="","",IFERROR(SMALL(TL_Date,COUNTIF(TL_Date,"&lt;="&amp;A13)+1),""))</f>
        <v/>
      </c>
      <c r="B14" s="5">
        <f>IF(A14="","",TEXT(A14,"ddd"))</f>
        <v/>
      </c>
      <c r="C14" s="28">
        <f>IF(A14="","",COUNTIF(TL_Date,A14))</f>
        <v/>
      </c>
      <c r="D14" s="28">
        <f>IF(A14="","",COUNTIFS(TL_Date,A14,TL_Net,"&gt;0"))</f>
        <v/>
      </c>
      <c r="E14" s="28">
        <f>IF(A14="","",COUNTIFS(TL_Date,A14,TL_Net,"&lt;0"))</f>
        <v/>
      </c>
      <c r="F14" s="39">
        <f>IF(A14="","",SUMIFS(TL_Gross,TL_Date,A14))</f>
        <v/>
      </c>
      <c r="G14" s="39">
        <f>IF(A14="","",SUMIFS(TL_Chg,TL_Date,A14))</f>
        <v/>
      </c>
      <c r="H14" s="39">
        <f>IF(A14="","",SUMIFS(TL_Net,TL_Date,A14))</f>
        <v/>
      </c>
      <c r="I14" s="39">
        <f>IF(A14="","",SUM($H$6:H14))</f>
        <v/>
      </c>
      <c r="J14" s="39">
        <f>IF(A14="","",Capital+I14)</f>
        <v/>
      </c>
      <c r="K14" s="39">
        <f>IF(A14="","",MAX(Capital,MAX($J$6:J14)))</f>
        <v/>
      </c>
      <c r="L14" s="39">
        <f>IF(A14="","",K14-J14)</f>
        <v/>
      </c>
      <c r="M14" s="58">
        <f>IF(A14="","",L14/K14)</f>
        <v/>
      </c>
      <c r="N14" s="57">
        <f>IF(A14="","",A14-WEEKDAY(A14,3))</f>
        <v/>
      </c>
      <c r="O14" s="39">
        <f>IF(A14="","",SUMIFS($H$6:H14,$N$6:N14,N14))</f>
        <v/>
      </c>
      <c r="P14" s="58">
        <f>IF(A14="","",IFERROR(COUNTIFS(TL_Date,A14,TL_Followed,"Y")/C14,0))</f>
        <v/>
      </c>
      <c r="Q14" s="28">
        <f>IF(A14="","",COUNTIFS(TL_Date,A14,TL_Followed,"N"))</f>
        <v/>
      </c>
      <c r="R14" s="28">
        <f>IF(A14="","",_xlfn.MAXIFS(TL_Lots,TL_Date,A14))</f>
        <v/>
      </c>
      <c r="S14" s="39">
        <f>IF(A14="","",SUMIFS(TL_GiveBack,TL_Date,A14))</f>
        <v/>
      </c>
      <c r="T14" s="28">
        <f>IF(A14="","",COUNTIFS(TL_Date,A14,TL_ExpBreach,"BREACH"))</f>
        <v/>
      </c>
      <c r="U14" s="5">
        <f>IF(A14="","",IF(H14&lt;=-DailyLossLimit,"BREACH","OK"))</f>
        <v/>
      </c>
      <c r="V14" s="5">
        <f>IF(A14="","",IF(C14&gt;MaxTradesDay,"BREACH","OK"))</f>
        <v/>
      </c>
      <c r="W14" s="5">
        <f>IF(A14="","",IF(O14&lt;=-WeeklyDDLimit,"BREACH","OK"))</f>
        <v/>
      </c>
      <c r="X14" s="5">
        <f>IF(A14="","",IF(OR(U14="BREACH",V14="BREACH",W14="BREACH",T14&gt;0,R14&gt;MaxLots),"LIMIT BROKEN","OK"))</f>
        <v/>
      </c>
    </row>
    <row r="15">
      <c r="A15" s="57">
        <f>IF(A14="","",IFERROR(SMALL(TL_Date,COUNTIF(TL_Date,"&lt;="&amp;A14)+1),""))</f>
        <v/>
      </c>
      <c r="B15" s="5">
        <f>IF(A15="","",TEXT(A15,"ddd"))</f>
        <v/>
      </c>
      <c r="C15" s="28">
        <f>IF(A15="","",COUNTIF(TL_Date,A15))</f>
        <v/>
      </c>
      <c r="D15" s="28">
        <f>IF(A15="","",COUNTIFS(TL_Date,A15,TL_Net,"&gt;0"))</f>
        <v/>
      </c>
      <c r="E15" s="28">
        <f>IF(A15="","",COUNTIFS(TL_Date,A15,TL_Net,"&lt;0"))</f>
        <v/>
      </c>
      <c r="F15" s="39">
        <f>IF(A15="","",SUMIFS(TL_Gross,TL_Date,A15))</f>
        <v/>
      </c>
      <c r="G15" s="39">
        <f>IF(A15="","",SUMIFS(TL_Chg,TL_Date,A15))</f>
        <v/>
      </c>
      <c r="H15" s="39">
        <f>IF(A15="","",SUMIFS(TL_Net,TL_Date,A15))</f>
        <v/>
      </c>
      <c r="I15" s="39">
        <f>IF(A15="","",SUM($H$6:H15))</f>
        <v/>
      </c>
      <c r="J15" s="39">
        <f>IF(A15="","",Capital+I15)</f>
        <v/>
      </c>
      <c r="K15" s="39">
        <f>IF(A15="","",MAX(Capital,MAX($J$6:J15)))</f>
        <v/>
      </c>
      <c r="L15" s="39">
        <f>IF(A15="","",K15-J15)</f>
        <v/>
      </c>
      <c r="M15" s="58">
        <f>IF(A15="","",L15/K15)</f>
        <v/>
      </c>
      <c r="N15" s="57">
        <f>IF(A15="","",A15-WEEKDAY(A15,3))</f>
        <v/>
      </c>
      <c r="O15" s="39">
        <f>IF(A15="","",SUMIFS($H$6:H15,$N$6:N15,N15))</f>
        <v/>
      </c>
      <c r="P15" s="58">
        <f>IF(A15="","",IFERROR(COUNTIFS(TL_Date,A15,TL_Followed,"Y")/C15,0))</f>
        <v/>
      </c>
      <c r="Q15" s="28">
        <f>IF(A15="","",COUNTIFS(TL_Date,A15,TL_Followed,"N"))</f>
        <v/>
      </c>
      <c r="R15" s="28">
        <f>IF(A15="","",_xlfn.MAXIFS(TL_Lots,TL_Date,A15))</f>
        <v/>
      </c>
      <c r="S15" s="39">
        <f>IF(A15="","",SUMIFS(TL_GiveBack,TL_Date,A15))</f>
        <v/>
      </c>
      <c r="T15" s="28">
        <f>IF(A15="","",COUNTIFS(TL_Date,A15,TL_ExpBreach,"BREACH"))</f>
        <v/>
      </c>
      <c r="U15" s="5">
        <f>IF(A15="","",IF(H15&lt;=-DailyLossLimit,"BREACH","OK"))</f>
        <v/>
      </c>
      <c r="V15" s="5">
        <f>IF(A15="","",IF(C15&gt;MaxTradesDay,"BREACH","OK"))</f>
        <v/>
      </c>
      <c r="W15" s="5">
        <f>IF(A15="","",IF(O15&lt;=-WeeklyDDLimit,"BREACH","OK"))</f>
        <v/>
      </c>
      <c r="X15" s="5">
        <f>IF(A15="","",IF(OR(U15="BREACH",V15="BREACH",W15="BREACH",T15&gt;0,R15&gt;MaxLots),"LIMIT BROKEN","OK"))</f>
        <v/>
      </c>
    </row>
    <row r="16">
      <c r="A16" s="57">
        <f>IF(A15="","",IFERROR(SMALL(TL_Date,COUNTIF(TL_Date,"&lt;="&amp;A15)+1),""))</f>
        <v/>
      </c>
      <c r="B16" s="5">
        <f>IF(A16="","",TEXT(A16,"ddd"))</f>
        <v/>
      </c>
      <c r="C16" s="28">
        <f>IF(A16="","",COUNTIF(TL_Date,A16))</f>
        <v/>
      </c>
      <c r="D16" s="28">
        <f>IF(A16="","",COUNTIFS(TL_Date,A16,TL_Net,"&gt;0"))</f>
        <v/>
      </c>
      <c r="E16" s="28">
        <f>IF(A16="","",COUNTIFS(TL_Date,A16,TL_Net,"&lt;0"))</f>
        <v/>
      </c>
      <c r="F16" s="39">
        <f>IF(A16="","",SUMIFS(TL_Gross,TL_Date,A16))</f>
        <v/>
      </c>
      <c r="G16" s="39">
        <f>IF(A16="","",SUMIFS(TL_Chg,TL_Date,A16))</f>
        <v/>
      </c>
      <c r="H16" s="39">
        <f>IF(A16="","",SUMIFS(TL_Net,TL_Date,A16))</f>
        <v/>
      </c>
      <c r="I16" s="39">
        <f>IF(A16="","",SUM($H$6:H16))</f>
        <v/>
      </c>
      <c r="J16" s="39">
        <f>IF(A16="","",Capital+I16)</f>
        <v/>
      </c>
      <c r="K16" s="39">
        <f>IF(A16="","",MAX(Capital,MAX($J$6:J16)))</f>
        <v/>
      </c>
      <c r="L16" s="39">
        <f>IF(A16="","",K16-J16)</f>
        <v/>
      </c>
      <c r="M16" s="58">
        <f>IF(A16="","",L16/K16)</f>
        <v/>
      </c>
      <c r="N16" s="57">
        <f>IF(A16="","",A16-WEEKDAY(A16,3))</f>
        <v/>
      </c>
      <c r="O16" s="39">
        <f>IF(A16="","",SUMIFS($H$6:H16,$N$6:N16,N16))</f>
        <v/>
      </c>
      <c r="P16" s="58">
        <f>IF(A16="","",IFERROR(COUNTIFS(TL_Date,A16,TL_Followed,"Y")/C16,0))</f>
        <v/>
      </c>
      <c r="Q16" s="28">
        <f>IF(A16="","",COUNTIFS(TL_Date,A16,TL_Followed,"N"))</f>
        <v/>
      </c>
      <c r="R16" s="28">
        <f>IF(A16="","",_xlfn.MAXIFS(TL_Lots,TL_Date,A16))</f>
        <v/>
      </c>
      <c r="S16" s="39">
        <f>IF(A16="","",SUMIFS(TL_GiveBack,TL_Date,A16))</f>
        <v/>
      </c>
      <c r="T16" s="28">
        <f>IF(A16="","",COUNTIFS(TL_Date,A16,TL_ExpBreach,"BREACH"))</f>
        <v/>
      </c>
      <c r="U16" s="5">
        <f>IF(A16="","",IF(H16&lt;=-DailyLossLimit,"BREACH","OK"))</f>
        <v/>
      </c>
      <c r="V16" s="5">
        <f>IF(A16="","",IF(C16&gt;MaxTradesDay,"BREACH","OK"))</f>
        <v/>
      </c>
      <c r="W16" s="5">
        <f>IF(A16="","",IF(O16&lt;=-WeeklyDDLimit,"BREACH","OK"))</f>
        <v/>
      </c>
      <c r="X16" s="5">
        <f>IF(A16="","",IF(OR(U16="BREACH",V16="BREACH",W16="BREACH",T16&gt;0,R16&gt;MaxLots),"LIMIT BROKEN","OK"))</f>
        <v/>
      </c>
    </row>
    <row r="17">
      <c r="A17" s="57">
        <f>IF(A16="","",IFERROR(SMALL(TL_Date,COUNTIF(TL_Date,"&lt;="&amp;A16)+1),""))</f>
        <v/>
      </c>
      <c r="B17" s="5">
        <f>IF(A17="","",TEXT(A17,"ddd"))</f>
        <v/>
      </c>
      <c r="C17" s="28">
        <f>IF(A17="","",COUNTIF(TL_Date,A17))</f>
        <v/>
      </c>
      <c r="D17" s="28">
        <f>IF(A17="","",COUNTIFS(TL_Date,A17,TL_Net,"&gt;0"))</f>
        <v/>
      </c>
      <c r="E17" s="28">
        <f>IF(A17="","",COUNTIFS(TL_Date,A17,TL_Net,"&lt;0"))</f>
        <v/>
      </c>
      <c r="F17" s="39">
        <f>IF(A17="","",SUMIFS(TL_Gross,TL_Date,A17))</f>
        <v/>
      </c>
      <c r="G17" s="39">
        <f>IF(A17="","",SUMIFS(TL_Chg,TL_Date,A17))</f>
        <v/>
      </c>
      <c r="H17" s="39">
        <f>IF(A17="","",SUMIFS(TL_Net,TL_Date,A17))</f>
        <v/>
      </c>
      <c r="I17" s="39">
        <f>IF(A17="","",SUM($H$6:H17))</f>
        <v/>
      </c>
      <c r="J17" s="39">
        <f>IF(A17="","",Capital+I17)</f>
        <v/>
      </c>
      <c r="K17" s="39">
        <f>IF(A17="","",MAX(Capital,MAX($J$6:J17)))</f>
        <v/>
      </c>
      <c r="L17" s="39">
        <f>IF(A17="","",K17-J17)</f>
        <v/>
      </c>
      <c r="M17" s="58">
        <f>IF(A17="","",L17/K17)</f>
        <v/>
      </c>
      <c r="N17" s="57">
        <f>IF(A17="","",A17-WEEKDAY(A17,3))</f>
        <v/>
      </c>
      <c r="O17" s="39">
        <f>IF(A17="","",SUMIFS($H$6:H17,$N$6:N17,N17))</f>
        <v/>
      </c>
      <c r="P17" s="58">
        <f>IF(A17="","",IFERROR(COUNTIFS(TL_Date,A17,TL_Followed,"Y")/C17,0))</f>
        <v/>
      </c>
      <c r="Q17" s="28">
        <f>IF(A17="","",COUNTIFS(TL_Date,A17,TL_Followed,"N"))</f>
        <v/>
      </c>
      <c r="R17" s="28">
        <f>IF(A17="","",_xlfn.MAXIFS(TL_Lots,TL_Date,A17))</f>
        <v/>
      </c>
      <c r="S17" s="39">
        <f>IF(A17="","",SUMIFS(TL_GiveBack,TL_Date,A17))</f>
        <v/>
      </c>
      <c r="T17" s="28">
        <f>IF(A17="","",COUNTIFS(TL_Date,A17,TL_ExpBreach,"BREACH"))</f>
        <v/>
      </c>
      <c r="U17" s="5">
        <f>IF(A17="","",IF(H17&lt;=-DailyLossLimit,"BREACH","OK"))</f>
        <v/>
      </c>
      <c r="V17" s="5">
        <f>IF(A17="","",IF(C17&gt;MaxTradesDay,"BREACH","OK"))</f>
        <v/>
      </c>
      <c r="W17" s="5">
        <f>IF(A17="","",IF(O17&lt;=-WeeklyDDLimit,"BREACH","OK"))</f>
        <v/>
      </c>
      <c r="X17" s="5">
        <f>IF(A17="","",IF(OR(U17="BREACH",V17="BREACH",W17="BREACH",T17&gt;0,R17&gt;MaxLots),"LIMIT BROKEN","OK"))</f>
        <v/>
      </c>
    </row>
    <row r="18">
      <c r="A18" s="57">
        <f>IF(A17="","",IFERROR(SMALL(TL_Date,COUNTIF(TL_Date,"&lt;="&amp;A17)+1),""))</f>
        <v/>
      </c>
      <c r="B18" s="5">
        <f>IF(A18="","",TEXT(A18,"ddd"))</f>
        <v/>
      </c>
      <c r="C18" s="28">
        <f>IF(A18="","",COUNTIF(TL_Date,A18))</f>
        <v/>
      </c>
      <c r="D18" s="28">
        <f>IF(A18="","",COUNTIFS(TL_Date,A18,TL_Net,"&gt;0"))</f>
        <v/>
      </c>
      <c r="E18" s="28">
        <f>IF(A18="","",COUNTIFS(TL_Date,A18,TL_Net,"&lt;0"))</f>
        <v/>
      </c>
      <c r="F18" s="39">
        <f>IF(A18="","",SUMIFS(TL_Gross,TL_Date,A18))</f>
        <v/>
      </c>
      <c r="G18" s="39">
        <f>IF(A18="","",SUMIFS(TL_Chg,TL_Date,A18))</f>
        <v/>
      </c>
      <c r="H18" s="39">
        <f>IF(A18="","",SUMIFS(TL_Net,TL_Date,A18))</f>
        <v/>
      </c>
      <c r="I18" s="39">
        <f>IF(A18="","",SUM($H$6:H18))</f>
        <v/>
      </c>
      <c r="J18" s="39">
        <f>IF(A18="","",Capital+I18)</f>
        <v/>
      </c>
      <c r="K18" s="39">
        <f>IF(A18="","",MAX(Capital,MAX($J$6:J18)))</f>
        <v/>
      </c>
      <c r="L18" s="39">
        <f>IF(A18="","",K18-J18)</f>
        <v/>
      </c>
      <c r="M18" s="58">
        <f>IF(A18="","",L18/K18)</f>
        <v/>
      </c>
      <c r="N18" s="57">
        <f>IF(A18="","",A18-WEEKDAY(A18,3))</f>
        <v/>
      </c>
      <c r="O18" s="39">
        <f>IF(A18="","",SUMIFS($H$6:H18,$N$6:N18,N18))</f>
        <v/>
      </c>
      <c r="P18" s="58">
        <f>IF(A18="","",IFERROR(COUNTIFS(TL_Date,A18,TL_Followed,"Y")/C18,0))</f>
        <v/>
      </c>
      <c r="Q18" s="28">
        <f>IF(A18="","",COUNTIFS(TL_Date,A18,TL_Followed,"N"))</f>
        <v/>
      </c>
      <c r="R18" s="28">
        <f>IF(A18="","",_xlfn.MAXIFS(TL_Lots,TL_Date,A18))</f>
        <v/>
      </c>
      <c r="S18" s="39">
        <f>IF(A18="","",SUMIFS(TL_GiveBack,TL_Date,A18))</f>
        <v/>
      </c>
      <c r="T18" s="28">
        <f>IF(A18="","",COUNTIFS(TL_Date,A18,TL_ExpBreach,"BREACH"))</f>
        <v/>
      </c>
      <c r="U18" s="5">
        <f>IF(A18="","",IF(H18&lt;=-DailyLossLimit,"BREACH","OK"))</f>
        <v/>
      </c>
      <c r="V18" s="5">
        <f>IF(A18="","",IF(C18&gt;MaxTradesDay,"BREACH","OK"))</f>
        <v/>
      </c>
      <c r="W18" s="5">
        <f>IF(A18="","",IF(O18&lt;=-WeeklyDDLimit,"BREACH","OK"))</f>
        <v/>
      </c>
      <c r="X18" s="5">
        <f>IF(A18="","",IF(OR(U18="BREACH",V18="BREACH",W18="BREACH",T18&gt;0,R18&gt;MaxLots),"LIMIT BROKEN","OK"))</f>
        <v/>
      </c>
    </row>
    <row r="19">
      <c r="A19" s="57">
        <f>IF(A18="","",IFERROR(SMALL(TL_Date,COUNTIF(TL_Date,"&lt;="&amp;A18)+1),""))</f>
        <v/>
      </c>
      <c r="B19" s="5">
        <f>IF(A19="","",TEXT(A19,"ddd"))</f>
        <v/>
      </c>
      <c r="C19" s="28">
        <f>IF(A19="","",COUNTIF(TL_Date,A19))</f>
        <v/>
      </c>
      <c r="D19" s="28">
        <f>IF(A19="","",COUNTIFS(TL_Date,A19,TL_Net,"&gt;0"))</f>
        <v/>
      </c>
      <c r="E19" s="28">
        <f>IF(A19="","",COUNTIFS(TL_Date,A19,TL_Net,"&lt;0"))</f>
        <v/>
      </c>
      <c r="F19" s="39">
        <f>IF(A19="","",SUMIFS(TL_Gross,TL_Date,A19))</f>
        <v/>
      </c>
      <c r="G19" s="39">
        <f>IF(A19="","",SUMIFS(TL_Chg,TL_Date,A19))</f>
        <v/>
      </c>
      <c r="H19" s="39">
        <f>IF(A19="","",SUMIFS(TL_Net,TL_Date,A19))</f>
        <v/>
      </c>
      <c r="I19" s="39">
        <f>IF(A19="","",SUM($H$6:H19))</f>
        <v/>
      </c>
      <c r="J19" s="39">
        <f>IF(A19="","",Capital+I19)</f>
        <v/>
      </c>
      <c r="K19" s="39">
        <f>IF(A19="","",MAX(Capital,MAX($J$6:J19)))</f>
        <v/>
      </c>
      <c r="L19" s="39">
        <f>IF(A19="","",K19-J19)</f>
        <v/>
      </c>
      <c r="M19" s="58">
        <f>IF(A19="","",L19/K19)</f>
        <v/>
      </c>
      <c r="N19" s="57">
        <f>IF(A19="","",A19-WEEKDAY(A19,3))</f>
        <v/>
      </c>
      <c r="O19" s="39">
        <f>IF(A19="","",SUMIFS($H$6:H19,$N$6:N19,N19))</f>
        <v/>
      </c>
      <c r="P19" s="58">
        <f>IF(A19="","",IFERROR(COUNTIFS(TL_Date,A19,TL_Followed,"Y")/C19,0))</f>
        <v/>
      </c>
      <c r="Q19" s="28">
        <f>IF(A19="","",COUNTIFS(TL_Date,A19,TL_Followed,"N"))</f>
        <v/>
      </c>
      <c r="R19" s="28">
        <f>IF(A19="","",_xlfn.MAXIFS(TL_Lots,TL_Date,A19))</f>
        <v/>
      </c>
      <c r="S19" s="39">
        <f>IF(A19="","",SUMIFS(TL_GiveBack,TL_Date,A19))</f>
        <v/>
      </c>
      <c r="T19" s="28">
        <f>IF(A19="","",COUNTIFS(TL_Date,A19,TL_ExpBreach,"BREACH"))</f>
        <v/>
      </c>
      <c r="U19" s="5">
        <f>IF(A19="","",IF(H19&lt;=-DailyLossLimit,"BREACH","OK"))</f>
        <v/>
      </c>
      <c r="V19" s="5">
        <f>IF(A19="","",IF(C19&gt;MaxTradesDay,"BREACH","OK"))</f>
        <v/>
      </c>
      <c r="W19" s="5">
        <f>IF(A19="","",IF(O19&lt;=-WeeklyDDLimit,"BREACH","OK"))</f>
        <v/>
      </c>
      <c r="X19" s="5">
        <f>IF(A19="","",IF(OR(U19="BREACH",V19="BREACH",W19="BREACH",T19&gt;0,R19&gt;MaxLots),"LIMIT BROKEN","OK"))</f>
        <v/>
      </c>
    </row>
    <row r="20">
      <c r="A20" s="57">
        <f>IF(A19="","",IFERROR(SMALL(TL_Date,COUNTIF(TL_Date,"&lt;="&amp;A19)+1),""))</f>
        <v/>
      </c>
      <c r="B20" s="5">
        <f>IF(A20="","",TEXT(A20,"ddd"))</f>
        <v/>
      </c>
      <c r="C20" s="28">
        <f>IF(A20="","",COUNTIF(TL_Date,A20))</f>
        <v/>
      </c>
      <c r="D20" s="28">
        <f>IF(A20="","",COUNTIFS(TL_Date,A20,TL_Net,"&gt;0"))</f>
        <v/>
      </c>
      <c r="E20" s="28">
        <f>IF(A20="","",COUNTIFS(TL_Date,A20,TL_Net,"&lt;0"))</f>
        <v/>
      </c>
      <c r="F20" s="39">
        <f>IF(A20="","",SUMIFS(TL_Gross,TL_Date,A20))</f>
        <v/>
      </c>
      <c r="G20" s="39">
        <f>IF(A20="","",SUMIFS(TL_Chg,TL_Date,A20))</f>
        <v/>
      </c>
      <c r="H20" s="39">
        <f>IF(A20="","",SUMIFS(TL_Net,TL_Date,A20))</f>
        <v/>
      </c>
      <c r="I20" s="39">
        <f>IF(A20="","",SUM($H$6:H20))</f>
        <v/>
      </c>
      <c r="J20" s="39">
        <f>IF(A20="","",Capital+I20)</f>
        <v/>
      </c>
      <c r="K20" s="39">
        <f>IF(A20="","",MAX(Capital,MAX($J$6:J20)))</f>
        <v/>
      </c>
      <c r="L20" s="39">
        <f>IF(A20="","",K20-J20)</f>
        <v/>
      </c>
      <c r="M20" s="58">
        <f>IF(A20="","",L20/K20)</f>
        <v/>
      </c>
      <c r="N20" s="57">
        <f>IF(A20="","",A20-WEEKDAY(A20,3))</f>
        <v/>
      </c>
      <c r="O20" s="39">
        <f>IF(A20="","",SUMIFS($H$6:H20,$N$6:N20,N20))</f>
        <v/>
      </c>
      <c r="P20" s="58">
        <f>IF(A20="","",IFERROR(COUNTIFS(TL_Date,A20,TL_Followed,"Y")/C20,0))</f>
        <v/>
      </c>
      <c r="Q20" s="28">
        <f>IF(A20="","",COUNTIFS(TL_Date,A20,TL_Followed,"N"))</f>
        <v/>
      </c>
      <c r="R20" s="28">
        <f>IF(A20="","",_xlfn.MAXIFS(TL_Lots,TL_Date,A20))</f>
        <v/>
      </c>
      <c r="S20" s="39">
        <f>IF(A20="","",SUMIFS(TL_GiveBack,TL_Date,A20))</f>
        <v/>
      </c>
      <c r="T20" s="28">
        <f>IF(A20="","",COUNTIFS(TL_Date,A20,TL_ExpBreach,"BREACH"))</f>
        <v/>
      </c>
      <c r="U20" s="5">
        <f>IF(A20="","",IF(H20&lt;=-DailyLossLimit,"BREACH","OK"))</f>
        <v/>
      </c>
      <c r="V20" s="5">
        <f>IF(A20="","",IF(C20&gt;MaxTradesDay,"BREACH","OK"))</f>
        <v/>
      </c>
      <c r="W20" s="5">
        <f>IF(A20="","",IF(O20&lt;=-WeeklyDDLimit,"BREACH","OK"))</f>
        <v/>
      </c>
      <c r="X20" s="5">
        <f>IF(A20="","",IF(OR(U20="BREACH",V20="BREACH",W20="BREACH",T20&gt;0,R20&gt;MaxLots),"LIMIT BROKEN","OK"))</f>
        <v/>
      </c>
    </row>
    <row r="21">
      <c r="A21" s="57">
        <f>IF(A20="","",IFERROR(SMALL(TL_Date,COUNTIF(TL_Date,"&lt;="&amp;A20)+1),""))</f>
        <v/>
      </c>
      <c r="B21" s="5">
        <f>IF(A21="","",TEXT(A21,"ddd"))</f>
        <v/>
      </c>
      <c r="C21" s="28">
        <f>IF(A21="","",COUNTIF(TL_Date,A21))</f>
        <v/>
      </c>
      <c r="D21" s="28">
        <f>IF(A21="","",COUNTIFS(TL_Date,A21,TL_Net,"&gt;0"))</f>
        <v/>
      </c>
      <c r="E21" s="28">
        <f>IF(A21="","",COUNTIFS(TL_Date,A21,TL_Net,"&lt;0"))</f>
        <v/>
      </c>
      <c r="F21" s="39">
        <f>IF(A21="","",SUMIFS(TL_Gross,TL_Date,A21))</f>
        <v/>
      </c>
      <c r="G21" s="39">
        <f>IF(A21="","",SUMIFS(TL_Chg,TL_Date,A21))</f>
        <v/>
      </c>
      <c r="H21" s="39">
        <f>IF(A21="","",SUMIFS(TL_Net,TL_Date,A21))</f>
        <v/>
      </c>
      <c r="I21" s="39">
        <f>IF(A21="","",SUM($H$6:H21))</f>
        <v/>
      </c>
      <c r="J21" s="39">
        <f>IF(A21="","",Capital+I21)</f>
        <v/>
      </c>
      <c r="K21" s="39">
        <f>IF(A21="","",MAX(Capital,MAX($J$6:J21)))</f>
        <v/>
      </c>
      <c r="L21" s="39">
        <f>IF(A21="","",K21-J21)</f>
        <v/>
      </c>
      <c r="M21" s="58">
        <f>IF(A21="","",L21/K21)</f>
        <v/>
      </c>
      <c r="N21" s="57">
        <f>IF(A21="","",A21-WEEKDAY(A21,3))</f>
        <v/>
      </c>
      <c r="O21" s="39">
        <f>IF(A21="","",SUMIFS($H$6:H21,$N$6:N21,N21))</f>
        <v/>
      </c>
      <c r="P21" s="58">
        <f>IF(A21="","",IFERROR(COUNTIFS(TL_Date,A21,TL_Followed,"Y")/C21,0))</f>
        <v/>
      </c>
      <c r="Q21" s="28">
        <f>IF(A21="","",COUNTIFS(TL_Date,A21,TL_Followed,"N"))</f>
        <v/>
      </c>
      <c r="R21" s="28">
        <f>IF(A21="","",_xlfn.MAXIFS(TL_Lots,TL_Date,A21))</f>
        <v/>
      </c>
      <c r="S21" s="39">
        <f>IF(A21="","",SUMIFS(TL_GiveBack,TL_Date,A21))</f>
        <v/>
      </c>
      <c r="T21" s="28">
        <f>IF(A21="","",COUNTIFS(TL_Date,A21,TL_ExpBreach,"BREACH"))</f>
        <v/>
      </c>
      <c r="U21" s="5">
        <f>IF(A21="","",IF(H21&lt;=-DailyLossLimit,"BREACH","OK"))</f>
        <v/>
      </c>
      <c r="V21" s="5">
        <f>IF(A21="","",IF(C21&gt;MaxTradesDay,"BREACH","OK"))</f>
        <v/>
      </c>
      <c r="W21" s="5">
        <f>IF(A21="","",IF(O21&lt;=-WeeklyDDLimit,"BREACH","OK"))</f>
        <v/>
      </c>
      <c r="X21" s="5">
        <f>IF(A21="","",IF(OR(U21="BREACH",V21="BREACH",W21="BREACH",T21&gt;0,R21&gt;MaxLots),"LIMIT BROKEN","OK"))</f>
        <v/>
      </c>
    </row>
    <row r="22">
      <c r="A22" s="57">
        <f>IF(A21="","",IFERROR(SMALL(TL_Date,COUNTIF(TL_Date,"&lt;="&amp;A21)+1),""))</f>
        <v/>
      </c>
      <c r="B22" s="5">
        <f>IF(A22="","",TEXT(A22,"ddd"))</f>
        <v/>
      </c>
      <c r="C22" s="28">
        <f>IF(A22="","",COUNTIF(TL_Date,A22))</f>
        <v/>
      </c>
      <c r="D22" s="28">
        <f>IF(A22="","",COUNTIFS(TL_Date,A22,TL_Net,"&gt;0"))</f>
        <v/>
      </c>
      <c r="E22" s="28">
        <f>IF(A22="","",COUNTIFS(TL_Date,A22,TL_Net,"&lt;0"))</f>
        <v/>
      </c>
      <c r="F22" s="39">
        <f>IF(A22="","",SUMIFS(TL_Gross,TL_Date,A22))</f>
        <v/>
      </c>
      <c r="G22" s="39">
        <f>IF(A22="","",SUMIFS(TL_Chg,TL_Date,A22))</f>
        <v/>
      </c>
      <c r="H22" s="39">
        <f>IF(A22="","",SUMIFS(TL_Net,TL_Date,A22))</f>
        <v/>
      </c>
      <c r="I22" s="39">
        <f>IF(A22="","",SUM($H$6:H22))</f>
        <v/>
      </c>
      <c r="J22" s="39">
        <f>IF(A22="","",Capital+I22)</f>
        <v/>
      </c>
      <c r="K22" s="39">
        <f>IF(A22="","",MAX(Capital,MAX($J$6:J22)))</f>
        <v/>
      </c>
      <c r="L22" s="39">
        <f>IF(A22="","",K22-J22)</f>
        <v/>
      </c>
      <c r="M22" s="58">
        <f>IF(A22="","",L22/K22)</f>
        <v/>
      </c>
      <c r="N22" s="57">
        <f>IF(A22="","",A22-WEEKDAY(A22,3))</f>
        <v/>
      </c>
      <c r="O22" s="39">
        <f>IF(A22="","",SUMIFS($H$6:H22,$N$6:N22,N22))</f>
        <v/>
      </c>
      <c r="P22" s="58">
        <f>IF(A22="","",IFERROR(COUNTIFS(TL_Date,A22,TL_Followed,"Y")/C22,0))</f>
        <v/>
      </c>
      <c r="Q22" s="28">
        <f>IF(A22="","",COUNTIFS(TL_Date,A22,TL_Followed,"N"))</f>
        <v/>
      </c>
      <c r="R22" s="28">
        <f>IF(A22="","",_xlfn.MAXIFS(TL_Lots,TL_Date,A22))</f>
        <v/>
      </c>
      <c r="S22" s="39">
        <f>IF(A22="","",SUMIFS(TL_GiveBack,TL_Date,A22))</f>
        <v/>
      </c>
      <c r="T22" s="28">
        <f>IF(A22="","",COUNTIFS(TL_Date,A22,TL_ExpBreach,"BREACH"))</f>
        <v/>
      </c>
      <c r="U22" s="5">
        <f>IF(A22="","",IF(H22&lt;=-DailyLossLimit,"BREACH","OK"))</f>
        <v/>
      </c>
      <c r="V22" s="5">
        <f>IF(A22="","",IF(C22&gt;MaxTradesDay,"BREACH","OK"))</f>
        <v/>
      </c>
      <c r="W22" s="5">
        <f>IF(A22="","",IF(O22&lt;=-WeeklyDDLimit,"BREACH","OK"))</f>
        <v/>
      </c>
      <c r="X22" s="5">
        <f>IF(A22="","",IF(OR(U22="BREACH",V22="BREACH",W22="BREACH",T22&gt;0,R22&gt;MaxLots),"LIMIT BROKEN","OK"))</f>
        <v/>
      </c>
    </row>
    <row r="23">
      <c r="A23" s="57">
        <f>IF(A22="","",IFERROR(SMALL(TL_Date,COUNTIF(TL_Date,"&lt;="&amp;A22)+1),""))</f>
        <v/>
      </c>
      <c r="B23" s="5">
        <f>IF(A23="","",TEXT(A23,"ddd"))</f>
        <v/>
      </c>
      <c r="C23" s="28">
        <f>IF(A23="","",COUNTIF(TL_Date,A23))</f>
        <v/>
      </c>
      <c r="D23" s="28">
        <f>IF(A23="","",COUNTIFS(TL_Date,A23,TL_Net,"&gt;0"))</f>
        <v/>
      </c>
      <c r="E23" s="28">
        <f>IF(A23="","",COUNTIFS(TL_Date,A23,TL_Net,"&lt;0"))</f>
        <v/>
      </c>
      <c r="F23" s="39">
        <f>IF(A23="","",SUMIFS(TL_Gross,TL_Date,A23))</f>
        <v/>
      </c>
      <c r="G23" s="39">
        <f>IF(A23="","",SUMIFS(TL_Chg,TL_Date,A23))</f>
        <v/>
      </c>
      <c r="H23" s="39">
        <f>IF(A23="","",SUMIFS(TL_Net,TL_Date,A23))</f>
        <v/>
      </c>
      <c r="I23" s="39">
        <f>IF(A23="","",SUM($H$6:H23))</f>
        <v/>
      </c>
      <c r="J23" s="39">
        <f>IF(A23="","",Capital+I23)</f>
        <v/>
      </c>
      <c r="K23" s="39">
        <f>IF(A23="","",MAX(Capital,MAX($J$6:J23)))</f>
        <v/>
      </c>
      <c r="L23" s="39">
        <f>IF(A23="","",K23-J23)</f>
        <v/>
      </c>
      <c r="M23" s="58">
        <f>IF(A23="","",L23/K23)</f>
        <v/>
      </c>
      <c r="N23" s="57">
        <f>IF(A23="","",A23-WEEKDAY(A23,3))</f>
        <v/>
      </c>
      <c r="O23" s="39">
        <f>IF(A23="","",SUMIFS($H$6:H23,$N$6:N23,N23))</f>
        <v/>
      </c>
      <c r="P23" s="58">
        <f>IF(A23="","",IFERROR(COUNTIFS(TL_Date,A23,TL_Followed,"Y")/C23,0))</f>
        <v/>
      </c>
      <c r="Q23" s="28">
        <f>IF(A23="","",COUNTIFS(TL_Date,A23,TL_Followed,"N"))</f>
        <v/>
      </c>
      <c r="R23" s="28">
        <f>IF(A23="","",_xlfn.MAXIFS(TL_Lots,TL_Date,A23))</f>
        <v/>
      </c>
      <c r="S23" s="39">
        <f>IF(A23="","",SUMIFS(TL_GiveBack,TL_Date,A23))</f>
        <v/>
      </c>
      <c r="T23" s="28">
        <f>IF(A23="","",COUNTIFS(TL_Date,A23,TL_ExpBreach,"BREACH"))</f>
        <v/>
      </c>
      <c r="U23" s="5">
        <f>IF(A23="","",IF(H23&lt;=-DailyLossLimit,"BREACH","OK"))</f>
        <v/>
      </c>
      <c r="V23" s="5">
        <f>IF(A23="","",IF(C23&gt;MaxTradesDay,"BREACH","OK"))</f>
        <v/>
      </c>
      <c r="W23" s="5">
        <f>IF(A23="","",IF(O23&lt;=-WeeklyDDLimit,"BREACH","OK"))</f>
        <v/>
      </c>
      <c r="X23" s="5">
        <f>IF(A23="","",IF(OR(U23="BREACH",V23="BREACH",W23="BREACH",T23&gt;0,R23&gt;MaxLots),"LIMIT BROKEN","OK"))</f>
        <v/>
      </c>
    </row>
    <row r="24">
      <c r="A24" s="57">
        <f>IF(A23="","",IFERROR(SMALL(TL_Date,COUNTIF(TL_Date,"&lt;="&amp;A23)+1),""))</f>
        <v/>
      </c>
      <c r="B24" s="5">
        <f>IF(A24="","",TEXT(A24,"ddd"))</f>
        <v/>
      </c>
      <c r="C24" s="28">
        <f>IF(A24="","",COUNTIF(TL_Date,A24))</f>
        <v/>
      </c>
      <c r="D24" s="28">
        <f>IF(A24="","",COUNTIFS(TL_Date,A24,TL_Net,"&gt;0"))</f>
        <v/>
      </c>
      <c r="E24" s="28">
        <f>IF(A24="","",COUNTIFS(TL_Date,A24,TL_Net,"&lt;0"))</f>
        <v/>
      </c>
      <c r="F24" s="39">
        <f>IF(A24="","",SUMIFS(TL_Gross,TL_Date,A24))</f>
        <v/>
      </c>
      <c r="G24" s="39">
        <f>IF(A24="","",SUMIFS(TL_Chg,TL_Date,A24))</f>
        <v/>
      </c>
      <c r="H24" s="39">
        <f>IF(A24="","",SUMIFS(TL_Net,TL_Date,A24))</f>
        <v/>
      </c>
      <c r="I24" s="39">
        <f>IF(A24="","",SUM($H$6:H24))</f>
        <v/>
      </c>
      <c r="J24" s="39">
        <f>IF(A24="","",Capital+I24)</f>
        <v/>
      </c>
      <c r="K24" s="39">
        <f>IF(A24="","",MAX(Capital,MAX($J$6:J24)))</f>
        <v/>
      </c>
      <c r="L24" s="39">
        <f>IF(A24="","",K24-J24)</f>
        <v/>
      </c>
      <c r="M24" s="58">
        <f>IF(A24="","",L24/K24)</f>
        <v/>
      </c>
      <c r="N24" s="57">
        <f>IF(A24="","",A24-WEEKDAY(A24,3))</f>
        <v/>
      </c>
      <c r="O24" s="39">
        <f>IF(A24="","",SUMIFS($H$6:H24,$N$6:N24,N24))</f>
        <v/>
      </c>
      <c r="P24" s="58">
        <f>IF(A24="","",IFERROR(COUNTIFS(TL_Date,A24,TL_Followed,"Y")/C24,0))</f>
        <v/>
      </c>
      <c r="Q24" s="28">
        <f>IF(A24="","",COUNTIFS(TL_Date,A24,TL_Followed,"N"))</f>
        <v/>
      </c>
      <c r="R24" s="28">
        <f>IF(A24="","",_xlfn.MAXIFS(TL_Lots,TL_Date,A24))</f>
        <v/>
      </c>
      <c r="S24" s="39">
        <f>IF(A24="","",SUMIFS(TL_GiveBack,TL_Date,A24))</f>
        <v/>
      </c>
      <c r="T24" s="28">
        <f>IF(A24="","",COUNTIFS(TL_Date,A24,TL_ExpBreach,"BREACH"))</f>
        <v/>
      </c>
      <c r="U24" s="5">
        <f>IF(A24="","",IF(H24&lt;=-DailyLossLimit,"BREACH","OK"))</f>
        <v/>
      </c>
      <c r="V24" s="5">
        <f>IF(A24="","",IF(C24&gt;MaxTradesDay,"BREACH","OK"))</f>
        <v/>
      </c>
      <c r="W24" s="5">
        <f>IF(A24="","",IF(O24&lt;=-WeeklyDDLimit,"BREACH","OK"))</f>
        <v/>
      </c>
      <c r="X24" s="5">
        <f>IF(A24="","",IF(OR(U24="BREACH",V24="BREACH",W24="BREACH",T24&gt;0,R24&gt;MaxLots),"LIMIT BROKEN","OK"))</f>
        <v/>
      </c>
    </row>
    <row r="25">
      <c r="A25" s="57">
        <f>IF(A24="","",IFERROR(SMALL(TL_Date,COUNTIF(TL_Date,"&lt;="&amp;A24)+1),""))</f>
        <v/>
      </c>
      <c r="B25" s="5">
        <f>IF(A25="","",TEXT(A25,"ddd"))</f>
        <v/>
      </c>
      <c r="C25" s="28">
        <f>IF(A25="","",COUNTIF(TL_Date,A25))</f>
        <v/>
      </c>
      <c r="D25" s="28">
        <f>IF(A25="","",COUNTIFS(TL_Date,A25,TL_Net,"&gt;0"))</f>
        <v/>
      </c>
      <c r="E25" s="28">
        <f>IF(A25="","",COUNTIFS(TL_Date,A25,TL_Net,"&lt;0"))</f>
        <v/>
      </c>
      <c r="F25" s="39">
        <f>IF(A25="","",SUMIFS(TL_Gross,TL_Date,A25))</f>
        <v/>
      </c>
      <c r="G25" s="39">
        <f>IF(A25="","",SUMIFS(TL_Chg,TL_Date,A25))</f>
        <v/>
      </c>
      <c r="H25" s="39">
        <f>IF(A25="","",SUMIFS(TL_Net,TL_Date,A25))</f>
        <v/>
      </c>
      <c r="I25" s="39">
        <f>IF(A25="","",SUM($H$6:H25))</f>
        <v/>
      </c>
      <c r="J25" s="39">
        <f>IF(A25="","",Capital+I25)</f>
        <v/>
      </c>
      <c r="K25" s="39">
        <f>IF(A25="","",MAX(Capital,MAX($J$6:J25)))</f>
        <v/>
      </c>
      <c r="L25" s="39">
        <f>IF(A25="","",K25-J25)</f>
        <v/>
      </c>
      <c r="M25" s="58">
        <f>IF(A25="","",L25/K25)</f>
        <v/>
      </c>
      <c r="N25" s="57">
        <f>IF(A25="","",A25-WEEKDAY(A25,3))</f>
        <v/>
      </c>
      <c r="O25" s="39">
        <f>IF(A25="","",SUMIFS($H$6:H25,$N$6:N25,N25))</f>
        <v/>
      </c>
      <c r="P25" s="58">
        <f>IF(A25="","",IFERROR(COUNTIFS(TL_Date,A25,TL_Followed,"Y")/C25,0))</f>
        <v/>
      </c>
      <c r="Q25" s="28">
        <f>IF(A25="","",COUNTIFS(TL_Date,A25,TL_Followed,"N"))</f>
        <v/>
      </c>
      <c r="R25" s="28">
        <f>IF(A25="","",_xlfn.MAXIFS(TL_Lots,TL_Date,A25))</f>
        <v/>
      </c>
      <c r="S25" s="39">
        <f>IF(A25="","",SUMIFS(TL_GiveBack,TL_Date,A25))</f>
        <v/>
      </c>
      <c r="T25" s="28">
        <f>IF(A25="","",COUNTIFS(TL_Date,A25,TL_ExpBreach,"BREACH"))</f>
        <v/>
      </c>
      <c r="U25" s="5">
        <f>IF(A25="","",IF(H25&lt;=-DailyLossLimit,"BREACH","OK"))</f>
        <v/>
      </c>
      <c r="V25" s="5">
        <f>IF(A25="","",IF(C25&gt;MaxTradesDay,"BREACH","OK"))</f>
        <v/>
      </c>
      <c r="W25" s="5">
        <f>IF(A25="","",IF(O25&lt;=-WeeklyDDLimit,"BREACH","OK"))</f>
        <v/>
      </c>
      <c r="X25" s="5">
        <f>IF(A25="","",IF(OR(U25="BREACH",V25="BREACH",W25="BREACH",T25&gt;0,R25&gt;MaxLots),"LIMIT BROKEN","OK"))</f>
        <v/>
      </c>
    </row>
    <row r="26">
      <c r="A26" s="57">
        <f>IF(A25="","",IFERROR(SMALL(TL_Date,COUNTIF(TL_Date,"&lt;="&amp;A25)+1),""))</f>
        <v/>
      </c>
      <c r="B26" s="5">
        <f>IF(A26="","",TEXT(A26,"ddd"))</f>
        <v/>
      </c>
      <c r="C26" s="28">
        <f>IF(A26="","",COUNTIF(TL_Date,A26))</f>
        <v/>
      </c>
      <c r="D26" s="28">
        <f>IF(A26="","",COUNTIFS(TL_Date,A26,TL_Net,"&gt;0"))</f>
        <v/>
      </c>
      <c r="E26" s="28">
        <f>IF(A26="","",COUNTIFS(TL_Date,A26,TL_Net,"&lt;0"))</f>
        <v/>
      </c>
      <c r="F26" s="39">
        <f>IF(A26="","",SUMIFS(TL_Gross,TL_Date,A26))</f>
        <v/>
      </c>
      <c r="G26" s="39">
        <f>IF(A26="","",SUMIFS(TL_Chg,TL_Date,A26))</f>
        <v/>
      </c>
      <c r="H26" s="39">
        <f>IF(A26="","",SUMIFS(TL_Net,TL_Date,A26))</f>
        <v/>
      </c>
      <c r="I26" s="39">
        <f>IF(A26="","",SUM($H$6:H26))</f>
        <v/>
      </c>
      <c r="J26" s="39">
        <f>IF(A26="","",Capital+I26)</f>
        <v/>
      </c>
      <c r="K26" s="39">
        <f>IF(A26="","",MAX(Capital,MAX($J$6:J26)))</f>
        <v/>
      </c>
      <c r="L26" s="39">
        <f>IF(A26="","",K26-J26)</f>
        <v/>
      </c>
      <c r="M26" s="58">
        <f>IF(A26="","",L26/K26)</f>
        <v/>
      </c>
      <c r="N26" s="57">
        <f>IF(A26="","",A26-WEEKDAY(A26,3))</f>
        <v/>
      </c>
      <c r="O26" s="39">
        <f>IF(A26="","",SUMIFS($H$6:H26,$N$6:N26,N26))</f>
        <v/>
      </c>
      <c r="P26" s="58">
        <f>IF(A26="","",IFERROR(COUNTIFS(TL_Date,A26,TL_Followed,"Y")/C26,0))</f>
        <v/>
      </c>
      <c r="Q26" s="28">
        <f>IF(A26="","",COUNTIFS(TL_Date,A26,TL_Followed,"N"))</f>
        <v/>
      </c>
      <c r="R26" s="28">
        <f>IF(A26="","",_xlfn.MAXIFS(TL_Lots,TL_Date,A26))</f>
        <v/>
      </c>
      <c r="S26" s="39">
        <f>IF(A26="","",SUMIFS(TL_GiveBack,TL_Date,A26))</f>
        <v/>
      </c>
      <c r="T26" s="28">
        <f>IF(A26="","",COUNTIFS(TL_Date,A26,TL_ExpBreach,"BREACH"))</f>
        <v/>
      </c>
      <c r="U26" s="5">
        <f>IF(A26="","",IF(H26&lt;=-DailyLossLimit,"BREACH","OK"))</f>
        <v/>
      </c>
      <c r="V26" s="5">
        <f>IF(A26="","",IF(C26&gt;MaxTradesDay,"BREACH","OK"))</f>
        <v/>
      </c>
      <c r="W26" s="5">
        <f>IF(A26="","",IF(O26&lt;=-WeeklyDDLimit,"BREACH","OK"))</f>
        <v/>
      </c>
      <c r="X26" s="5">
        <f>IF(A26="","",IF(OR(U26="BREACH",V26="BREACH",W26="BREACH",T26&gt;0,R26&gt;MaxLots),"LIMIT BROKEN","OK"))</f>
        <v/>
      </c>
    </row>
    <row r="27">
      <c r="A27" s="57">
        <f>IF(A26="","",IFERROR(SMALL(TL_Date,COUNTIF(TL_Date,"&lt;="&amp;A26)+1),""))</f>
        <v/>
      </c>
      <c r="B27" s="5">
        <f>IF(A27="","",TEXT(A27,"ddd"))</f>
        <v/>
      </c>
      <c r="C27" s="28">
        <f>IF(A27="","",COUNTIF(TL_Date,A27))</f>
        <v/>
      </c>
      <c r="D27" s="28">
        <f>IF(A27="","",COUNTIFS(TL_Date,A27,TL_Net,"&gt;0"))</f>
        <v/>
      </c>
      <c r="E27" s="28">
        <f>IF(A27="","",COUNTIFS(TL_Date,A27,TL_Net,"&lt;0"))</f>
        <v/>
      </c>
      <c r="F27" s="39">
        <f>IF(A27="","",SUMIFS(TL_Gross,TL_Date,A27))</f>
        <v/>
      </c>
      <c r="G27" s="39">
        <f>IF(A27="","",SUMIFS(TL_Chg,TL_Date,A27))</f>
        <v/>
      </c>
      <c r="H27" s="39">
        <f>IF(A27="","",SUMIFS(TL_Net,TL_Date,A27))</f>
        <v/>
      </c>
      <c r="I27" s="39">
        <f>IF(A27="","",SUM($H$6:H27))</f>
        <v/>
      </c>
      <c r="J27" s="39">
        <f>IF(A27="","",Capital+I27)</f>
        <v/>
      </c>
      <c r="K27" s="39">
        <f>IF(A27="","",MAX(Capital,MAX($J$6:J27)))</f>
        <v/>
      </c>
      <c r="L27" s="39">
        <f>IF(A27="","",K27-J27)</f>
        <v/>
      </c>
      <c r="M27" s="58">
        <f>IF(A27="","",L27/K27)</f>
        <v/>
      </c>
      <c r="N27" s="57">
        <f>IF(A27="","",A27-WEEKDAY(A27,3))</f>
        <v/>
      </c>
      <c r="O27" s="39">
        <f>IF(A27="","",SUMIFS($H$6:H27,$N$6:N27,N27))</f>
        <v/>
      </c>
      <c r="P27" s="58">
        <f>IF(A27="","",IFERROR(COUNTIFS(TL_Date,A27,TL_Followed,"Y")/C27,0))</f>
        <v/>
      </c>
      <c r="Q27" s="28">
        <f>IF(A27="","",COUNTIFS(TL_Date,A27,TL_Followed,"N"))</f>
        <v/>
      </c>
      <c r="R27" s="28">
        <f>IF(A27="","",_xlfn.MAXIFS(TL_Lots,TL_Date,A27))</f>
        <v/>
      </c>
      <c r="S27" s="39">
        <f>IF(A27="","",SUMIFS(TL_GiveBack,TL_Date,A27))</f>
        <v/>
      </c>
      <c r="T27" s="28">
        <f>IF(A27="","",COUNTIFS(TL_Date,A27,TL_ExpBreach,"BREACH"))</f>
        <v/>
      </c>
      <c r="U27" s="5">
        <f>IF(A27="","",IF(H27&lt;=-DailyLossLimit,"BREACH","OK"))</f>
        <v/>
      </c>
      <c r="V27" s="5">
        <f>IF(A27="","",IF(C27&gt;MaxTradesDay,"BREACH","OK"))</f>
        <v/>
      </c>
      <c r="W27" s="5">
        <f>IF(A27="","",IF(O27&lt;=-WeeklyDDLimit,"BREACH","OK"))</f>
        <v/>
      </c>
      <c r="X27" s="5">
        <f>IF(A27="","",IF(OR(U27="BREACH",V27="BREACH",W27="BREACH",T27&gt;0,R27&gt;MaxLots),"LIMIT BROKEN","OK"))</f>
        <v/>
      </c>
    </row>
    <row r="28">
      <c r="A28" s="57">
        <f>IF(A27="","",IFERROR(SMALL(TL_Date,COUNTIF(TL_Date,"&lt;="&amp;A27)+1),""))</f>
        <v/>
      </c>
      <c r="B28" s="5">
        <f>IF(A28="","",TEXT(A28,"ddd"))</f>
        <v/>
      </c>
      <c r="C28" s="28">
        <f>IF(A28="","",COUNTIF(TL_Date,A28))</f>
        <v/>
      </c>
      <c r="D28" s="28">
        <f>IF(A28="","",COUNTIFS(TL_Date,A28,TL_Net,"&gt;0"))</f>
        <v/>
      </c>
      <c r="E28" s="28">
        <f>IF(A28="","",COUNTIFS(TL_Date,A28,TL_Net,"&lt;0"))</f>
        <v/>
      </c>
      <c r="F28" s="39">
        <f>IF(A28="","",SUMIFS(TL_Gross,TL_Date,A28))</f>
        <v/>
      </c>
      <c r="G28" s="39">
        <f>IF(A28="","",SUMIFS(TL_Chg,TL_Date,A28))</f>
        <v/>
      </c>
      <c r="H28" s="39">
        <f>IF(A28="","",SUMIFS(TL_Net,TL_Date,A28))</f>
        <v/>
      </c>
      <c r="I28" s="39">
        <f>IF(A28="","",SUM($H$6:H28))</f>
        <v/>
      </c>
      <c r="J28" s="39">
        <f>IF(A28="","",Capital+I28)</f>
        <v/>
      </c>
      <c r="K28" s="39">
        <f>IF(A28="","",MAX(Capital,MAX($J$6:J28)))</f>
        <v/>
      </c>
      <c r="L28" s="39">
        <f>IF(A28="","",K28-J28)</f>
        <v/>
      </c>
      <c r="M28" s="58">
        <f>IF(A28="","",L28/K28)</f>
        <v/>
      </c>
      <c r="N28" s="57">
        <f>IF(A28="","",A28-WEEKDAY(A28,3))</f>
        <v/>
      </c>
      <c r="O28" s="39">
        <f>IF(A28="","",SUMIFS($H$6:H28,$N$6:N28,N28))</f>
        <v/>
      </c>
      <c r="P28" s="58">
        <f>IF(A28="","",IFERROR(COUNTIFS(TL_Date,A28,TL_Followed,"Y")/C28,0))</f>
        <v/>
      </c>
      <c r="Q28" s="28">
        <f>IF(A28="","",COUNTIFS(TL_Date,A28,TL_Followed,"N"))</f>
        <v/>
      </c>
      <c r="R28" s="28">
        <f>IF(A28="","",_xlfn.MAXIFS(TL_Lots,TL_Date,A28))</f>
        <v/>
      </c>
      <c r="S28" s="39">
        <f>IF(A28="","",SUMIFS(TL_GiveBack,TL_Date,A28))</f>
        <v/>
      </c>
      <c r="T28" s="28">
        <f>IF(A28="","",COUNTIFS(TL_Date,A28,TL_ExpBreach,"BREACH"))</f>
        <v/>
      </c>
      <c r="U28" s="5">
        <f>IF(A28="","",IF(H28&lt;=-DailyLossLimit,"BREACH","OK"))</f>
        <v/>
      </c>
      <c r="V28" s="5">
        <f>IF(A28="","",IF(C28&gt;MaxTradesDay,"BREACH","OK"))</f>
        <v/>
      </c>
      <c r="W28" s="5">
        <f>IF(A28="","",IF(O28&lt;=-WeeklyDDLimit,"BREACH","OK"))</f>
        <v/>
      </c>
      <c r="X28" s="5">
        <f>IF(A28="","",IF(OR(U28="BREACH",V28="BREACH",W28="BREACH",T28&gt;0,R28&gt;MaxLots),"LIMIT BROKEN","OK"))</f>
        <v/>
      </c>
    </row>
    <row r="29">
      <c r="A29" s="57">
        <f>IF(A28="","",IFERROR(SMALL(TL_Date,COUNTIF(TL_Date,"&lt;="&amp;A28)+1),""))</f>
        <v/>
      </c>
      <c r="B29" s="5">
        <f>IF(A29="","",TEXT(A29,"ddd"))</f>
        <v/>
      </c>
      <c r="C29" s="28">
        <f>IF(A29="","",COUNTIF(TL_Date,A29))</f>
        <v/>
      </c>
      <c r="D29" s="28">
        <f>IF(A29="","",COUNTIFS(TL_Date,A29,TL_Net,"&gt;0"))</f>
        <v/>
      </c>
      <c r="E29" s="28">
        <f>IF(A29="","",COUNTIFS(TL_Date,A29,TL_Net,"&lt;0"))</f>
        <v/>
      </c>
      <c r="F29" s="39">
        <f>IF(A29="","",SUMIFS(TL_Gross,TL_Date,A29))</f>
        <v/>
      </c>
      <c r="G29" s="39">
        <f>IF(A29="","",SUMIFS(TL_Chg,TL_Date,A29))</f>
        <v/>
      </c>
      <c r="H29" s="39">
        <f>IF(A29="","",SUMIFS(TL_Net,TL_Date,A29))</f>
        <v/>
      </c>
      <c r="I29" s="39">
        <f>IF(A29="","",SUM($H$6:H29))</f>
        <v/>
      </c>
      <c r="J29" s="39">
        <f>IF(A29="","",Capital+I29)</f>
        <v/>
      </c>
      <c r="K29" s="39">
        <f>IF(A29="","",MAX(Capital,MAX($J$6:J29)))</f>
        <v/>
      </c>
      <c r="L29" s="39">
        <f>IF(A29="","",K29-J29)</f>
        <v/>
      </c>
      <c r="M29" s="58">
        <f>IF(A29="","",L29/K29)</f>
        <v/>
      </c>
      <c r="N29" s="57">
        <f>IF(A29="","",A29-WEEKDAY(A29,3))</f>
        <v/>
      </c>
      <c r="O29" s="39">
        <f>IF(A29="","",SUMIFS($H$6:H29,$N$6:N29,N29))</f>
        <v/>
      </c>
      <c r="P29" s="58">
        <f>IF(A29="","",IFERROR(COUNTIFS(TL_Date,A29,TL_Followed,"Y")/C29,0))</f>
        <v/>
      </c>
      <c r="Q29" s="28">
        <f>IF(A29="","",COUNTIFS(TL_Date,A29,TL_Followed,"N"))</f>
        <v/>
      </c>
      <c r="R29" s="28">
        <f>IF(A29="","",_xlfn.MAXIFS(TL_Lots,TL_Date,A29))</f>
        <v/>
      </c>
      <c r="S29" s="39">
        <f>IF(A29="","",SUMIFS(TL_GiveBack,TL_Date,A29))</f>
        <v/>
      </c>
      <c r="T29" s="28">
        <f>IF(A29="","",COUNTIFS(TL_Date,A29,TL_ExpBreach,"BREACH"))</f>
        <v/>
      </c>
      <c r="U29" s="5">
        <f>IF(A29="","",IF(H29&lt;=-DailyLossLimit,"BREACH","OK"))</f>
        <v/>
      </c>
      <c r="V29" s="5">
        <f>IF(A29="","",IF(C29&gt;MaxTradesDay,"BREACH","OK"))</f>
        <v/>
      </c>
      <c r="W29" s="5">
        <f>IF(A29="","",IF(O29&lt;=-WeeklyDDLimit,"BREACH","OK"))</f>
        <v/>
      </c>
      <c r="X29" s="5">
        <f>IF(A29="","",IF(OR(U29="BREACH",V29="BREACH",W29="BREACH",T29&gt;0,R29&gt;MaxLots),"LIMIT BROKEN","OK"))</f>
        <v/>
      </c>
    </row>
    <row r="30">
      <c r="A30" s="57">
        <f>IF(A29="","",IFERROR(SMALL(TL_Date,COUNTIF(TL_Date,"&lt;="&amp;A29)+1),""))</f>
        <v/>
      </c>
      <c r="B30" s="5">
        <f>IF(A30="","",TEXT(A30,"ddd"))</f>
        <v/>
      </c>
      <c r="C30" s="28">
        <f>IF(A30="","",COUNTIF(TL_Date,A30))</f>
        <v/>
      </c>
      <c r="D30" s="28">
        <f>IF(A30="","",COUNTIFS(TL_Date,A30,TL_Net,"&gt;0"))</f>
        <v/>
      </c>
      <c r="E30" s="28">
        <f>IF(A30="","",COUNTIFS(TL_Date,A30,TL_Net,"&lt;0"))</f>
        <v/>
      </c>
      <c r="F30" s="39">
        <f>IF(A30="","",SUMIFS(TL_Gross,TL_Date,A30))</f>
        <v/>
      </c>
      <c r="G30" s="39">
        <f>IF(A30="","",SUMIFS(TL_Chg,TL_Date,A30))</f>
        <v/>
      </c>
      <c r="H30" s="39">
        <f>IF(A30="","",SUMIFS(TL_Net,TL_Date,A30))</f>
        <v/>
      </c>
      <c r="I30" s="39">
        <f>IF(A30="","",SUM($H$6:H30))</f>
        <v/>
      </c>
      <c r="J30" s="39">
        <f>IF(A30="","",Capital+I30)</f>
        <v/>
      </c>
      <c r="K30" s="39">
        <f>IF(A30="","",MAX(Capital,MAX($J$6:J30)))</f>
        <v/>
      </c>
      <c r="L30" s="39">
        <f>IF(A30="","",K30-J30)</f>
        <v/>
      </c>
      <c r="M30" s="58">
        <f>IF(A30="","",L30/K30)</f>
        <v/>
      </c>
      <c r="N30" s="57">
        <f>IF(A30="","",A30-WEEKDAY(A30,3))</f>
        <v/>
      </c>
      <c r="O30" s="39">
        <f>IF(A30="","",SUMIFS($H$6:H30,$N$6:N30,N30))</f>
        <v/>
      </c>
      <c r="P30" s="58">
        <f>IF(A30="","",IFERROR(COUNTIFS(TL_Date,A30,TL_Followed,"Y")/C30,0))</f>
        <v/>
      </c>
      <c r="Q30" s="28">
        <f>IF(A30="","",COUNTIFS(TL_Date,A30,TL_Followed,"N"))</f>
        <v/>
      </c>
      <c r="R30" s="28">
        <f>IF(A30="","",_xlfn.MAXIFS(TL_Lots,TL_Date,A30))</f>
        <v/>
      </c>
      <c r="S30" s="39">
        <f>IF(A30="","",SUMIFS(TL_GiveBack,TL_Date,A30))</f>
        <v/>
      </c>
      <c r="T30" s="28">
        <f>IF(A30="","",COUNTIFS(TL_Date,A30,TL_ExpBreach,"BREACH"))</f>
        <v/>
      </c>
      <c r="U30" s="5">
        <f>IF(A30="","",IF(H30&lt;=-DailyLossLimit,"BREACH","OK"))</f>
        <v/>
      </c>
      <c r="V30" s="5">
        <f>IF(A30="","",IF(C30&gt;MaxTradesDay,"BREACH","OK"))</f>
        <v/>
      </c>
      <c r="W30" s="5">
        <f>IF(A30="","",IF(O30&lt;=-WeeklyDDLimit,"BREACH","OK"))</f>
        <v/>
      </c>
      <c r="X30" s="5">
        <f>IF(A30="","",IF(OR(U30="BREACH",V30="BREACH",W30="BREACH",T30&gt;0,R30&gt;MaxLots),"LIMIT BROKEN","OK"))</f>
        <v/>
      </c>
    </row>
    <row r="31">
      <c r="A31" s="57">
        <f>IF(A30="","",IFERROR(SMALL(TL_Date,COUNTIF(TL_Date,"&lt;="&amp;A30)+1),""))</f>
        <v/>
      </c>
      <c r="B31" s="5">
        <f>IF(A31="","",TEXT(A31,"ddd"))</f>
        <v/>
      </c>
      <c r="C31" s="28">
        <f>IF(A31="","",COUNTIF(TL_Date,A31))</f>
        <v/>
      </c>
      <c r="D31" s="28">
        <f>IF(A31="","",COUNTIFS(TL_Date,A31,TL_Net,"&gt;0"))</f>
        <v/>
      </c>
      <c r="E31" s="28">
        <f>IF(A31="","",COUNTIFS(TL_Date,A31,TL_Net,"&lt;0"))</f>
        <v/>
      </c>
      <c r="F31" s="39">
        <f>IF(A31="","",SUMIFS(TL_Gross,TL_Date,A31))</f>
        <v/>
      </c>
      <c r="G31" s="39">
        <f>IF(A31="","",SUMIFS(TL_Chg,TL_Date,A31))</f>
        <v/>
      </c>
      <c r="H31" s="39">
        <f>IF(A31="","",SUMIFS(TL_Net,TL_Date,A31))</f>
        <v/>
      </c>
      <c r="I31" s="39">
        <f>IF(A31="","",SUM($H$6:H31))</f>
        <v/>
      </c>
      <c r="J31" s="39">
        <f>IF(A31="","",Capital+I31)</f>
        <v/>
      </c>
      <c r="K31" s="39">
        <f>IF(A31="","",MAX(Capital,MAX($J$6:J31)))</f>
        <v/>
      </c>
      <c r="L31" s="39">
        <f>IF(A31="","",K31-J31)</f>
        <v/>
      </c>
      <c r="M31" s="58">
        <f>IF(A31="","",L31/K31)</f>
        <v/>
      </c>
      <c r="N31" s="57">
        <f>IF(A31="","",A31-WEEKDAY(A31,3))</f>
        <v/>
      </c>
      <c r="O31" s="39">
        <f>IF(A31="","",SUMIFS($H$6:H31,$N$6:N31,N31))</f>
        <v/>
      </c>
      <c r="P31" s="58">
        <f>IF(A31="","",IFERROR(COUNTIFS(TL_Date,A31,TL_Followed,"Y")/C31,0))</f>
        <v/>
      </c>
      <c r="Q31" s="28">
        <f>IF(A31="","",COUNTIFS(TL_Date,A31,TL_Followed,"N"))</f>
        <v/>
      </c>
      <c r="R31" s="28">
        <f>IF(A31="","",_xlfn.MAXIFS(TL_Lots,TL_Date,A31))</f>
        <v/>
      </c>
      <c r="S31" s="39">
        <f>IF(A31="","",SUMIFS(TL_GiveBack,TL_Date,A31))</f>
        <v/>
      </c>
      <c r="T31" s="28">
        <f>IF(A31="","",COUNTIFS(TL_Date,A31,TL_ExpBreach,"BREACH"))</f>
        <v/>
      </c>
      <c r="U31" s="5">
        <f>IF(A31="","",IF(H31&lt;=-DailyLossLimit,"BREACH","OK"))</f>
        <v/>
      </c>
      <c r="V31" s="5">
        <f>IF(A31="","",IF(C31&gt;MaxTradesDay,"BREACH","OK"))</f>
        <v/>
      </c>
      <c r="W31" s="5">
        <f>IF(A31="","",IF(O31&lt;=-WeeklyDDLimit,"BREACH","OK"))</f>
        <v/>
      </c>
      <c r="X31" s="5">
        <f>IF(A31="","",IF(OR(U31="BREACH",V31="BREACH",W31="BREACH",T31&gt;0,R31&gt;MaxLots),"LIMIT BROKEN","OK"))</f>
        <v/>
      </c>
    </row>
    <row r="32">
      <c r="A32" s="57">
        <f>IF(A31="","",IFERROR(SMALL(TL_Date,COUNTIF(TL_Date,"&lt;="&amp;A31)+1),""))</f>
        <v/>
      </c>
      <c r="B32" s="5">
        <f>IF(A32="","",TEXT(A32,"ddd"))</f>
        <v/>
      </c>
      <c r="C32" s="28">
        <f>IF(A32="","",COUNTIF(TL_Date,A32))</f>
        <v/>
      </c>
      <c r="D32" s="28">
        <f>IF(A32="","",COUNTIFS(TL_Date,A32,TL_Net,"&gt;0"))</f>
        <v/>
      </c>
      <c r="E32" s="28">
        <f>IF(A32="","",COUNTIFS(TL_Date,A32,TL_Net,"&lt;0"))</f>
        <v/>
      </c>
      <c r="F32" s="39">
        <f>IF(A32="","",SUMIFS(TL_Gross,TL_Date,A32))</f>
        <v/>
      </c>
      <c r="G32" s="39">
        <f>IF(A32="","",SUMIFS(TL_Chg,TL_Date,A32))</f>
        <v/>
      </c>
      <c r="H32" s="39">
        <f>IF(A32="","",SUMIFS(TL_Net,TL_Date,A32))</f>
        <v/>
      </c>
      <c r="I32" s="39">
        <f>IF(A32="","",SUM($H$6:H32))</f>
        <v/>
      </c>
      <c r="J32" s="39">
        <f>IF(A32="","",Capital+I32)</f>
        <v/>
      </c>
      <c r="K32" s="39">
        <f>IF(A32="","",MAX(Capital,MAX($J$6:J32)))</f>
        <v/>
      </c>
      <c r="L32" s="39">
        <f>IF(A32="","",K32-J32)</f>
        <v/>
      </c>
      <c r="M32" s="58">
        <f>IF(A32="","",L32/K32)</f>
        <v/>
      </c>
      <c r="N32" s="57">
        <f>IF(A32="","",A32-WEEKDAY(A32,3))</f>
        <v/>
      </c>
      <c r="O32" s="39">
        <f>IF(A32="","",SUMIFS($H$6:H32,$N$6:N32,N32))</f>
        <v/>
      </c>
      <c r="P32" s="58">
        <f>IF(A32="","",IFERROR(COUNTIFS(TL_Date,A32,TL_Followed,"Y")/C32,0))</f>
        <v/>
      </c>
      <c r="Q32" s="28">
        <f>IF(A32="","",COUNTIFS(TL_Date,A32,TL_Followed,"N"))</f>
        <v/>
      </c>
      <c r="R32" s="28">
        <f>IF(A32="","",_xlfn.MAXIFS(TL_Lots,TL_Date,A32))</f>
        <v/>
      </c>
      <c r="S32" s="39">
        <f>IF(A32="","",SUMIFS(TL_GiveBack,TL_Date,A32))</f>
        <v/>
      </c>
      <c r="T32" s="28">
        <f>IF(A32="","",COUNTIFS(TL_Date,A32,TL_ExpBreach,"BREACH"))</f>
        <v/>
      </c>
      <c r="U32" s="5">
        <f>IF(A32="","",IF(H32&lt;=-DailyLossLimit,"BREACH","OK"))</f>
        <v/>
      </c>
      <c r="V32" s="5">
        <f>IF(A32="","",IF(C32&gt;MaxTradesDay,"BREACH","OK"))</f>
        <v/>
      </c>
      <c r="W32" s="5">
        <f>IF(A32="","",IF(O32&lt;=-WeeklyDDLimit,"BREACH","OK"))</f>
        <v/>
      </c>
      <c r="X32" s="5">
        <f>IF(A32="","",IF(OR(U32="BREACH",V32="BREACH",W32="BREACH",T32&gt;0,R32&gt;MaxLots),"LIMIT BROKEN","OK"))</f>
        <v/>
      </c>
    </row>
    <row r="33">
      <c r="A33" s="57">
        <f>IF(A32="","",IFERROR(SMALL(TL_Date,COUNTIF(TL_Date,"&lt;="&amp;A32)+1),""))</f>
        <v/>
      </c>
      <c r="B33" s="5">
        <f>IF(A33="","",TEXT(A33,"ddd"))</f>
        <v/>
      </c>
      <c r="C33" s="28">
        <f>IF(A33="","",COUNTIF(TL_Date,A33))</f>
        <v/>
      </c>
      <c r="D33" s="28">
        <f>IF(A33="","",COUNTIFS(TL_Date,A33,TL_Net,"&gt;0"))</f>
        <v/>
      </c>
      <c r="E33" s="28">
        <f>IF(A33="","",COUNTIFS(TL_Date,A33,TL_Net,"&lt;0"))</f>
        <v/>
      </c>
      <c r="F33" s="39">
        <f>IF(A33="","",SUMIFS(TL_Gross,TL_Date,A33))</f>
        <v/>
      </c>
      <c r="G33" s="39">
        <f>IF(A33="","",SUMIFS(TL_Chg,TL_Date,A33))</f>
        <v/>
      </c>
      <c r="H33" s="39">
        <f>IF(A33="","",SUMIFS(TL_Net,TL_Date,A33))</f>
        <v/>
      </c>
      <c r="I33" s="39">
        <f>IF(A33="","",SUM($H$6:H33))</f>
        <v/>
      </c>
      <c r="J33" s="39">
        <f>IF(A33="","",Capital+I33)</f>
        <v/>
      </c>
      <c r="K33" s="39">
        <f>IF(A33="","",MAX(Capital,MAX($J$6:J33)))</f>
        <v/>
      </c>
      <c r="L33" s="39">
        <f>IF(A33="","",K33-J33)</f>
        <v/>
      </c>
      <c r="M33" s="58">
        <f>IF(A33="","",L33/K33)</f>
        <v/>
      </c>
      <c r="N33" s="57">
        <f>IF(A33="","",A33-WEEKDAY(A33,3))</f>
        <v/>
      </c>
      <c r="O33" s="39">
        <f>IF(A33="","",SUMIFS($H$6:H33,$N$6:N33,N33))</f>
        <v/>
      </c>
      <c r="P33" s="58">
        <f>IF(A33="","",IFERROR(COUNTIFS(TL_Date,A33,TL_Followed,"Y")/C33,0))</f>
        <v/>
      </c>
      <c r="Q33" s="28">
        <f>IF(A33="","",COUNTIFS(TL_Date,A33,TL_Followed,"N"))</f>
        <v/>
      </c>
      <c r="R33" s="28">
        <f>IF(A33="","",_xlfn.MAXIFS(TL_Lots,TL_Date,A33))</f>
        <v/>
      </c>
      <c r="S33" s="39">
        <f>IF(A33="","",SUMIFS(TL_GiveBack,TL_Date,A33))</f>
        <v/>
      </c>
      <c r="T33" s="28">
        <f>IF(A33="","",COUNTIFS(TL_Date,A33,TL_ExpBreach,"BREACH"))</f>
        <v/>
      </c>
      <c r="U33" s="5">
        <f>IF(A33="","",IF(H33&lt;=-DailyLossLimit,"BREACH","OK"))</f>
        <v/>
      </c>
      <c r="V33" s="5">
        <f>IF(A33="","",IF(C33&gt;MaxTradesDay,"BREACH","OK"))</f>
        <v/>
      </c>
      <c r="W33" s="5">
        <f>IF(A33="","",IF(O33&lt;=-WeeklyDDLimit,"BREACH","OK"))</f>
        <v/>
      </c>
      <c r="X33" s="5">
        <f>IF(A33="","",IF(OR(U33="BREACH",V33="BREACH",W33="BREACH",T33&gt;0,R33&gt;MaxLots),"LIMIT BROKEN","OK"))</f>
        <v/>
      </c>
    </row>
    <row r="34">
      <c r="A34" s="57">
        <f>IF(A33="","",IFERROR(SMALL(TL_Date,COUNTIF(TL_Date,"&lt;="&amp;A33)+1),""))</f>
        <v/>
      </c>
      <c r="B34" s="5">
        <f>IF(A34="","",TEXT(A34,"ddd"))</f>
        <v/>
      </c>
      <c r="C34" s="28">
        <f>IF(A34="","",COUNTIF(TL_Date,A34))</f>
        <v/>
      </c>
      <c r="D34" s="28">
        <f>IF(A34="","",COUNTIFS(TL_Date,A34,TL_Net,"&gt;0"))</f>
        <v/>
      </c>
      <c r="E34" s="28">
        <f>IF(A34="","",COUNTIFS(TL_Date,A34,TL_Net,"&lt;0"))</f>
        <v/>
      </c>
      <c r="F34" s="39">
        <f>IF(A34="","",SUMIFS(TL_Gross,TL_Date,A34))</f>
        <v/>
      </c>
      <c r="G34" s="39">
        <f>IF(A34="","",SUMIFS(TL_Chg,TL_Date,A34))</f>
        <v/>
      </c>
      <c r="H34" s="39">
        <f>IF(A34="","",SUMIFS(TL_Net,TL_Date,A34))</f>
        <v/>
      </c>
      <c r="I34" s="39">
        <f>IF(A34="","",SUM($H$6:H34))</f>
        <v/>
      </c>
      <c r="J34" s="39">
        <f>IF(A34="","",Capital+I34)</f>
        <v/>
      </c>
      <c r="K34" s="39">
        <f>IF(A34="","",MAX(Capital,MAX($J$6:J34)))</f>
        <v/>
      </c>
      <c r="L34" s="39">
        <f>IF(A34="","",K34-J34)</f>
        <v/>
      </c>
      <c r="M34" s="58">
        <f>IF(A34="","",L34/K34)</f>
        <v/>
      </c>
      <c r="N34" s="57">
        <f>IF(A34="","",A34-WEEKDAY(A34,3))</f>
        <v/>
      </c>
      <c r="O34" s="39">
        <f>IF(A34="","",SUMIFS($H$6:H34,$N$6:N34,N34))</f>
        <v/>
      </c>
      <c r="P34" s="58">
        <f>IF(A34="","",IFERROR(COUNTIFS(TL_Date,A34,TL_Followed,"Y")/C34,0))</f>
        <v/>
      </c>
      <c r="Q34" s="28">
        <f>IF(A34="","",COUNTIFS(TL_Date,A34,TL_Followed,"N"))</f>
        <v/>
      </c>
      <c r="R34" s="28">
        <f>IF(A34="","",_xlfn.MAXIFS(TL_Lots,TL_Date,A34))</f>
        <v/>
      </c>
      <c r="S34" s="39">
        <f>IF(A34="","",SUMIFS(TL_GiveBack,TL_Date,A34))</f>
        <v/>
      </c>
      <c r="T34" s="28">
        <f>IF(A34="","",COUNTIFS(TL_Date,A34,TL_ExpBreach,"BREACH"))</f>
        <v/>
      </c>
      <c r="U34" s="5">
        <f>IF(A34="","",IF(H34&lt;=-DailyLossLimit,"BREACH","OK"))</f>
        <v/>
      </c>
      <c r="V34" s="5">
        <f>IF(A34="","",IF(C34&gt;MaxTradesDay,"BREACH","OK"))</f>
        <v/>
      </c>
      <c r="W34" s="5">
        <f>IF(A34="","",IF(O34&lt;=-WeeklyDDLimit,"BREACH","OK"))</f>
        <v/>
      </c>
      <c r="X34" s="5">
        <f>IF(A34="","",IF(OR(U34="BREACH",V34="BREACH",W34="BREACH",T34&gt;0,R34&gt;MaxLots),"LIMIT BROKEN","OK"))</f>
        <v/>
      </c>
    </row>
    <row r="35">
      <c r="A35" s="57">
        <f>IF(A34="","",IFERROR(SMALL(TL_Date,COUNTIF(TL_Date,"&lt;="&amp;A34)+1),""))</f>
        <v/>
      </c>
      <c r="B35" s="5">
        <f>IF(A35="","",TEXT(A35,"ddd"))</f>
        <v/>
      </c>
      <c r="C35" s="28">
        <f>IF(A35="","",COUNTIF(TL_Date,A35))</f>
        <v/>
      </c>
      <c r="D35" s="28">
        <f>IF(A35="","",COUNTIFS(TL_Date,A35,TL_Net,"&gt;0"))</f>
        <v/>
      </c>
      <c r="E35" s="28">
        <f>IF(A35="","",COUNTIFS(TL_Date,A35,TL_Net,"&lt;0"))</f>
        <v/>
      </c>
      <c r="F35" s="39">
        <f>IF(A35="","",SUMIFS(TL_Gross,TL_Date,A35))</f>
        <v/>
      </c>
      <c r="G35" s="39">
        <f>IF(A35="","",SUMIFS(TL_Chg,TL_Date,A35))</f>
        <v/>
      </c>
      <c r="H35" s="39">
        <f>IF(A35="","",SUMIFS(TL_Net,TL_Date,A35))</f>
        <v/>
      </c>
      <c r="I35" s="39">
        <f>IF(A35="","",SUM($H$6:H35))</f>
        <v/>
      </c>
      <c r="J35" s="39">
        <f>IF(A35="","",Capital+I35)</f>
        <v/>
      </c>
      <c r="K35" s="39">
        <f>IF(A35="","",MAX(Capital,MAX($J$6:J35)))</f>
        <v/>
      </c>
      <c r="L35" s="39">
        <f>IF(A35="","",K35-J35)</f>
        <v/>
      </c>
      <c r="M35" s="58">
        <f>IF(A35="","",L35/K35)</f>
        <v/>
      </c>
      <c r="N35" s="57">
        <f>IF(A35="","",A35-WEEKDAY(A35,3))</f>
        <v/>
      </c>
      <c r="O35" s="39">
        <f>IF(A35="","",SUMIFS($H$6:H35,$N$6:N35,N35))</f>
        <v/>
      </c>
      <c r="P35" s="58">
        <f>IF(A35="","",IFERROR(COUNTIFS(TL_Date,A35,TL_Followed,"Y")/C35,0))</f>
        <v/>
      </c>
      <c r="Q35" s="28">
        <f>IF(A35="","",COUNTIFS(TL_Date,A35,TL_Followed,"N"))</f>
        <v/>
      </c>
      <c r="R35" s="28">
        <f>IF(A35="","",_xlfn.MAXIFS(TL_Lots,TL_Date,A35))</f>
        <v/>
      </c>
      <c r="S35" s="39">
        <f>IF(A35="","",SUMIFS(TL_GiveBack,TL_Date,A35))</f>
        <v/>
      </c>
      <c r="T35" s="28">
        <f>IF(A35="","",COUNTIFS(TL_Date,A35,TL_ExpBreach,"BREACH"))</f>
        <v/>
      </c>
      <c r="U35" s="5">
        <f>IF(A35="","",IF(H35&lt;=-DailyLossLimit,"BREACH","OK"))</f>
        <v/>
      </c>
      <c r="V35" s="5">
        <f>IF(A35="","",IF(C35&gt;MaxTradesDay,"BREACH","OK"))</f>
        <v/>
      </c>
      <c r="W35" s="5">
        <f>IF(A35="","",IF(O35&lt;=-WeeklyDDLimit,"BREACH","OK"))</f>
        <v/>
      </c>
      <c r="X35" s="5">
        <f>IF(A35="","",IF(OR(U35="BREACH",V35="BREACH",W35="BREACH",T35&gt;0,R35&gt;MaxLots),"LIMIT BROKEN","OK"))</f>
        <v/>
      </c>
    </row>
    <row r="36">
      <c r="A36" s="57">
        <f>IF(A35="","",IFERROR(SMALL(TL_Date,COUNTIF(TL_Date,"&lt;="&amp;A35)+1),""))</f>
        <v/>
      </c>
      <c r="B36" s="5">
        <f>IF(A36="","",TEXT(A36,"ddd"))</f>
        <v/>
      </c>
      <c r="C36" s="28">
        <f>IF(A36="","",COUNTIF(TL_Date,A36))</f>
        <v/>
      </c>
      <c r="D36" s="28">
        <f>IF(A36="","",COUNTIFS(TL_Date,A36,TL_Net,"&gt;0"))</f>
        <v/>
      </c>
      <c r="E36" s="28">
        <f>IF(A36="","",COUNTIFS(TL_Date,A36,TL_Net,"&lt;0"))</f>
        <v/>
      </c>
      <c r="F36" s="39">
        <f>IF(A36="","",SUMIFS(TL_Gross,TL_Date,A36))</f>
        <v/>
      </c>
      <c r="G36" s="39">
        <f>IF(A36="","",SUMIFS(TL_Chg,TL_Date,A36))</f>
        <v/>
      </c>
      <c r="H36" s="39">
        <f>IF(A36="","",SUMIFS(TL_Net,TL_Date,A36))</f>
        <v/>
      </c>
      <c r="I36" s="39">
        <f>IF(A36="","",SUM($H$6:H36))</f>
        <v/>
      </c>
      <c r="J36" s="39">
        <f>IF(A36="","",Capital+I36)</f>
        <v/>
      </c>
      <c r="K36" s="39">
        <f>IF(A36="","",MAX(Capital,MAX($J$6:J36)))</f>
        <v/>
      </c>
      <c r="L36" s="39">
        <f>IF(A36="","",K36-J36)</f>
        <v/>
      </c>
      <c r="M36" s="58">
        <f>IF(A36="","",L36/K36)</f>
        <v/>
      </c>
      <c r="N36" s="57">
        <f>IF(A36="","",A36-WEEKDAY(A36,3))</f>
        <v/>
      </c>
      <c r="O36" s="39">
        <f>IF(A36="","",SUMIFS($H$6:H36,$N$6:N36,N36))</f>
        <v/>
      </c>
      <c r="P36" s="58">
        <f>IF(A36="","",IFERROR(COUNTIFS(TL_Date,A36,TL_Followed,"Y")/C36,0))</f>
        <v/>
      </c>
      <c r="Q36" s="28">
        <f>IF(A36="","",COUNTIFS(TL_Date,A36,TL_Followed,"N"))</f>
        <v/>
      </c>
      <c r="R36" s="28">
        <f>IF(A36="","",_xlfn.MAXIFS(TL_Lots,TL_Date,A36))</f>
        <v/>
      </c>
      <c r="S36" s="39">
        <f>IF(A36="","",SUMIFS(TL_GiveBack,TL_Date,A36))</f>
        <v/>
      </c>
      <c r="T36" s="28">
        <f>IF(A36="","",COUNTIFS(TL_Date,A36,TL_ExpBreach,"BREACH"))</f>
        <v/>
      </c>
      <c r="U36" s="5">
        <f>IF(A36="","",IF(H36&lt;=-DailyLossLimit,"BREACH","OK"))</f>
        <v/>
      </c>
      <c r="V36" s="5">
        <f>IF(A36="","",IF(C36&gt;MaxTradesDay,"BREACH","OK"))</f>
        <v/>
      </c>
      <c r="W36" s="5">
        <f>IF(A36="","",IF(O36&lt;=-WeeklyDDLimit,"BREACH","OK"))</f>
        <v/>
      </c>
      <c r="X36" s="5">
        <f>IF(A36="","",IF(OR(U36="BREACH",V36="BREACH",W36="BREACH",T36&gt;0,R36&gt;MaxLots),"LIMIT BROKEN","OK"))</f>
        <v/>
      </c>
    </row>
    <row r="37">
      <c r="A37" s="57">
        <f>IF(A36="","",IFERROR(SMALL(TL_Date,COUNTIF(TL_Date,"&lt;="&amp;A36)+1),""))</f>
        <v/>
      </c>
      <c r="B37" s="5">
        <f>IF(A37="","",TEXT(A37,"ddd"))</f>
        <v/>
      </c>
      <c r="C37" s="28">
        <f>IF(A37="","",COUNTIF(TL_Date,A37))</f>
        <v/>
      </c>
      <c r="D37" s="28">
        <f>IF(A37="","",COUNTIFS(TL_Date,A37,TL_Net,"&gt;0"))</f>
        <v/>
      </c>
      <c r="E37" s="28">
        <f>IF(A37="","",COUNTIFS(TL_Date,A37,TL_Net,"&lt;0"))</f>
        <v/>
      </c>
      <c r="F37" s="39">
        <f>IF(A37="","",SUMIFS(TL_Gross,TL_Date,A37))</f>
        <v/>
      </c>
      <c r="G37" s="39">
        <f>IF(A37="","",SUMIFS(TL_Chg,TL_Date,A37))</f>
        <v/>
      </c>
      <c r="H37" s="39">
        <f>IF(A37="","",SUMIFS(TL_Net,TL_Date,A37))</f>
        <v/>
      </c>
      <c r="I37" s="39">
        <f>IF(A37="","",SUM($H$6:H37))</f>
        <v/>
      </c>
      <c r="J37" s="39">
        <f>IF(A37="","",Capital+I37)</f>
        <v/>
      </c>
      <c r="K37" s="39">
        <f>IF(A37="","",MAX(Capital,MAX($J$6:J37)))</f>
        <v/>
      </c>
      <c r="L37" s="39">
        <f>IF(A37="","",K37-J37)</f>
        <v/>
      </c>
      <c r="M37" s="58">
        <f>IF(A37="","",L37/K37)</f>
        <v/>
      </c>
      <c r="N37" s="57">
        <f>IF(A37="","",A37-WEEKDAY(A37,3))</f>
        <v/>
      </c>
      <c r="O37" s="39">
        <f>IF(A37="","",SUMIFS($H$6:H37,$N$6:N37,N37))</f>
        <v/>
      </c>
      <c r="P37" s="58">
        <f>IF(A37="","",IFERROR(COUNTIFS(TL_Date,A37,TL_Followed,"Y")/C37,0))</f>
        <v/>
      </c>
      <c r="Q37" s="28">
        <f>IF(A37="","",COUNTIFS(TL_Date,A37,TL_Followed,"N"))</f>
        <v/>
      </c>
      <c r="R37" s="28">
        <f>IF(A37="","",_xlfn.MAXIFS(TL_Lots,TL_Date,A37))</f>
        <v/>
      </c>
      <c r="S37" s="39">
        <f>IF(A37="","",SUMIFS(TL_GiveBack,TL_Date,A37))</f>
        <v/>
      </c>
      <c r="T37" s="28">
        <f>IF(A37="","",COUNTIFS(TL_Date,A37,TL_ExpBreach,"BREACH"))</f>
        <v/>
      </c>
      <c r="U37" s="5">
        <f>IF(A37="","",IF(H37&lt;=-DailyLossLimit,"BREACH","OK"))</f>
        <v/>
      </c>
      <c r="V37" s="5">
        <f>IF(A37="","",IF(C37&gt;MaxTradesDay,"BREACH","OK"))</f>
        <v/>
      </c>
      <c r="W37" s="5">
        <f>IF(A37="","",IF(O37&lt;=-WeeklyDDLimit,"BREACH","OK"))</f>
        <v/>
      </c>
      <c r="X37" s="5">
        <f>IF(A37="","",IF(OR(U37="BREACH",V37="BREACH",W37="BREACH",T37&gt;0,R37&gt;MaxLots),"LIMIT BROKEN","OK"))</f>
        <v/>
      </c>
    </row>
    <row r="38">
      <c r="A38" s="57">
        <f>IF(A37="","",IFERROR(SMALL(TL_Date,COUNTIF(TL_Date,"&lt;="&amp;A37)+1),""))</f>
        <v/>
      </c>
      <c r="B38" s="5">
        <f>IF(A38="","",TEXT(A38,"ddd"))</f>
        <v/>
      </c>
      <c r="C38" s="28">
        <f>IF(A38="","",COUNTIF(TL_Date,A38))</f>
        <v/>
      </c>
      <c r="D38" s="28">
        <f>IF(A38="","",COUNTIFS(TL_Date,A38,TL_Net,"&gt;0"))</f>
        <v/>
      </c>
      <c r="E38" s="28">
        <f>IF(A38="","",COUNTIFS(TL_Date,A38,TL_Net,"&lt;0"))</f>
        <v/>
      </c>
      <c r="F38" s="39">
        <f>IF(A38="","",SUMIFS(TL_Gross,TL_Date,A38))</f>
        <v/>
      </c>
      <c r="G38" s="39">
        <f>IF(A38="","",SUMIFS(TL_Chg,TL_Date,A38))</f>
        <v/>
      </c>
      <c r="H38" s="39">
        <f>IF(A38="","",SUMIFS(TL_Net,TL_Date,A38))</f>
        <v/>
      </c>
      <c r="I38" s="39">
        <f>IF(A38="","",SUM($H$6:H38))</f>
        <v/>
      </c>
      <c r="J38" s="39">
        <f>IF(A38="","",Capital+I38)</f>
        <v/>
      </c>
      <c r="K38" s="39">
        <f>IF(A38="","",MAX(Capital,MAX($J$6:J38)))</f>
        <v/>
      </c>
      <c r="L38" s="39">
        <f>IF(A38="","",K38-J38)</f>
        <v/>
      </c>
      <c r="M38" s="58">
        <f>IF(A38="","",L38/K38)</f>
        <v/>
      </c>
      <c r="N38" s="57">
        <f>IF(A38="","",A38-WEEKDAY(A38,3))</f>
        <v/>
      </c>
      <c r="O38" s="39">
        <f>IF(A38="","",SUMIFS($H$6:H38,$N$6:N38,N38))</f>
        <v/>
      </c>
      <c r="P38" s="58">
        <f>IF(A38="","",IFERROR(COUNTIFS(TL_Date,A38,TL_Followed,"Y")/C38,0))</f>
        <v/>
      </c>
      <c r="Q38" s="28">
        <f>IF(A38="","",COUNTIFS(TL_Date,A38,TL_Followed,"N"))</f>
        <v/>
      </c>
      <c r="R38" s="28">
        <f>IF(A38="","",_xlfn.MAXIFS(TL_Lots,TL_Date,A38))</f>
        <v/>
      </c>
      <c r="S38" s="39">
        <f>IF(A38="","",SUMIFS(TL_GiveBack,TL_Date,A38))</f>
        <v/>
      </c>
      <c r="T38" s="28">
        <f>IF(A38="","",COUNTIFS(TL_Date,A38,TL_ExpBreach,"BREACH"))</f>
        <v/>
      </c>
      <c r="U38" s="5">
        <f>IF(A38="","",IF(H38&lt;=-DailyLossLimit,"BREACH","OK"))</f>
        <v/>
      </c>
      <c r="V38" s="5">
        <f>IF(A38="","",IF(C38&gt;MaxTradesDay,"BREACH","OK"))</f>
        <v/>
      </c>
      <c r="W38" s="5">
        <f>IF(A38="","",IF(O38&lt;=-WeeklyDDLimit,"BREACH","OK"))</f>
        <v/>
      </c>
      <c r="X38" s="5">
        <f>IF(A38="","",IF(OR(U38="BREACH",V38="BREACH",W38="BREACH",T38&gt;0,R38&gt;MaxLots),"LIMIT BROKEN","OK"))</f>
        <v/>
      </c>
    </row>
    <row r="39">
      <c r="A39" s="57">
        <f>IF(A38="","",IFERROR(SMALL(TL_Date,COUNTIF(TL_Date,"&lt;="&amp;A38)+1),""))</f>
        <v/>
      </c>
      <c r="B39" s="5">
        <f>IF(A39="","",TEXT(A39,"ddd"))</f>
        <v/>
      </c>
      <c r="C39" s="28">
        <f>IF(A39="","",COUNTIF(TL_Date,A39))</f>
        <v/>
      </c>
      <c r="D39" s="28">
        <f>IF(A39="","",COUNTIFS(TL_Date,A39,TL_Net,"&gt;0"))</f>
        <v/>
      </c>
      <c r="E39" s="28">
        <f>IF(A39="","",COUNTIFS(TL_Date,A39,TL_Net,"&lt;0"))</f>
        <v/>
      </c>
      <c r="F39" s="39">
        <f>IF(A39="","",SUMIFS(TL_Gross,TL_Date,A39))</f>
        <v/>
      </c>
      <c r="G39" s="39">
        <f>IF(A39="","",SUMIFS(TL_Chg,TL_Date,A39))</f>
        <v/>
      </c>
      <c r="H39" s="39">
        <f>IF(A39="","",SUMIFS(TL_Net,TL_Date,A39))</f>
        <v/>
      </c>
      <c r="I39" s="39">
        <f>IF(A39="","",SUM($H$6:H39))</f>
        <v/>
      </c>
      <c r="J39" s="39">
        <f>IF(A39="","",Capital+I39)</f>
        <v/>
      </c>
      <c r="K39" s="39">
        <f>IF(A39="","",MAX(Capital,MAX($J$6:J39)))</f>
        <v/>
      </c>
      <c r="L39" s="39">
        <f>IF(A39="","",K39-J39)</f>
        <v/>
      </c>
      <c r="M39" s="58">
        <f>IF(A39="","",L39/K39)</f>
        <v/>
      </c>
      <c r="N39" s="57">
        <f>IF(A39="","",A39-WEEKDAY(A39,3))</f>
        <v/>
      </c>
      <c r="O39" s="39">
        <f>IF(A39="","",SUMIFS($H$6:H39,$N$6:N39,N39))</f>
        <v/>
      </c>
      <c r="P39" s="58">
        <f>IF(A39="","",IFERROR(COUNTIFS(TL_Date,A39,TL_Followed,"Y")/C39,0))</f>
        <v/>
      </c>
      <c r="Q39" s="28">
        <f>IF(A39="","",COUNTIFS(TL_Date,A39,TL_Followed,"N"))</f>
        <v/>
      </c>
      <c r="R39" s="28">
        <f>IF(A39="","",_xlfn.MAXIFS(TL_Lots,TL_Date,A39))</f>
        <v/>
      </c>
      <c r="S39" s="39">
        <f>IF(A39="","",SUMIFS(TL_GiveBack,TL_Date,A39))</f>
        <v/>
      </c>
      <c r="T39" s="28">
        <f>IF(A39="","",COUNTIFS(TL_Date,A39,TL_ExpBreach,"BREACH"))</f>
        <v/>
      </c>
      <c r="U39" s="5">
        <f>IF(A39="","",IF(H39&lt;=-DailyLossLimit,"BREACH","OK"))</f>
        <v/>
      </c>
      <c r="V39" s="5">
        <f>IF(A39="","",IF(C39&gt;MaxTradesDay,"BREACH","OK"))</f>
        <v/>
      </c>
      <c r="W39" s="5">
        <f>IF(A39="","",IF(O39&lt;=-WeeklyDDLimit,"BREACH","OK"))</f>
        <v/>
      </c>
      <c r="X39" s="5">
        <f>IF(A39="","",IF(OR(U39="BREACH",V39="BREACH",W39="BREACH",T39&gt;0,R39&gt;MaxLots),"LIMIT BROKEN","OK"))</f>
        <v/>
      </c>
    </row>
    <row r="40">
      <c r="A40" s="57">
        <f>IF(A39="","",IFERROR(SMALL(TL_Date,COUNTIF(TL_Date,"&lt;="&amp;A39)+1),""))</f>
        <v/>
      </c>
      <c r="B40" s="5">
        <f>IF(A40="","",TEXT(A40,"ddd"))</f>
        <v/>
      </c>
      <c r="C40" s="28">
        <f>IF(A40="","",COUNTIF(TL_Date,A40))</f>
        <v/>
      </c>
      <c r="D40" s="28">
        <f>IF(A40="","",COUNTIFS(TL_Date,A40,TL_Net,"&gt;0"))</f>
        <v/>
      </c>
      <c r="E40" s="28">
        <f>IF(A40="","",COUNTIFS(TL_Date,A40,TL_Net,"&lt;0"))</f>
        <v/>
      </c>
      <c r="F40" s="39">
        <f>IF(A40="","",SUMIFS(TL_Gross,TL_Date,A40))</f>
        <v/>
      </c>
      <c r="G40" s="39">
        <f>IF(A40="","",SUMIFS(TL_Chg,TL_Date,A40))</f>
        <v/>
      </c>
      <c r="H40" s="39">
        <f>IF(A40="","",SUMIFS(TL_Net,TL_Date,A40))</f>
        <v/>
      </c>
      <c r="I40" s="39">
        <f>IF(A40="","",SUM($H$6:H40))</f>
        <v/>
      </c>
      <c r="J40" s="39">
        <f>IF(A40="","",Capital+I40)</f>
        <v/>
      </c>
      <c r="K40" s="39">
        <f>IF(A40="","",MAX(Capital,MAX($J$6:J40)))</f>
        <v/>
      </c>
      <c r="L40" s="39">
        <f>IF(A40="","",K40-J40)</f>
        <v/>
      </c>
      <c r="M40" s="58">
        <f>IF(A40="","",L40/K40)</f>
        <v/>
      </c>
      <c r="N40" s="57">
        <f>IF(A40="","",A40-WEEKDAY(A40,3))</f>
        <v/>
      </c>
      <c r="O40" s="39">
        <f>IF(A40="","",SUMIFS($H$6:H40,$N$6:N40,N40))</f>
        <v/>
      </c>
      <c r="P40" s="58">
        <f>IF(A40="","",IFERROR(COUNTIFS(TL_Date,A40,TL_Followed,"Y")/C40,0))</f>
        <v/>
      </c>
      <c r="Q40" s="28">
        <f>IF(A40="","",COUNTIFS(TL_Date,A40,TL_Followed,"N"))</f>
        <v/>
      </c>
      <c r="R40" s="28">
        <f>IF(A40="","",_xlfn.MAXIFS(TL_Lots,TL_Date,A40))</f>
        <v/>
      </c>
      <c r="S40" s="39">
        <f>IF(A40="","",SUMIFS(TL_GiveBack,TL_Date,A40))</f>
        <v/>
      </c>
      <c r="T40" s="28">
        <f>IF(A40="","",COUNTIFS(TL_Date,A40,TL_ExpBreach,"BREACH"))</f>
        <v/>
      </c>
      <c r="U40" s="5">
        <f>IF(A40="","",IF(H40&lt;=-DailyLossLimit,"BREACH","OK"))</f>
        <v/>
      </c>
      <c r="V40" s="5">
        <f>IF(A40="","",IF(C40&gt;MaxTradesDay,"BREACH","OK"))</f>
        <v/>
      </c>
      <c r="W40" s="5">
        <f>IF(A40="","",IF(O40&lt;=-WeeklyDDLimit,"BREACH","OK"))</f>
        <v/>
      </c>
      <c r="X40" s="5">
        <f>IF(A40="","",IF(OR(U40="BREACH",V40="BREACH",W40="BREACH",T40&gt;0,R40&gt;MaxLots),"LIMIT BROKEN","OK"))</f>
        <v/>
      </c>
    </row>
    <row r="41">
      <c r="A41" s="57">
        <f>IF(A40="","",IFERROR(SMALL(TL_Date,COUNTIF(TL_Date,"&lt;="&amp;A40)+1),""))</f>
        <v/>
      </c>
      <c r="B41" s="5">
        <f>IF(A41="","",TEXT(A41,"ddd"))</f>
        <v/>
      </c>
      <c r="C41" s="28">
        <f>IF(A41="","",COUNTIF(TL_Date,A41))</f>
        <v/>
      </c>
      <c r="D41" s="28">
        <f>IF(A41="","",COUNTIFS(TL_Date,A41,TL_Net,"&gt;0"))</f>
        <v/>
      </c>
      <c r="E41" s="28">
        <f>IF(A41="","",COUNTIFS(TL_Date,A41,TL_Net,"&lt;0"))</f>
        <v/>
      </c>
      <c r="F41" s="39">
        <f>IF(A41="","",SUMIFS(TL_Gross,TL_Date,A41))</f>
        <v/>
      </c>
      <c r="G41" s="39">
        <f>IF(A41="","",SUMIFS(TL_Chg,TL_Date,A41))</f>
        <v/>
      </c>
      <c r="H41" s="39">
        <f>IF(A41="","",SUMIFS(TL_Net,TL_Date,A41))</f>
        <v/>
      </c>
      <c r="I41" s="39">
        <f>IF(A41="","",SUM($H$6:H41))</f>
        <v/>
      </c>
      <c r="J41" s="39">
        <f>IF(A41="","",Capital+I41)</f>
        <v/>
      </c>
      <c r="K41" s="39">
        <f>IF(A41="","",MAX(Capital,MAX($J$6:J41)))</f>
        <v/>
      </c>
      <c r="L41" s="39">
        <f>IF(A41="","",K41-J41)</f>
        <v/>
      </c>
      <c r="M41" s="58">
        <f>IF(A41="","",L41/K41)</f>
        <v/>
      </c>
      <c r="N41" s="57">
        <f>IF(A41="","",A41-WEEKDAY(A41,3))</f>
        <v/>
      </c>
      <c r="O41" s="39">
        <f>IF(A41="","",SUMIFS($H$6:H41,$N$6:N41,N41))</f>
        <v/>
      </c>
      <c r="P41" s="58">
        <f>IF(A41="","",IFERROR(COUNTIFS(TL_Date,A41,TL_Followed,"Y")/C41,0))</f>
        <v/>
      </c>
      <c r="Q41" s="28">
        <f>IF(A41="","",COUNTIFS(TL_Date,A41,TL_Followed,"N"))</f>
        <v/>
      </c>
      <c r="R41" s="28">
        <f>IF(A41="","",_xlfn.MAXIFS(TL_Lots,TL_Date,A41))</f>
        <v/>
      </c>
      <c r="S41" s="39">
        <f>IF(A41="","",SUMIFS(TL_GiveBack,TL_Date,A41))</f>
        <v/>
      </c>
      <c r="T41" s="28">
        <f>IF(A41="","",COUNTIFS(TL_Date,A41,TL_ExpBreach,"BREACH"))</f>
        <v/>
      </c>
      <c r="U41" s="5">
        <f>IF(A41="","",IF(H41&lt;=-DailyLossLimit,"BREACH","OK"))</f>
        <v/>
      </c>
      <c r="V41" s="5">
        <f>IF(A41="","",IF(C41&gt;MaxTradesDay,"BREACH","OK"))</f>
        <v/>
      </c>
      <c r="W41" s="5">
        <f>IF(A41="","",IF(O41&lt;=-WeeklyDDLimit,"BREACH","OK"))</f>
        <v/>
      </c>
      <c r="X41" s="5">
        <f>IF(A41="","",IF(OR(U41="BREACH",V41="BREACH",W41="BREACH",T41&gt;0,R41&gt;MaxLots),"LIMIT BROKEN","OK"))</f>
        <v/>
      </c>
    </row>
    <row r="42">
      <c r="A42" s="57">
        <f>IF(A41="","",IFERROR(SMALL(TL_Date,COUNTIF(TL_Date,"&lt;="&amp;A41)+1),""))</f>
        <v/>
      </c>
      <c r="B42" s="5">
        <f>IF(A42="","",TEXT(A42,"ddd"))</f>
        <v/>
      </c>
      <c r="C42" s="28">
        <f>IF(A42="","",COUNTIF(TL_Date,A42))</f>
        <v/>
      </c>
      <c r="D42" s="28">
        <f>IF(A42="","",COUNTIFS(TL_Date,A42,TL_Net,"&gt;0"))</f>
        <v/>
      </c>
      <c r="E42" s="28">
        <f>IF(A42="","",COUNTIFS(TL_Date,A42,TL_Net,"&lt;0"))</f>
        <v/>
      </c>
      <c r="F42" s="39">
        <f>IF(A42="","",SUMIFS(TL_Gross,TL_Date,A42))</f>
        <v/>
      </c>
      <c r="G42" s="39">
        <f>IF(A42="","",SUMIFS(TL_Chg,TL_Date,A42))</f>
        <v/>
      </c>
      <c r="H42" s="39">
        <f>IF(A42="","",SUMIFS(TL_Net,TL_Date,A42))</f>
        <v/>
      </c>
      <c r="I42" s="39">
        <f>IF(A42="","",SUM($H$6:H42))</f>
        <v/>
      </c>
      <c r="J42" s="39">
        <f>IF(A42="","",Capital+I42)</f>
        <v/>
      </c>
      <c r="K42" s="39">
        <f>IF(A42="","",MAX(Capital,MAX($J$6:J42)))</f>
        <v/>
      </c>
      <c r="L42" s="39">
        <f>IF(A42="","",K42-J42)</f>
        <v/>
      </c>
      <c r="M42" s="58">
        <f>IF(A42="","",L42/K42)</f>
        <v/>
      </c>
      <c r="N42" s="57">
        <f>IF(A42="","",A42-WEEKDAY(A42,3))</f>
        <v/>
      </c>
      <c r="O42" s="39">
        <f>IF(A42="","",SUMIFS($H$6:H42,$N$6:N42,N42))</f>
        <v/>
      </c>
      <c r="P42" s="58">
        <f>IF(A42="","",IFERROR(COUNTIFS(TL_Date,A42,TL_Followed,"Y")/C42,0))</f>
        <v/>
      </c>
      <c r="Q42" s="28">
        <f>IF(A42="","",COUNTIFS(TL_Date,A42,TL_Followed,"N"))</f>
        <v/>
      </c>
      <c r="R42" s="28">
        <f>IF(A42="","",_xlfn.MAXIFS(TL_Lots,TL_Date,A42))</f>
        <v/>
      </c>
      <c r="S42" s="39">
        <f>IF(A42="","",SUMIFS(TL_GiveBack,TL_Date,A42))</f>
        <v/>
      </c>
      <c r="T42" s="28">
        <f>IF(A42="","",COUNTIFS(TL_Date,A42,TL_ExpBreach,"BREACH"))</f>
        <v/>
      </c>
      <c r="U42" s="5">
        <f>IF(A42="","",IF(H42&lt;=-DailyLossLimit,"BREACH","OK"))</f>
        <v/>
      </c>
      <c r="V42" s="5">
        <f>IF(A42="","",IF(C42&gt;MaxTradesDay,"BREACH","OK"))</f>
        <v/>
      </c>
      <c r="W42" s="5">
        <f>IF(A42="","",IF(O42&lt;=-WeeklyDDLimit,"BREACH","OK"))</f>
        <v/>
      </c>
      <c r="X42" s="5">
        <f>IF(A42="","",IF(OR(U42="BREACH",V42="BREACH",W42="BREACH",T42&gt;0,R42&gt;MaxLots),"LIMIT BROKEN","OK"))</f>
        <v/>
      </c>
    </row>
    <row r="43">
      <c r="A43" s="57">
        <f>IF(A42="","",IFERROR(SMALL(TL_Date,COUNTIF(TL_Date,"&lt;="&amp;A42)+1),""))</f>
        <v/>
      </c>
      <c r="B43" s="5">
        <f>IF(A43="","",TEXT(A43,"ddd"))</f>
        <v/>
      </c>
      <c r="C43" s="28">
        <f>IF(A43="","",COUNTIF(TL_Date,A43))</f>
        <v/>
      </c>
      <c r="D43" s="28">
        <f>IF(A43="","",COUNTIFS(TL_Date,A43,TL_Net,"&gt;0"))</f>
        <v/>
      </c>
      <c r="E43" s="28">
        <f>IF(A43="","",COUNTIFS(TL_Date,A43,TL_Net,"&lt;0"))</f>
        <v/>
      </c>
      <c r="F43" s="39">
        <f>IF(A43="","",SUMIFS(TL_Gross,TL_Date,A43))</f>
        <v/>
      </c>
      <c r="G43" s="39">
        <f>IF(A43="","",SUMIFS(TL_Chg,TL_Date,A43))</f>
        <v/>
      </c>
      <c r="H43" s="39">
        <f>IF(A43="","",SUMIFS(TL_Net,TL_Date,A43))</f>
        <v/>
      </c>
      <c r="I43" s="39">
        <f>IF(A43="","",SUM($H$6:H43))</f>
        <v/>
      </c>
      <c r="J43" s="39">
        <f>IF(A43="","",Capital+I43)</f>
        <v/>
      </c>
      <c r="K43" s="39">
        <f>IF(A43="","",MAX(Capital,MAX($J$6:J43)))</f>
        <v/>
      </c>
      <c r="L43" s="39">
        <f>IF(A43="","",K43-J43)</f>
        <v/>
      </c>
      <c r="M43" s="58">
        <f>IF(A43="","",L43/K43)</f>
        <v/>
      </c>
      <c r="N43" s="57">
        <f>IF(A43="","",A43-WEEKDAY(A43,3))</f>
        <v/>
      </c>
      <c r="O43" s="39">
        <f>IF(A43="","",SUMIFS($H$6:H43,$N$6:N43,N43))</f>
        <v/>
      </c>
      <c r="P43" s="58">
        <f>IF(A43="","",IFERROR(COUNTIFS(TL_Date,A43,TL_Followed,"Y")/C43,0))</f>
        <v/>
      </c>
      <c r="Q43" s="28">
        <f>IF(A43="","",COUNTIFS(TL_Date,A43,TL_Followed,"N"))</f>
        <v/>
      </c>
      <c r="R43" s="28">
        <f>IF(A43="","",_xlfn.MAXIFS(TL_Lots,TL_Date,A43))</f>
        <v/>
      </c>
      <c r="S43" s="39">
        <f>IF(A43="","",SUMIFS(TL_GiveBack,TL_Date,A43))</f>
        <v/>
      </c>
      <c r="T43" s="28">
        <f>IF(A43="","",COUNTIFS(TL_Date,A43,TL_ExpBreach,"BREACH"))</f>
        <v/>
      </c>
      <c r="U43" s="5">
        <f>IF(A43="","",IF(H43&lt;=-DailyLossLimit,"BREACH","OK"))</f>
        <v/>
      </c>
      <c r="V43" s="5">
        <f>IF(A43="","",IF(C43&gt;MaxTradesDay,"BREACH","OK"))</f>
        <v/>
      </c>
      <c r="W43" s="5">
        <f>IF(A43="","",IF(O43&lt;=-WeeklyDDLimit,"BREACH","OK"))</f>
        <v/>
      </c>
      <c r="X43" s="5">
        <f>IF(A43="","",IF(OR(U43="BREACH",V43="BREACH",W43="BREACH",T43&gt;0,R43&gt;MaxLots),"LIMIT BROKEN","OK"))</f>
        <v/>
      </c>
    </row>
    <row r="44">
      <c r="A44" s="57">
        <f>IF(A43="","",IFERROR(SMALL(TL_Date,COUNTIF(TL_Date,"&lt;="&amp;A43)+1),""))</f>
        <v/>
      </c>
      <c r="B44" s="5">
        <f>IF(A44="","",TEXT(A44,"ddd"))</f>
        <v/>
      </c>
      <c r="C44" s="28">
        <f>IF(A44="","",COUNTIF(TL_Date,A44))</f>
        <v/>
      </c>
      <c r="D44" s="28">
        <f>IF(A44="","",COUNTIFS(TL_Date,A44,TL_Net,"&gt;0"))</f>
        <v/>
      </c>
      <c r="E44" s="28">
        <f>IF(A44="","",COUNTIFS(TL_Date,A44,TL_Net,"&lt;0"))</f>
        <v/>
      </c>
      <c r="F44" s="39">
        <f>IF(A44="","",SUMIFS(TL_Gross,TL_Date,A44))</f>
        <v/>
      </c>
      <c r="G44" s="39">
        <f>IF(A44="","",SUMIFS(TL_Chg,TL_Date,A44))</f>
        <v/>
      </c>
      <c r="H44" s="39">
        <f>IF(A44="","",SUMIFS(TL_Net,TL_Date,A44))</f>
        <v/>
      </c>
      <c r="I44" s="39">
        <f>IF(A44="","",SUM($H$6:H44))</f>
        <v/>
      </c>
      <c r="J44" s="39">
        <f>IF(A44="","",Capital+I44)</f>
        <v/>
      </c>
      <c r="K44" s="39">
        <f>IF(A44="","",MAX(Capital,MAX($J$6:J44)))</f>
        <v/>
      </c>
      <c r="L44" s="39">
        <f>IF(A44="","",K44-J44)</f>
        <v/>
      </c>
      <c r="M44" s="58">
        <f>IF(A44="","",L44/K44)</f>
        <v/>
      </c>
      <c r="N44" s="57">
        <f>IF(A44="","",A44-WEEKDAY(A44,3))</f>
        <v/>
      </c>
      <c r="O44" s="39">
        <f>IF(A44="","",SUMIFS($H$6:H44,$N$6:N44,N44))</f>
        <v/>
      </c>
      <c r="P44" s="58">
        <f>IF(A44="","",IFERROR(COUNTIFS(TL_Date,A44,TL_Followed,"Y")/C44,0))</f>
        <v/>
      </c>
      <c r="Q44" s="28">
        <f>IF(A44="","",COUNTIFS(TL_Date,A44,TL_Followed,"N"))</f>
        <v/>
      </c>
      <c r="R44" s="28">
        <f>IF(A44="","",_xlfn.MAXIFS(TL_Lots,TL_Date,A44))</f>
        <v/>
      </c>
      <c r="S44" s="39">
        <f>IF(A44="","",SUMIFS(TL_GiveBack,TL_Date,A44))</f>
        <v/>
      </c>
      <c r="T44" s="28">
        <f>IF(A44="","",COUNTIFS(TL_Date,A44,TL_ExpBreach,"BREACH"))</f>
        <v/>
      </c>
      <c r="U44" s="5">
        <f>IF(A44="","",IF(H44&lt;=-DailyLossLimit,"BREACH","OK"))</f>
        <v/>
      </c>
      <c r="V44" s="5">
        <f>IF(A44="","",IF(C44&gt;MaxTradesDay,"BREACH","OK"))</f>
        <v/>
      </c>
      <c r="W44" s="5">
        <f>IF(A44="","",IF(O44&lt;=-WeeklyDDLimit,"BREACH","OK"))</f>
        <v/>
      </c>
      <c r="X44" s="5">
        <f>IF(A44="","",IF(OR(U44="BREACH",V44="BREACH",W44="BREACH",T44&gt;0,R44&gt;MaxLots),"LIMIT BROKEN","OK"))</f>
        <v/>
      </c>
    </row>
    <row r="45">
      <c r="A45" s="57">
        <f>IF(A44="","",IFERROR(SMALL(TL_Date,COUNTIF(TL_Date,"&lt;="&amp;A44)+1),""))</f>
        <v/>
      </c>
      <c r="B45" s="5">
        <f>IF(A45="","",TEXT(A45,"ddd"))</f>
        <v/>
      </c>
      <c r="C45" s="28">
        <f>IF(A45="","",COUNTIF(TL_Date,A45))</f>
        <v/>
      </c>
      <c r="D45" s="28">
        <f>IF(A45="","",COUNTIFS(TL_Date,A45,TL_Net,"&gt;0"))</f>
        <v/>
      </c>
      <c r="E45" s="28">
        <f>IF(A45="","",COUNTIFS(TL_Date,A45,TL_Net,"&lt;0"))</f>
        <v/>
      </c>
      <c r="F45" s="39">
        <f>IF(A45="","",SUMIFS(TL_Gross,TL_Date,A45))</f>
        <v/>
      </c>
      <c r="G45" s="39">
        <f>IF(A45="","",SUMIFS(TL_Chg,TL_Date,A45))</f>
        <v/>
      </c>
      <c r="H45" s="39">
        <f>IF(A45="","",SUMIFS(TL_Net,TL_Date,A45))</f>
        <v/>
      </c>
      <c r="I45" s="39">
        <f>IF(A45="","",SUM($H$6:H45))</f>
        <v/>
      </c>
      <c r="J45" s="39">
        <f>IF(A45="","",Capital+I45)</f>
        <v/>
      </c>
      <c r="K45" s="39">
        <f>IF(A45="","",MAX(Capital,MAX($J$6:J45)))</f>
        <v/>
      </c>
      <c r="L45" s="39">
        <f>IF(A45="","",K45-J45)</f>
        <v/>
      </c>
      <c r="M45" s="58">
        <f>IF(A45="","",L45/K45)</f>
        <v/>
      </c>
      <c r="N45" s="57">
        <f>IF(A45="","",A45-WEEKDAY(A45,3))</f>
        <v/>
      </c>
      <c r="O45" s="39">
        <f>IF(A45="","",SUMIFS($H$6:H45,$N$6:N45,N45))</f>
        <v/>
      </c>
      <c r="P45" s="58">
        <f>IF(A45="","",IFERROR(COUNTIFS(TL_Date,A45,TL_Followed,"Y")/C45,0))</f>
        <v/>
      </c>
      <c r="Q45" s="28">
        <f>IF(A45="","",COUNTIFS(TL_Date,A45,TL_Followed,"N"))</f>
        <v/>
      </c>
      <c r="R45" s="28">
        <f>IF(A45="","",_xlfn.MAXIFS(TL_Lots,TL_Date,A45))</f>
        <v/>
      </c>
      <c r="S45" s="39">
        <f>IF(A45="","",SUMIFS(TL_GiveBack,TL_Date,A45))</f>
        <v/>
      </c>
      <c r="T45" s="28">
        <f>IF(A45="","",COUNTIFS(TL_Date,A45,TL_ExpBreach,"BREACH"))</f>
        <v/>
      </c>
      <c r="U45" s="5">
        <f>IF(A45="","",IF(H45&lt;=-DailyLossLimit,"BREACH","OK"))</f>
        <v/>
      </c>
      <c r="V45" s="5">
        <f>IF(A45="","",IF(C45&gt;MaxTradesDay,"BREACH","OK"))</f>
        <v/>
      </c>
      <c r="W45" s="5">
        <f>IF(A45="","",IF(O45&lt;=-WeeklyDDLimit,"BREACH","OK"))</f>
        <v/>
      </c>
      <c r="X45" s="5">
        <f>IF(A45="","",IF(OR(U45="BREACH",V45="BREACH",W45="BREACH",T45&gt;0,R45&gt;MaxLots),"LIMIT BROKEN","OK"))</f>
        <v/>
      </c>
    </row>
    <row r="46">
      <c r="A46" s="57">
        <f>IF(A45="","",IFERROR(SMALL(TL_Date,COUNTIF(TL_Date,"&lt;="&amp;A45)+1),""))</f>
        <v/>
      </c>
      <c r="B46" s="5">
        <f>IF(A46="","",TEXT(A46,"ddd"))</f>
        <v/>
      </c>
      <c r="C46" s="28">
        <f>IF(A46="","",COUNTIF(TL_Date,A46))</f>
        <v/>
      </c>
      <c r="D46" s="28">
        <f>IF(A46="","",COUNTIFS(TL_Date,A46,TL_Net,"&gt;0"))</f>
        <v/>
      </c>
      <c r="E46" s="28">
        <f>IF(A46="","",COUNTIFS(TL_Date,A46,TL_Net,"&lt;0"))</f>
        <v/>
      </c>
      <c r="F46" s="39">
        <f>IF(A46="","",SUMIFS(TL_Gross,TL_Date,A46))</f>
        <v/>
      </c>
      <c r="G46" s="39">
        <f>IF(A46="","",SUMIFS(TL_Chg,TL_Date,A46))</f>
        <v/>
      </c>
      <c r="H46" s="39">
        <f>IF(A46="","",SUMIFS(TL_Net,TL_Date,A46))</f>
        <v/>
      </c>
      <c r="I46" s="39">
        <f>IF(A46="","",SUM($H$6:H46))</f>
        <v/>
      </c>
      <c r="J46" s="39">
        <f>IF(A46="","",Capital+I46)</f>
        <v/>
      </c>
      <c r="K46" s="39">
        <f>IF(A46="","",MAX(Capital,MAX($J$6:J46)))</f>
        <v/>
      </c>
      <c r="L46" s="39">
        <f>IF(A46="","",K46-J46)</f>
        <v/>
      </c>
      <c r="M46" s="58">
        <f>IF(A46="","",L46/K46)</f>
        <v/>
      </c>
      <c r="N46" s="57">
        <f>IF(A46="","",A46-WEEKDAY(A46,3))</f>
        <v/>
      </c>
      <c r="O46" s="39">
        <f>IF(A46="","",SUMIFS($H$6:H46,$N$6:N46,N46))</f>
        <v/>
      </c>
      <c r="P46" s="58">
        <f>IF(A46="","",IFERROR(COUNTIFS(TL_Date,A46,TL_Followed,"Y")/C46,0))</f>
        <v/>
      </c>
      <c r="Q46" s="28">
        <f>IF(A46="","",COUNTIFS(TL_Date,A46,TL_Followed,"N"))</f>
        <v/>
      </c>
      <c r="R46" s="28">
        <f>IF(A46="","",_xlfn.MAXIFS(TL_Lots,TL_Date,A46))</f>
        <v/>
      </c>
      <c r="S46" s="39">
        <f>IF(A46="","",SUMIFS(TL_GiveBack,TL_Date,A46))</f>
        <v/>
      </c>
      <c r="T46" s="28">
        <f>IF(A46="","",COUNTIFS(TL_Date,A46,TL_ExpBreach,"BREACH"))</f>
        <v/>
      </c>
      <c r="U46" s="5">
        <f>IF(A46="","",IF(H46&lt;=-DailyLossLimit,"BREACH","OK"))</f>
        <v/>
      </c>
      <c r="V46" s="5">
        <f>IF(A46="","",IF(C46&gt;MaxTradesDay,"BREACH","OK"))</f>
        <v/>
      </c>
      <c r="W46" s="5">
        <f>IF(A46="","",IF(O46&lt;=-WeeklyDDLimit,"BREACH","OK"))</f>
        <v/>
      </c>
      <c r="X46" s="5">
        <f>IF(A46="","",IF(OR(U46="BREACH",V46="BREACH",W46="BREACH",T46&gt;0,R46&gt;MaxLots),"LIMIT BROKEN","OK"))</f>
        <v/>
      </c>
    </row>
    <row r="47">
      <c r="A47" s="57">
        <f>IF(A46="","",IFERROR(SMALL(TL_Date,COUNTIF(TL_Date,"&lt;="&amp;A46)+1),""))</f>
        <v/>
      </c>
      <c r="B47" s="5">
        <f>IF(A47="","",TEXT(A47,"ddd"))</f>
        <v/>
      </c>
      <c r="C47" s="28">
        <f>IF(A47="","",COUNTIF(TL_Date,A47))</f>
        <v/>
      </c>
      <c r="D47" s="28">
        <f>IF(A47="","",COUNTIFS(TL_Date,A47,TL_Net,"&gt;0"))</f>
        <v/>
      </c>
      <c r="E47" s="28">
        <f>IF(A47="","",COUNTIFS(TL_Date,A47,TL_Net,"&lt;0"))</f>
        <v/>
      </c>
      <c r="F47" s="39">
        <f>IF(A47="","",SUMIFS(TL_Gross,TL_Date,A47))</f>
        <v/>
      </c>
      <c r="G47" s="39">
        <f>IF(A47="","",SUMIFS(TL_Chg,TL_Date,A47))</f>
        <v/>
      </c>
      <c r="H47" s="39">
        <f>IF(A47="","",SUMIFS(TL_Net,TL_Date,A47))</f>
        <v/>
      </c>
      <c r="I47" s="39">
        <f>IF(A47="","",SUM($H$6:H47))</f>
        <v/>
      </c>
      <c r="J47" s="39">
        <f>IF(A47="","",Capital+I47)</f>
        <v/>
      </c>
      <c r="K47" s="39">
        <f>IF(A47="","",MAX(Capital,MAX($J$6:J47)))</f>
        <v/>
      </c>
      <c r="L47" s="39">
        <f>IF(A47="","",K47-J47)</f>
        <v/>
      </c>
      <c r="M47" s="58">
        <f>IF(A47="","",L47/K47)</f>
        <v/>
      </c>
      <c r="N47" s="57">
        <f>IF(A47="","",A47-WEEKDAY(A47,3))</f>
        <v/>
      </c>
      <c r="O47" s="39">
        <f>IF(A47="","",SUMIFS($H$6:H47,$N$6:N47,N47))</f>
        <v/>
      </c>
      <c r="P47" s="58">
        <f>IF(A47="","",IFERROR(COUNTIFS(TL_Date,A47,TL_Followed,"Y")/C47,0))</f>
        <v/>
      </c>
      <c r="Q47" s="28">
        <f>IF(A47="","",COUNTIFS(TL_Date,A47,TL_Followed,"N"))</f>
        <v/>
      </c>
      <c r="R47" s="28">
        <f>IF(A47="","",_xlfn.MAXIFS(TL_Lots,TL_Date,A47))</f>
        <v/>
      </c>
      <c r="S47" s="39">
        <f>IF(A47="","",SUMIFS(TL_GiveBack,TL_Date,A47))</f>
        <v/>
      </c>
      <c r="T47" s="28">
        <f>IF(A47="","",COUNTIFS(TL_Date,A47,TL_ExpBreach,"BREACH"))</f>
        <v/>
      </c>
      <c r="U47" s="5">
        <f>IF(A47="","",IF(H47&lt;=-DailyLossLimit,"BREACH","OK"))</f>
        <v/>
      </c>
      <c r="V47" s="5">
        <f>IF(A47="","",IF(C47&gt;MaxTradesDay,"BREACH","OK"))</f>
        <v/>
      </c>
      <c r="W47" s="5">
        <f>IF(A47="","",IF(O47&lt;=-WeeklyDDLimit,"BREACH","OK"))</f>
        <v/>
      </c>
      <c r="X47" s="5">
        <f>IF(A47="","",IF(OR(U47="BREACH",V47="BREACH",W47="BREACH",T47&gt;0,R47&gt;MaxLots),"LIMIT BROKEN","OK"))</f>
        <v/>
      </c>
    </row>
    <row r="48">
      <c r="A48" s="57">
        <f>IF(A47="","",IFERROR(SMALL(TL_Date,COUNTIF(TL_Date,"&lt;="&amp;A47)+1),""))</f>
        <v/>
      </c>
      <c r="B48" s="5">
        <f>IF(A48="","",TEXT(A48,"ddd"))</f>
        <v/>
      </c>
      <c r="C48" s="28">
        <f>IF(A48="","",COUNTIF(TL_Date,A48))</f>
        <v/>
      </c>
      <c r="D48" s="28">
        <f>IF(A48="","",COUNTIFS(TL_Date,A48,TL_Net,"&gt;0"))</f>
        <v/>
      </c>
      <c r="E48" s="28">
        <f>IF(A48="","",COUNTIFS(TL_Date,A48,TL_Net,"&lt;0"))</f>
        <v/>
      </c>
      <c r="F48" s="39">
        <f>IF(A48="","",SUMIFS(TL_Gross,TL_Date,A48))</f>
        <v/>
      </c>
      <c r="G48" s="39">
        <f>IF(A48="","",SUMIFS(TL_Chg,TL_Date,A48))</f>
        <v/>
      </c>
      <c r="H48" s="39">
        <f>IF(A48="","",SUMIFS(TL_Net,TL_Date,A48))</f>
        <v/>
      </c>
      <c r="I48" s="39">
        <f>IF(A48="","",SUM($H$6:H48))</f>
        <v/>
      </c>
      <c r="J48" s="39">
        <f>IF(A48="","",Capital+I48)</f>
        <v/>
      </c>
      <c r="K48" s="39">
        <f>IF(A48="","",MAX(Capital,MAX($J$6:J48)))</f>
        <v/>
      </c>
      <c r="L48" s="39">
        <f>IF(A48="","",K48-J48)</f>
        <v/>
      </c>
      <c r="M48" s="58">
        <f>IF(A48="","",L48/K48)</f>
        <v/>
      </c>
      <c r="N48" s="57">
        <f>IF(A48="","",A48-WEEKDAY(A48,3))</f>
        <v/>
      </c>
      <c r="O48" s="39">
        <f>IF(A48="","",SUMIFS($H$6:H48,$N$6:N48,N48))</f>
        <v/>
      </c>
      <c r="P48" s="58">
        <f>IF(A48="","",IFERROR(COUNTIFS(TL_Date,A48,TL_Followed,"Y")/C48,0))</f>
        <v/>
      </c>
      <c r="Q48" s="28">
        <f>IF(A48="","",COUNTIFS(TL_Date,A48,TL_Followed,"N"))</f>
        <v/>
      </c>
      <c r="R48" s="28">
        <f>IF(A48="","",_xlfn.MAXIFS(TL_Lots,TL_Date,A48))</f>
        <v/>
      </c>
      <c r="S48" s="39">
        <f>IF(A48="","",SUMIFS(TL_GiveBack,TL_Date,A48))</f>
        <v/>
      </c>
      <c r="T48" s="28">
        <f>IF(A48="","",COUNTIFS(TL_Date,A48,TL_ExpBreach,"BREACH"))</f>
        <v/>
      </c>
      <c r="U48" s="5">
        <f>IF(A48="","",IF(H48&lt;=-DailyLossLimit,"BREACH","OK"))</f>
        <v/>
      </c>
      <c r="V48" s="5">
        <f>IF(A48="","",IF(C48&gt;MaxTradesDay,"BREACH","OK"))</f>
        <v/>
      </c>
      <c r="W48" s="5">
        <f>IF(A48="","",IF(O48&lt;=-WeeklyDDLimit,"BREACH","OK"))</f>
        <v/>
      </c>
      <c r="X48" s="5">
        <f>IF(A48="","",IF(OR(U48="BREACH",V48="BREACH",W48="BREACH",T48&gt;0,R48&gt;MaxLots),"LIMIT BROKEN","OK"))</f>
        <v/>
      </c>
    </row>
    <row r="49">
      <c r="A49" s="57">
        <f>IF(A48="","",IFERROR(SMALL(TL_Date,COUNTIF(TL_Date,"&lt;="&amp;A48)+1),""))</f>
        <v/>
      </c>
      <c r="B49" s="5">
        <f>IF(A49="","",TEXT(A49,"ddd"))</f>
        <v/>
      </c>
      <c r="C49" s="28">
        <f>IF(A49="","",COUNTIF(TL_Date,A49))</f>
        <v/>
      </c>
      <c r="D49" s="28">
        <f>IF(A49="","",COUNTIFS(TL_Date,A49,TL_Net,"&gt;0"))</f>
        <v/>
      </c>
      <c r="E49" s="28">
        <f>IF(A49="","",COUNTIFS(TL_Date,A49,TL_Net,"&lt;0"))</f>
        <v/>
      </c>
      <c r="F49" s="39">
        <f>IF(A49="","",SUMIFS(TL_Gross,TL_Date,A49))</f>
        <v/>
      </c>
      <c r="G49" s="39">
        <f>IF(A49="","",SUMIFS(TL_Chg,TL_Date,A49))</f>
        <v/>
      </c>
      <c r="H49" s="39">
        <f>IF(A49="","",SUMIFS(TL_Net,TL_Date,A49))</f>
        <v/>
      </c>
      <c r="I49" s="39">
        <f>IF(A49="","",SUM($H$6:H49))</f>
        <v/>
      </c>
      <c r="J49" s="39">
        <f>IF(A49="","",Capital+I49)</f>
        <v/>
      </c>
      <c r="K49" s="39">
        <f>IF(A49="","",MAX(Capital,MAX($J$6:J49)))</f>
        <v/>
      </c>
      <c r="L49" s="39">
        <f>IF(A49="","",K49-J49)</f>
        <v/>
      </c>
      <c r="M49" s="58">
        <f>IF(A49="","",L49/K49)</f>
        <v/>
      </c>
      <c r="N49" s="57">
        <f>IF(A49="","",A49-WEEKDAY(A49,3))</f>
        <v/>
      </c>
      <c r="O49" s="39">
        <f>IF(A49="","",SUMIFS($H$6:H49,$N$6:N49,N49))</f>
        <v/>
      </c>
      <c r="P49" s="58">
        <f>IF(A49="","",IFERROR(COUNTIFS(TL_Date,A49,TL_Followed,"Y")/C49,0))</f>
        <v/>
      </c>
      <c r="Q49" s="28">
        <f>IF(A49="","",COUNTIFS(TL_Date,A49,TL_Followed,"N"))</f>
        <v/>
      </c>
      <c r="R49" s="28">
        <f>IF(A49="","",_xlfn.MAXIFS(TL_Lots,TL_Date,A49))</f>
        <v/>
      </c>
      <c r="S49" s="39">
        <f>IF(A49="","",SUMIFS(TL_GiveBack,TL_Date,A49))</f>
        <v/>
      </c>
      <c r="T49" s="28">
        <f>IF(A49="","",COUNTIFS(TL_Date,A49,TL_ExpBreach,"BREACH"))</f>
        <v/>
      </c>
      <c r="U49" s="5">
        <f>IF(A49="","",IF(H49&lt;=-DailyLossLimit,"BREACH","OK"))</f>
        <v/>
      </c>
      <c r="V49" s="5">
        <f>IF(A49="","",IF(C49&gt;MaxTradesDay,"BREACH","OK"))</f>
        <v/>
      </c>
      <c r="W49" s="5">
        <f>IF(A49="","",IF(O49&lt;=-WeeklyDDLimit,"BREACH","OK"))</f>
        <v/>
      </c>
      <c r="X49" s="5">
        <f>IF(A49="","",IF(OR(U49="BREACH",V49="BREACH",W49="BREACH",T49&gt;0,R49&gt;MaxLots),"LIMIT BROKEN","OK"))</f>
        <v/>
      </c>
    </row>
    <row r="50">
      <c r="A50" s="57">
        <f>IF(A49="","",IFERROR(SMALL(TL_Date,COUNTIF(TL_Date,"&lt;="&amp;A49)+1),""))</f>
        <v/>
      </c>
      <c r="B50" s="5">
        <f>IF(A50="","",TEXT(A50,"ddd"))</f>
        <v/>
      </c>
      <c r="C50" s="28">
        <f>IF(A50="","",COUNTIF(TL_Date,A50))</f>
        <v/>
      </c>
      <c r="D50" s="28">
        <f>IF(A50="","",COUNTIFS(TL_Date,A50,TL_Net,"&gt;0"))</f>
        <v/>
      </c>
      <c r="E50" s="28">
        <f>IF(A50="","",COUNTIFS(TL_Date,A50,TL_Net,"&lt;0"))</f>
        <v/>
      </c>
      <c r="F50" s="39">
        <f>IF(A50="","",SUMIFS(TL_Gross,TL_Date,A50))</f>
        <v/>
      </c>
      <c r="G50" s="39">
        <f>IF(A50="","",SUMIFS(TL_Chg,TL_Date,A50))</f>
        <v/>
      </c>
      <c r="H50" s="39">
        <f>IF(A50="","",SUMIFS(TL_Net,TL_Date,A50))</f>
        <v/>
      </c>
      <c r="I50" s="39">
        <f>IF(A50="","",SUM($H$6:H50))</f>
        <v/>
      </c>
      <c r="J50" s="39">
        <f>IF(A50="","",Capital+I50)</f>
        <v/>
      </c>
      <c r="K50" s="39">
        <f>IF(A50="","",MAX(Capital,MAX($J$6:J50)))</f>
        <v/>
      </c>
      <c r="L50" s="39">
        <f>IF(A50="","",K50-J50)</f>
        <v/>
      </c>
      <c r="M50" s="58">
        <f>IF(A50="","",L50/K50)</f>
        <v/>
      </c>
      <c r="N50" s="57">
        <f>IF(A50="","",A50-WEEKDAY(A50,3))</f>
        <v/>
      </c>
      <c r="O50" s="39">
        <f>IF(A50="","",SUMIFS($H$6:H50,$N$6:N50,N50))</f>
        <v/>
      </c>
      <c r="P50" s="58">
        <f>IF(A50="","",IFERROR(COUNTIFS(TL_Date,A50,TL_Followed,"Y")/C50,0))</f>
        <v/>
      </c>
      <c r="Q50" s="28">
        <f>IF(A50="","",COUNTIFS(TL_Date,A50,TL_Followed,"N"))</f>
        <v/>
      </c>
      <c r="R50" s="28">
        <f>IF(A50="","",_xlfn.MAXIFS(TL_Lots,TL_Date,A50))</f>
        <v/>
      </c>
      <c r="S50" s="39">
        <f>IF(A50="","",SUMIFS(TL_GiveBack,TL_Date,A50))</f>
        <v/>
      </c>
      <c r="T50" s="28">
        <f>IF(A50="","",COUNTIFS(TL_Date,A50,TL_ExpBreach,"BREACH"))</f>
        <v/>
      </c>
      <c r="U50" s="5">
        <f>IF(A50="","",IF(H50&lt;=-DailyLossLimit,"BREACH","OK"))</f>
        <v/>
      </c>
      <c r="V50" s="5">
        <f>IF(A50="","",IF(C50&gt;MaxTradesDay,"BREACH","OK"))</f>
        <v/>
      </c>
      <c r="W50" s="5">
        <f>IF(A50="","",IF(O50&lt;=-WeeklyDDLimit,"BREACH","OK"))</f>
        <v/>
      </c>
      <c r="X50" s="5">
        <f>IF(A50="","",IF(OR(U50="BREACH",V50="BREACH",W50="BREACH",T50&gt;0,R50&gt;MaxLots),"LIMIT BROKEN","OK"))</f>
        <v/>
      </c>
    </row>
    <row r="51">
      <c r="A51" s="57">
        <f>IF(A50="","",IFERROR(SMALL(TL_Date,COUNTIF(TL_Date,"&lt;="&amp;A50)+1),""))</f>
        <v/>
      </c>
      <c r="B51" s="5">
        <f>IF(A51="","",TEXT(A51,"ddd"))</f>
        <v/>
      </c>
      <c r="C51" s="28">
        <f>IF(A51="","",COUNTIF(TL_Date,A51))</f>
        <v/>
      </c>
      <c r="D51" s="28">
        <f>IF(A51="","",COUNTIFS(TL_Date,A51,TL_Net,"&gt;0"))</f>
        <v/>
      </c>
      <c r="E51" s="28">
        <f>IF(A51="","",COUNTIFS(TL_Date,A51,TL_Net,"&lt;0"))</f>
        <v/>
      </c>
      <c r="F51" s="39">
        <f>IF(A51="","",SUMIFS(TL_Gross,TL_Date,A51))</f>
        <v/>
      </c>
      <c r="G51" s="39">
        <f>IF(A51="","",SUMIFS(TL_Chg,TL_Date,A51))</f>
        <v/>
      </c>
      <c r="H51" s="39">
        <f>IF(A51="","",SUMIFS(TL_Net,TL_Date,A51))</f>
        <v/>
      </c>
      <c r="I51" s="39">
        <f>IF(A51="","",SUM($H$6:H51))</f>
        <v/>
      </c>
      <c r="J51" s="39">
        <f>IF(A51="","",Capital+I51)</f>
        <v/>
      </c>
      <c r="K51" s="39">
        <f>IF(A51="","",MAX(Capital,MAX($J$6:J51)))</f>
        <v/>
      </c>
      <c r="L51" s="39">
        <f>IF(A51="","",K51-J51)</f>
        <v/>
      </c>
      <c r="M51" s="58">
        <f>IF(A51="","",L51/K51)</f>
        <v/>
      </c>
      <c r="N51" s="57">
        <f>IF(A51="","",A51-WEEKDAY(A51,3))</f>
        <v/>
      </c>
      <c r="O51" s="39">
        <f>IF(A51="","",SUMIFS($H$6:H51,$N$6:N51,N51))</f>
        <v/>
      </c>
      <c r="P51" s="58">
        <f>IF(A51="","",IFERROR(COUNTIFS(TL_Date,A51,TL_Followed,"Y")/C51,0))</f>
        <v/>
      </c>
      <c r="Q51" s="28">
        <f>IF(A51="","",COUNTIFS(TL_Date,A51,TL_Followed,"N"))</f>
        <v/>
      </c>
      <c r="R51" s="28">
        <f>IF(A51="","",_xlfn.MAXIFS(TL_Lots,TL_Date,A51))</f>
        <v/>
      </c>
      <c r="S51" s="39">
        <f>IF(A51="","",SUMIFS(TL_GiveBack,TL_Date,A51))</f>
        <v/>
      </c>
      <c r="T51" s="28">
        <f>IF(A51="","",COUNTIFS(TL_Date,A51,TL_ExpBreach,"BREACH"))</f>
        <v/>
      </c>
      <c r="U51" s="5">
        <f>IF(A51="","",IF(H51&lt;=-DailyLossLimit,"BREACH","OK"))</f>
        <v/>
      </c>
      <c r="V51" s="5">
        <f>IF(A51="","",IF(C51&gt;MaxTradesDay,"BREACH","OK"))</f>
        <v/>
      </c>
      <c r="W51" s="5">
        <f>IF(A51="","",IF(O51&lt;=-WeeklyDDLimit,"BREACH","OK"))</f>
        <v/>
      </c>
      <c r="X51" s="5">
        <f>IF(A51="","",IF(OR(U51="BREACH",V51="BREACH",W51="BREACH",T51&gt;0,R51&gt;MaxLots),"LIMIT BROKEN","OK"))</f>
        <v/>
      </c>
    </row>
    <row r="52">
      <c r="A52" s="57">
        <f>IF(A51="","",IFERROR(SMALL(TL_Date,COUNTIF(TL_Date,"&lt;="&amp;A51)+1),""))</f>
        <v/>
      </c>
      <c r="B52" s="5">
        <f>IF(A52="","",TEXT(A52,"ddd"))</f>
        <v/>
      </c>
      <c r="C52" s="28">
        <f>IF(A52="","",COUNTIF(TL_Date,A52))</f>
        <v/>
      </c>
      <c r="D52" s="28">
        <f>IF(A52="","",COUNTIFS(TL_Date,A52,TL_Net,"&gt;0"))</f>
        <v/>
      </c>
      <c r="E52" s="28">
        <f>IF(A52="","",COUNTIFS(TL_Date,A52,TL_Net,"&lt;0"))</f>
        <v/>
      </c>
      <c r="F52" s="39">
        <f>IF(A52="","",SUMIFS(TL_Gross,TL_Date,A52))</f>
        <v/>
      </c>
      <c r="G52" s="39">
        <f>IF(A52="","",SUMIFS(TL_Chg,TL_Date,A52))</f>
        <v/>
      </c>
      <c r="H52" s="39">
        <f>IF(A52="","",SUMIFS(TL_Net,TL_Date,A52))</f>
        <v/>
      </c>
      <c r="I52" s="39">
        <f>IF(A52="","",SUM($H$6:H52))</f>
        <v/>
      </c>
      <c r="J52" s="39">
        <f>IF(A52="","",Capital+I52)</f>
        <v/>
      </c>
      <c r="K52" s="39">
        <f>IF(A52="","",MAX(Capital,MAX($J$6:J52)))</f>
        <v/>
      </c>
      <c r="L52" s="39">
        <f>IF(A52="","",K52-J52)</f>
        <v/>
      </c>
      <c r="M52" s="58">
        <f>IF(A52="","",L52/K52)</f>
        <v/>
      </c>
      <c r="N52" s="57">
        <f>IF(A52="","",A52-WEEKDAY(A52,3))</f>
        <v/>
      </c>
      <c r="O52" s="39">
        <f>IF(A52="","",SUMIFS($H$6:H52,$N$6:N52,N52))</f>
        <v/>
      </c>
      <c r="P52" s="58">
        <f>IF(A52="","",IFERROR(COUNTIFS(TL_Date,A52,TL_Followed,"Y")/C52,0))</f>
        <v/>
      </c>
      <c r="Q52" s="28">
        <f>IF(A52="","",COUNTIFS(TL_Date,A52,TL_Followed,"N"))</f>
        <v/>
      </c>
      <c r="R52" s="28">
        <f>IF(A52="","",_xlfn.MAXIFS(TL_Lots,TL_Date,A52))</f>
        <v/>
      </c>
      <c r="S52" s="39">
        <f>IF(A52="","",SUMIFS(TL_GiveBack,TL_Date,A52))</f>
        <v/>
      </c>
      <c r="T52" s="28">
        <f>IF(A52="","",COUNTIFS(TL_Date,A52,TL_ExpBreach,"BREACH"))</f>
        <v/>
      </c>
      <c r="U52" s="5">
        <f>IF(A52="","",IF(H52&lt;=-DailyLossLimit,"BREACH","OK"))</f>
        <v/>
      </c>
      <c r="V52" s="5">
        <f>IF(A52="","",IF(C52&gt;MaxTradesDay,"BREACH","OK"))</f>
        <v/>
      </c>
      <c r="W52" s="5">
        <f>IF(A52="","",IF(O52&lt;=-WeeklyDDLimit,"BREACH","OK"))</f>
        <v/>
      </c>
      <c r="X52" s="5">
        <f>IF(A52="","",IF(OR(U52="BREACH",V52="BREACH",W52="BREACH",T52&gt;0,R52&gt;MaxLots),"LIMIT BROKEN","OK"))</f>
        <v/>
      </c>
    </row>
    <row r="53">
      <c r="A53" s="57">
        <f>IF(A52="","",IFERROR(SMALL(TL_Date,COUNTIF(TL_Date,"&lt;="&amp;A52)+1),""))</f>
        <v/>
      </c>
      <c r="B53" s="5">
        <f>IF(A53="","",TEXT(A53,"ddd"))</f>
        <v/>
      </c>
      <c r="C53" s="28">
        <f>IF(A53="","",COUNTIF(TL_Date,A53))</f>
        <v/>
      </c>
      <c r="D53" s="28">
        <f>IF(A53="","",COUNTIFS(TL_Date,A53,TL_Net,"&gt;0"))</f>
        <v/>
      </c>
      <c r="E53" s="28">
        <f>IF(A53="","",COUNTIFS(TL_Date,A53,TL_Net,"&lt;0"))</f>
        <v/>
      </c>
      <c r="F53" s="39">
        <f>IF(A53="","",SUMIFS(TL_Gross,TL_Date,A53))</f>
        <v/>
      </c>
      <c r="G53" s="39">
        <f>IF(A53="","",SUMIFS(TL_Chg,TL_Date,A53))</f>
        <v/>
      </c>
      <c r="H53" s="39">
        <f>IF(A53="","",SUMIFS(TL_Net,TL_Date,A53))</f>
        <v/>
      </c>
      <c r="I53" s="39">
        <f>IF(A53="","",SUM($H$6:H53))</f>
        <v/>
      </c>
      <c r="J53" s="39">
        <f>IF(A53="","",Capital+I53)</f>
        <v/>
      </c>
      <c r="K53" s="39">
        <f>IF(A53="","",MAX(Capital,MAX($J$6:J53)))</f>
        <v/>
      </c>
      <c r="L53" s="39">
        <f>IF(A53="","",K53-J53)</f>
        <v/>
      </c>
      <c r="M53" s="58">
        <f>IF(A53="","",L53/K53)</f>
        <v/>
      </c>
      <c r="N53" s="57">
        <f>IF(A53="","",A53-WEEKDAY(A53,3))</f>
        <v/>
      </c>
      <c r="O53" s="39">
        <f>IF(A53="","",SUMIFS($H$6:H53,$N$6:N53,N53))</f>
        <v/>
      </c>
      <c r="P53" s="58">
        <f>IF(A53="","",IFERROR(COUNTIFS(TL_Date,A53,TL_Followed,"Y")/C53,0))</f>
        <v/>
      </c>
      <c r="Q53" s="28">
        <f>IF(A53="","",COUNTIFS(TL_Date,A53,TL_Followed,"N"))</f>
        <v/>
      </c>
      <c r="R53" s="28">
        <f>IF(A53="","",_xlfn.MAXIFS(TL_Lots,TL_Date,A53))</f>
        <v/>
      </c>
      <c r="S53" s="39">
        <f>IF(A53="","",SUMIFS(TL_GiveBack,TL_Date,A53))</f>
        <v/>
      </c>
      <c r="T53" s="28">
        <f>IF(A53="","",COUNTIFS(TL_Date,A53,TL_ExpBreach,"BREACH"))</f>
        <v/>
      </c>
      <c r="U53" s="5">
        <f>IF(A53="","",IF(H53&lt;=-DailyLossLimit,"BREACH","OK"))</f>
        <v/>
      </c>
      <c r="V53" s="5">
        <f>IF(A53="","",IF(C53&gt;MaxTradesDay,"BREACH","OK"))</f>
        <v/>
      </c>
      <c r="W53" s="5">
        <f>IF(A53="","",IF(O53&lt;=-WeeklyDDLimit,"BREACH","OK"))</f>
        <v/>
      </c>
      <c r="X53" s="5">
        <f>IF(A53="","",IF(OR(U53="BREACH",V53="BREACH",W53="BREACH",T53&gt;0,R53&gt;MaxLots),"LIMIT BROKEN","OK"))</f>
        <v/>
      </c>
    </row>
    <row r="54">
      <c r="A54" s="57">
        <f>IF(A53="","",IFERROR(SMALL(TL_Date,COUNTIF(TL_Date,"&lt;="&amp;A53)+1),""))</f>
        <v/>
      </c>
      <c r="B54" s="5">
        <f>IF(A54="","",TEXT(A54,"ddd"))</f>
        <v/>
      </c>
      <c r="C54" s="28">
        <f>IF(A54="","",COUNTIF(TL_Date,A54))</f>
        <v/>
      </c>
      <c r="D54" s="28">
        <f>IF(A54="","",COUNTIFS(TL_Date,A54,TL_Net,"&gt;0"))</f>
        <v/>
      </c>
      <c r="E54" s="28">
        <f>IF(A54="","",COUNTIFS(TL_Date,A54,TL_Net,"&lt;0"))</f>
        <v/>
      </c>
      <c r="F54" s="39">
        <f>IF(A54="","",SUMIFS(TL_Gross,TL_Date,A54))</f>
        <v/>
      </c>
      <c r="G54" s="39">
        <f>IF(A54="","",SUMIFS(TL_Chg,TL_Date,A54))</f>
        <v/>
      </c>
      <c r="H54" s="39">
        <f>IF(A54="","",SUMIFS(TL_Net,TL_Date,A54))</f>
        <v/>
      </c>
      <c r="I54" s="39">
        <f>IF(A54="","",SUM($H$6:H54))</f>
        <v/>
      </c>
      <c r="J54" s="39">
        <f>IF(A54="","",Capital+I54)</f>
        <v/>
      </c>
      <c r="K54" s="39">
        <f>IF(A54="","",MAX(Capital,MAX($J$6:J54)))</f>
        <v/>
      </c>
      <c r="L54" s="39">
        <f>IF(A54="","",K54-J54)</f>
        <v/>
      </c>
      <c r="M54" s="58">
        <f>IF(A54="","",L54/K54)</f>
        <v/>
      </c>
      <c r="N54" s="57">
        <f>IF(A54="","",A54-WEEKDAY(A54,3))</f>
        <v/>
      </c>
      <c r="O54" s="39">
        <f>IF(A54="","",SUMIFS($H$6:H54,$N$6:N54,N54))</f>
        <v/>
      </c>
      <c r="P54" s="58">
        <f>IF(A54="","",IFERROR(COUNTIFS(TL_Date,A54,TL_Followed,"Y")/C54,0))</f>
        <v/>
      </c>
      <c r="Q54" s="28">
        <f>IF(A54="","",COUNTIFS(TL_Date,A54,TL_Followed,"N"))</f>
        <v/>
      </c>
      <c r="R54" s="28">
        <f>IF(A54="","",_xlfn.MAXIFS(TL_Lots,TL_Date,A54))</f>
        <v/>
      </c>
      <c r="S54" s="39">
        <f>IF(A54="","",SUMIFS(TL_GiveBack,TL_Date,A54))</f>
        <v/>
      </c>
      <c r="T54" s="28">
        <f>IF(A54="","",COUNTIFS(TL_Date,A54,TL_ExpBreach,"BREACH"))</f>
        <v/>
      </c>
      <c r="U54" s="5">
        <f>IF(A54="","",IF(H54&lt;=-DailyLossLimit,"BREACH","OK"))</f>
        <v/>
      </c>
      <c r="V54" s="5">
        <f>IF(A54="","",IF(C54&gt;MaxTradesDay,"BREACH","OK"))</f>
        <v/>
      </c>
      <c r="W54" s="5">
        <f>IF(A54="","",IF(O54&lt;=-WeeklyDDLimit,"BREACH","OK"))</f>
        <v/>
      </c>
      <c r="X54" s="5">
        <f>IF(A54="","",IF(OR(U54="BREACH",V54="BREACH",W54="BREACH",T54&gt;0,R54&gt;MaxLots),"LIMIT BROKEN","OK"))</f>
        <v/>
      </c>
    </row>
    <row r="55">
      <c r="A55" s="57">
        <f>IF(A54="","",IFERROR(SMALL(TL_Date,COUNTIF(TL_Date,"&lt;="&amp;A54)+1),""))</f>
        <v/>
      </c>
      <c r="B55" s="5">
        <f>IF(A55="","",TEXT(A55,"ddd"))</f>
        <v/>
      </c>
      <c r="C55" s="28">
        <f>IF(A55="","",COUNTIF(TL_Date,A55))</f>
        <v/>
      </c>
      <c r="D55" s="28">
        <f>IF(A55="","",COUNTIFS(TL_Date,A55,TL_Net,"&gt;0"))</f>
        <v/>
      </c>
      <c r="E55" s="28">
        <f>IF(A55="","",COUNTIFS(TL_Date,A55,TL_Net,"&lt;0"))</f>
        <v/>
      </c>
      <c r="F55" s="39">
        <f>IF(A55="","",SUMIFS(TL_Gross,TL_Date,A55))</f>
        <v/>
      </c>
      <c r="G55" s="39">
        <f>IF(A55="","",SUMIFS(TL_Chg,TL_Date,A55))</f>
        <v/>
      </c>
      <c r="H55" s="39">
        <f>IF(A55="","",SUMIFS(TL_Net,TL_Date,A55))</f>
        <v/>
      </c>
      <c r="I55" s="39">
        <f>IF(A55="","",SUM($H$6:H55))</f>
        <v/>
      </c>
      <c r="J55" s="39">
        <f>IF(A55="","",Capital+I55)</f>
        <v/>
      </c>
      <c r="K55" s="39">
        <f>IF(A55="","",MAX(Capital,MAX($J$6:J55)))</f>
        <v/>
      </c>
      <c r="L55" s="39">
        <f>IF(A55="","",K55-J55)</f>
        <v/>
      </c>
      <c r="M55" s="58">
        <f>IF(A55="","",L55/K55)</f>
        <v/>
      </c>
      <c r="N55" s="57">
        <f>IF(A55="","",A55-WEEKDAY(A55,3))</f>
        <v/>
      </c>
      <c r="O55" s="39">
        <f>IF(A55="","",SUMIFS($H$6:H55,$N$6:N55,N55))</f>
        <v/>
      </c>
      <c r="P55" s="58">
        <f>IF(A55="","",IFERROR(COUNTIFS(TL_Date,A55,TL_Followed,"Y")/C55,0))</f>
        <v/>
      </c>
      <c r="Q55" s="28">
        <f>IF(A55="","",COUNTIFS(TL_Date,A55,TL_Followed,"N"))</f>
        <v/>
      </c>
      <c r="R55" s="28">
        <f>IF(A55="","",_xlfn.MAXIFS(TL_Lots,TL_Date,A55))</f>
        <v/>
      </c>
      <c r="S55" s="39">
        <f>IF(A55="","",SUMIFS(TL_GiveBack,TL_Date,A55))</f>
        <v/>
      </c>
      <c r="T55" s="28">
        <f>IF(A55="","",COUNTIFS(TL_Date,A55,TL_ExpBreach,"BREACH"))</f>
        <v/>
      </c>
      <c r="U55" s="5">
        <f>IF(A55="","",IF(H55&lt;=-DailyLossLimit,"BREACH","OK"))</f>
        <v/>
      </c>
      <c r="V55" s="5">
        <f>IF(A55="","",IF(C55&gt;MaxTradesDay,"BREACH","OK"))</f>
        <v/>
      </c>
      <c r="W55" s="5">
        <f>IF(A55="","",IF(O55&lt;=-WeeklyDDLimit,"BREACH","OK"))</f>
        <v/>
      </c>
      <c r="X55" s="5">
        <f>IF(A55="","",IF(OR(U55="BREACH",V55="BREACH",W55="BREACH",T55&gt;0,R55&gt;MaxLots),"LIMIT BROKEN","OK"))</f>
        <v/>
      </c>
    </row>
    <row r="56">
      <c r="A56" s="57">
        <f>IF(A55="","",IFERROR(SMALL(TL_Date,COUNTIF(TL_Date,"&lt;="&amp;A55)+1),""))</f>
        <v/>
      </c>
      <c r="B56" s="5">
        <f>IF(A56="","",TEXT(A56,"ddd"))</f>
        <v/>
      </c>
      <c r="C56" s="28">
        <f>IF(A56="","",COUNTIF(TL_Date,A56))</f>
        <v/>
      </c>
      <c r="D56" s="28">
        <f>IF(A56="","",COUNTIFS(TL_Date,A56,TL_Net,"&gt;0"))</f>
        <v/>
      </c>
      <c r="E56" s="28">
        <f>IF(A56="","",COUNTIFS(TL_Date,A56,TL_Net,"&lt;0"))</f>
        <v/>
      </c>
      <c r="F56" s="39">
        <f>IF(A56="","",SUMIFS(TL_Gross,TL_Date,A56))</f>
        <v/>
      </c>
      <c r="G56" s="39">
        <f>IF(A56="","",SUMIFS(TL_Chg,TL_Date,A56))</f>
        <v/>
      </c>
      <c r="H56" s="39">
        <f>IF(A56="","",SUMIFS(TL_Net,TL_Date,A56))</f>
        <v/>
      </c>
      <c r="I56" s="39">
        <f>IF(A56="","",SUM($H$6:H56))</f>
        <v/>
      </c>
      <c r="J56" s="39">
        <f>IF(A56="","",Capital+I56)</f>
        <v/>
      </c>
      <c r="K56" s="39">
        <f>IF(A56="","",MAX(Capital,MAX($J$6:J56)))</f>
        <v/>
      </c>
      <c r="L56" s="39">
        <f>IF(A56="","",K56-J56)</f>
        <v/>
      </c>
      <c r="M56" s="58">
        <f>IF(A56="","",L56/K56)</f>
        <v/>
      </c>
      <c r="N56" s="57">
        <f>IF(A56="","",A56-WEEKDAY(A56,3))</f>
        <v/>
      </c>
      <c r="O56" s="39">
        <f>IF(A56="","",SUMIFS($H$6:H56,$N$6:N56,N56))</f>
        <v/>
      </c>
      <c r="P56" s="58">
        <f>IF(A56="","",IFERROR(COUNTIFS(TL_Date,A56,TL_Followed,"Y")/C56,0))</f>
        <v/>
      </c>
      <c r="Q56" s="28">
        <f>IF(A56="","",COUNTIFS(TL_Date,A56,TL_Followed,"N"))</f>
        <v/>
      </c>
      <c r="R56" s="28">
        <f>IF(A56="","",_xlfn.MAXIFS(TL_Lots,TL_Date,A56))</f>
        <v/>
      </c>
      <c r="S56" s="39">
        <f>IF(A56="","",SUMIFS(TL_GiveBack,TL_Date,A56))</f>
        <v/>
      </c>
      <c r="T56" s="28">
        <f>IF(A56="","",COUNTIFS(TL_Date,A56,TL_ExpBreach,"BREACH"))</f>
        <v/>
      </c>
      <c r="U56" s="5">
        <f>IF(A56="","",IF(H56&lt;=-DailyLossLimit,"BREACH","OK"))</f>
        <v/>
      </c>
      <c r="V56" s="5">
        <f>IF(A56="","",IF(C56&gt;MaxTradesDay,"BREACH","OK"))</f>
        <v/>
      </c>
      <c r="W56" s="5">
        <f>IF(A56="","",IF(O56&lt;=-WeeklyDDLimit,"BREACH","OK"))</f>
        <v/>
      </c>
      <c r="X56" s="5">
        <f>IF(A56="","",IF(OR(U56="BREACH",V56="BREACH",W56="BREACH",T56&gt;0,R56&gt;MaxLots),"LIMIT BROKEN","OK"))</f>
        <v/>
      </c>
    </row>
    <row r="57">
      <c r="A57" s="57">
        <f>IF(A56="","",IFERROR(SMALL(TL_Date,COUNTIF(TL_Date,"&lt;="&amp;A56)+1),""))</f>
        <v/>
      </c>
      <c r="B57" s="5">
        <f>IF(A57="","",TEXT(A57,"ddd"))</f>
        <v/>
      </c>
      <c r="C57" s="28">
        <f>IF(A57="","",COUNTIF(TL_Date,A57))</f>
        <v/>
      </c>
      <c r="D57" s="28">
        <f>IF(A57="","",COUNTIFS(TL_Date,A57,TL_Net,"&gt;0"))</f>
        <v/>
      </c>
      <c r="E57" s="28">
        <f>IF(A57="","",COUNTIFS(TL_Date,A57,TL_Net,"&lt;0"))</f>
        <v/>
      </c>
      <c r="F57" s="39">
        <f>IF(A57="","",SUMIFS(TL_Gross,TL_Date,A57))</f>
        <v/>
      </c>
      <c r="G57" s="39">
        <f>IF(A57="","",SUMIFS(TL_Chg,TL_Date,A57))</f>
        <v/>
      </c>
      <c r="H57" s="39">
        <f>IF(A57="","",SUMIFS(TL_Net,TL_Date,A57))</f>
        <v/>
      </c>
      <c r="I57" s="39">
        <f>IF(A57="","",SUM($H$6:H57))</f>
        <v/>
      </c>
      <c r="J57" s="39">
        <f>IF(A57="","",Capital+I57)</f>
        <v/>
      </c>
      <c r="K57" s="39">
        <f>IF(A57="","",MAX(Capital,MAX($J$6:J57)))</f>
        <v/>
      </c>
      <c r="L57" s="39">
        <f>IF(A57="","",K57-J57)</f>
        <v/>
      </c>
      <c r="M57" s="58">
        <f>IF(A57="","",L57/K57)</f>
        <v/>
      </c>
      <c r="N57" s="57">
        <f>IF(A57="","",A57-WEEKDAY(A57,3))</f>
        <v/>
      </c>
      <c r="O57" s="39">
        <f>IF(A57="","",SUMIFS($H$6:H57,$N$6:N57,N57))</f>
        <v/>
      </c>
      <c r="P57" s="58">
        <f>IF(A57="","",IFERROR(COUNTIFS(TL_Date,A57,TL_Followed,"Y")/C57,0))</f>
        <v/>
      </c>
      <c r="Q57" s="28">
        <f>IF(A57="","",COUNTIFS(TL_Date,A57,TL_Followed,"N"))</f>
        <v/>
      </c>
      <c r="R57" s="28">
        <f>IF(A57="","",_xlfn.MAXIFS(TL_Lots,TL_Date,A57))</f>
        <v/>
      </c>
      <c r="S57" s="39">
        <f>IF(A57="","",SUMIFS(TL_GiveBack,TL_Date,A57))</f>
        <v/>
      </c>
      <c r="T57" s="28">
        <f>IF(A57="","",COUNTIFS(TL_Date,A57,TL_ExpBreach,"BREACH"))</f>
        <v/>
      </c>
      <c r="U57" s="5">
        <f>IF(A57="","",IF(H57&lt;=-DailyLossLimit,"BREACH","OK"))</f>
        <v/>
      </c>
      <c r="V57" s="5">
        <f>IF(A57="","",IF(C57&gt;MaxTradesDay,"BREACH","OK"))</f>
        <v/>
      </c>
      <c r="W57" s="5">
        <f>IF(A57="","",IF(O57&lt;=-WeeklyDDLimit,"BREACH","OK"))</f>
        <v/>
      </c>
      <c r="X57" s="5">
        <f>IF(A57="","",IF(OR(U57="BREACH",V57="BREACH",W57="BREACH",T57&gt;0,R57&gt;MaxLots),"LIMIT BROKEN","OK"))</f>
        <v/>
      </c>
    </row>
    <row r="58">
      <c r="A58" s="57">
        <f>IF(A57="","",IFERROR(SMALL(TL_Date,COUNTIF(TL_Date,"&lt;="&amp;A57)+1),""))</f>
        <v/>
      </c>
      <c r="B58" s="5">
        <f>IF(A58="","",TEXT(A58,"ddd"))</f>
        <v/>
      </c>
      <c r="C58" s="28">
        <f>IF(A58="","",COUNTIF(TL_Date,A58))</f>
        <v/>
      </c>
      <c r="D58" s="28">
        <f>IF(A58="","",COUNTIFS(TL_Date,A58,TL_Net,"&gt;0"))</f>
        <v/>
      </c>
      <c r="E58" s="28">
        <f>IF(A58="","",COUNTIFS(TL_Date,A58,TL_Net,"&lt;0"))</f>
        <v/>
      </c>
      <c r="F58" s="39">
        <f>IF(A58="","",SUMIFS(TL_Gross,TL_Date,A58))</f>
        <v/>
      </c>
      <c r="G58" s="39">
        <f>IF(A58="","",SUMIFS(TL_Chg,TL_Date,A58))</f>
        <v/>
      </c>
      <c r="H58" s="39">
        <f>IF(A58="","",SUMIFS(TL_Net,TL_Date,A58))</f>
        <v/>
      </c>
      <c r="I58" s="39">
        <f>IF(A58="","",SUM($H$6:H58))</f>
        <v/>
      </c>
      <c r="J58" s="39">
        <f>IF(A58="","",Capital+I58)</f>
        <v/>
      </c>
      <c r="K58" s="39">
        <f>IF(A58="","",MAX(Capital,MAX($J$6:J58)))</f>
        <v/>
      </c>
      <c r="L58" s="39">
        <f>IF(A58="","",K58-J58)</f>
        <v/>
      </c>
      <c r="M58" s="58">
        <f>IF(A58="","",L58/K58)</f>
        <v/>
      </c>
      <c r="N58" s="57">
        <f>IF(A58="","",A58-WEEKDAY(A58,3))</f>
        <v/>
      </c>
      <c r="O58" s="39">
        <f>IF(A58="","",SUMIFS($H$6:H58,$N$6:N58,N58))</f>
        <v/>
      </c>
      <c r="P58" s="58">
        <f>IF(A58="","",IFERROR(COUNTIFS(TL_Date,A58,TL_Followed,"Y")/C58,0))</f>
        <v/>
      </c>
      <c r="Q58" s="28">
        <f>IF(A58="","",COUNTIFS(TL_Date,A58,TL_Followed,"N"))</f>
        <v/>
      </c>
      <c r="R58" s="28">
        <f>IF(A58="","",_xlfn.MAXIFS(TL_Lots,TL_Date,A58))</f>
        <v/>
      </c>
      <c r="S58" s="39">
        <f>IF(A58="","",SUMIFS(TL_GiveBack,TL_Date,A58))</f>
        <v/>
      </c>
      <c r="T58" s="28">
        <f>IF(A58="","",COUNTIFS(TL_Date,A58,TL_ExpBreach,"BREACH"))</f>
        <v/>
      </c>
      <c r="U58" s="5">
        <f>IF(A58="","",IF(H58&lt;=-DailyLossLimit,"BREACH","OK"))</f>
        <v/>
      </c>
      <c r="V58" s="5">
        <f>IF(A58="","",IF(C58&gt;MaxTradesDay,"BREACH","OK"))</f>
        <v/>
      </c>
      <c r="W58" s="5">
        <f>IF(A58="","",IF(O58&lt;=-WeeklyDDLimit,"BREACH","OK"))</f>
        <v/>
      </c>
      <c r="X58" s="5">
        <f>IF(A58="","",IF(OR(U58="BREACH",V58="BREACH",W58="BREACH",T58&gt;0,R58&gt;MaxLots),"LIMIT BROKEN","OK"))</f>
        <v/>
      </c>
    </row>
    <row r="59">
      <c r="A59" s="57">
        <f>IF(A58="","",IFERROR(SMALL(TL_Date,COUNTIF(TL_Date,"&lt;="&amp;A58)+1),""))</f>
        <v/>
      </c>
      <c r="B59" s="5">
        <f>IF(A59="","",TEXT(A59,"ddd"))</f>
        <v/>
      </c>
      <c r="C59" s="28">
        <f>IF(A59="","",COUNTIF(TL_Date,A59))</f>
        <v/>
      </c>
      <c r="D59" s="28">
        <f>IF(A59="","",COUNTIFS(TL_Date,A59,TL_Net,"&gt;0"))</f>
        <v/>
      </c>
      <c r="E59" s="28">
        <f>IF(A59="","",COUNTIFS(TL_Date,A59,TL_Net,"&lt;0"))</f>
        <v/>
      </c>
      <c r="F59" s="39">
        <f>IF(A59="","",SUMIFS(TL_Gross,TL_Date,A59))</f>
        <v/>
      </c>
      <c r="G59" s="39">
        <f>IF(A59="","",SUMIFS(TL_Chg,TL_Date,A59))</f>
        <v/>
      </c>
      <c r="H59" s="39">
        <f>IF(A59="","",SUMIFS(TL_Net,TL_Date,A59))</f>
        <v/>
      </c>
      <c r="I59" s="39">
        <f>IF(A59="","",SUM($H$6:H59))</f>
        <v/>
      </c>
      <c r="J59" s="39">
        <f>IF(A59="","",Capital+I59)</f>
        <v/>
      </c>
      <c r="K59" s="39">
        <f>IF(A59="","",MAX(Capital,MAX($J$6:J59)))</f>
        <v/>
      </c>
      <c r="L59" s="39">
        <f>IF(A59="","",K59-J59)</f>
        <v/>
      </c>
      <c r="M59" s="58">
        <f>IF(A59="","",L59/K59)</f>
        <v/>
      </c>
      <c r="N59" s="57">
        <f>IF(A59="","",A59-WEEKDAY(A59,3))</f>
        <v/>
      </c>
      <c r="O59" s="39">
        <f>IF(A59="","",SUMIFS($H$6:H59,$N$6:N59,N59))</f>
        <v/>
      </c>
      <c r="P59" s="58">
        <f>IF(A59="","",IFERROR(COUNTIFS(TL_Date,A59,TL_Followed,"Y")/C59,0))</f>
        <v/>
      </c>
      <c r="Q59" s="28">
        <f>IF(A59="","",COUNTIFS(TL_Date,A59,TL_Followed,"N"))</f>
        <v/>
      </c>
      <c r="R59" s="28">
        <f>IF(A59="","",_xlfn.MAXIFS(TL_Lots,TL_Date,A59))</f>
        <v/>
      </c>
      <c r="S59" s="39">
        <f>IF(A59="","",SUMIFS(TL_GiveBack,TL_Date,A59))</f>
        <v/>
      </c>
      <c r="T59" s="28">
        <f>IF(A59="","",COUNTIFS(TL_Date,A59,TL_ExpBreach,"BREACH"))</f>
        <v/>
      </c>
      <c r="U59" s="5">
        <f>IF(A59="","",IF(H59&lt;=-DailyLossLimit,"BREACH","OK"))</f>
        <v/>
      </c>
      <c r="V59" s="5">
        <f>IF(A59="","",IF(C59&gt;MaxTradesDay,"BREACH","OK"))</f>
        <v/>
      </c>
      <c r="W59" s="5">
        <f>IF(A59="","",IF(O59&lt;=-WeeklyDDLimit,"BREACH","OK"))</f>
        <v/>
      </c>
      <c r="X59" s="5">
        <f>IF(A59="","",IF(OR(U59="BREACH",V59="BREACH",W59="BREACH",T59&gt;0,R59&gt;MaxLots),"LIMIT BROKEN","OK"))</f>
        <v/>
      </c>
    </row>
    <row r="60">
      <c r="A60" s="57">
        <f>IF(A59="","",IFERROR(SMALL(TL_Date,COUNTIF(TL_Date,"&lt;="&amp;A59)+1),""))</f>
        <v/>
      </c>
      <c r="B60" s="5">
        <f>IF(A60="","",TEXT(A60,"ddd"))</f>
        <v/>
      </c>
      <c r="C60" s="28">
        <f>IF(A60="","",COUNTIF(TL_Date,A60))</f>
        <v/>
      </c>
      <c r="D60" s="28">
        <f>IF(A60="","",COUNTIFS(TL_Date,A60,TL_Net,"&gt;0"))</f>
        <v/>
      </c>
      <c r="E60" s="28">
        <f>IF(A60="","",COUNTIFS(TL_Date,A60,TL_Net,"&lt;0"))</f>
        <v/>
      </c>
      <c r="F60" s="39">
        <f>IF(A60="","",SUMIFS(TL_Gross,TL_Date,A60))</f>
        <v/>
      </c>
      <c r="G60" s="39">
        <f>IF(A60="","",SUMIFS(TL_Chg,TL_Date,A60))</f>
        <v/>
      </c>
      <c r="H60" s="39">
        <f>IF(A60="","",SUMIFS(TL_Net,TL_Date,A60))</f>
        <v/>
      </c>
      <c r="I60" s="39">
        <f>IF(A60="","",SUM($H$6:H60))</f>
        <v/>
      </c>
      <c r="J60" s="39">
        <f>IF(A60="","",Capital+I60)</f>
        <v/>
      </c>
      <c r="K60" s="39">
        <f>IF(A60="","",MAX(Capital,MAX($J$6:J60)))</f>
        <v/>
      </c>
      <c r="L60" s="39">
        <f>IF(A60="","",K60-J60)</f>
        <v/>
      </c>
      <c r="M60" s="58">
        <f>IF(A60="","",L60/K60)</f>
        <v/>
      </c>
      <c r="N60" s="57">
        <f>IF(A60="","",A60-WEEKDAY(A60,3))</f>
        <v/>
      </c>
      <c r="O60" s="39">
        <f>IF(A60="","",SUMIFS($H$6:H60,$N$6:N60,N60))</f>
        <v/>
      </c>
      <c r="P60" s="58">
        <f>IF(A60="","",IFERROR(COUNTIFS(TL_Date,A60,TL_Followed,"Y")/C60,0))</f>
        <v/>
      </c>
      <c r="Q60" s="28">
        <f>IF(A60="","",COUNTIFS(TL_Date,A60,TL_Followed,"N"))</f>
        <v/>
      </c>
      <c r="R60" s="28">
        <f>IF(A60="","",_xlfn.MAXIFS(TL_Lots,TL_Date,A60))</f>
        <v/>
      </c>
      <c r="S60" s="39">
        <f>IF(A60="","",SUMIFS(TL_GiveBack,TL_Date,A60))</f>
        <v/>
      </c>
      <c r="T60" s="28">
        <f>IF(A60="","",COUNTIFS(TL_Date,A60,TL_ExpBreach,"BREACH"))</f>
        <v/>
      </c>
      <c r="U60" s="5">
        <f>IF(A60="","",IF(H60&lt;=-DailyLossLimit,"BREACH","OK"))</f>
        <v/>
      </c>
      <c r="V60" s="5">
        <f>IF(A60="","",IF(C60&gt;MaxTradesDay,"BREACH","OK"))</f>
        <v/>
      </c>
      <c r="W60" s="5">
        <f>IF(A60="","",IF(O60&lt;=-WeeklyDDLimit,"BREACH","OK"))</f>
        <v/>
      </c>
      <c r="X60" s="5">
        <f>IF(A60="","",IF(OR(U60="BREACH",V60="BREACH",W60="BREACH",T60&gt;0,R60&gt;MaxLots),"LIMIT BROKEN","OK"))</f>
        <v/>
      </c>
    </row>
    <row r="61">
      <c r="A61" s="57">
        <f>IF(A60="","",IFERROR(SMALL(TL_Date,COUNTIF(TL_Date,"&lt;="&amp;A60)+1),""))</f>
        <v/>
      </c>
      <c r="B61" s="5">
        <f>IF(A61="","",TEXT(A61,"ddd"))</f>
        <v/>
      </c>
      <c r="C61" s="28">
        <f>IF(A61="","",COUNTIF(TL_Date,A61))</f>
        <v/>
      </c>
      <c r="D61" s="28">
        <f>IF(A61="","",COUNTIFS(TL_Date,A61,TL_Net,"&gt;0"))</f>
        <v/>
      </c>
      <c r="E61" s="28">
        <f>IF(A61="","",COUNTIFS(TL_Date,A61,TL_Net,"&lt;0"))</f>
        <v/>
      </c>
      <c r="F61" s="39">
        <f>IF(A61="","",SUMIFS(TL_Gross,TL_Date,A61))</f>
        <v/>
      </c>
      <c r="G61" s="39">
        <f>IF(A61="","",SUMIFS(TL_Chg,TL_Date,A61))</f>
        <v/>
      </c>
      <c r="H61" s="39">
        <f>IF(A61="","",SUMIFS(TL_Net,TL_Date,A61))</f>
        <v/>
      </c>
      <c r="I61" s="39">
        <f>IF(A61="","",SUM($H$6:H61))</f>
        <v/>
      </c>
      <c r="J61" s="39">
        <f>IF(A61="","",Capital+I61)</f>
        <v/>
      </c>
      <c r="K61" s="39">
        <f>IF(A61="","",MAX(Capital,MAX($J$6:J61)))</f>
        <v/>
      </c>
      <c r="L61" s="39">
        <f>IF(A61="","",K61-J61)</f>
        <v/>
      </c>
      <c r="M61" s="58">
        <f>IF(A61="","",L61/K61)</f>
        <v/>
      </c>
      <c r="N61" s="57">
        <f>IF(A61="","",A61-WEEKDAY(A61,3))</f>
        <v/>
      </c>
      <c r="O61" s="39">
        <f>IF(A61="","",SUMIFS($H$6:H61,$N$6:N61,N61))</f>
        <v/>
      </c>
      <c r="P61" s="58">
        <f>IF(A61="","",IFERROR(COUNTIFS(TL_Date,A61,TL_Followed,"Y")/C61,0))</f>
        <v/>
      </c>
      <c r="Q61" s="28">
        <f>IF(A61="","",COUNTIFS(TL_Date,A61,TL_Followed,"N"))</f>
        <v/>
      </c>
      <c r="R61" s="28">
        <f>IF(A61="","",_xlfn.MAXIFS(TL_Lots,TL_Date,A61))</f>
        <v/>
      </c>
      <c r="S61" s="39">
        <f>IF(A61="","",SUMIFS(TL_GiveBack,TL_Date,A61))</f>
        <v/>
      </c>
      <c r="T61" s="28">
        <f>IF(A61="","",COUNTIFS(TL_Date,A61,TL_ExpBreach,"BREACH"))</f>
        <v/>
      </c>
      <c r="U61" s="5">
        <f>IF(A61="","",IF(H61&lt;=-DailyLossLimit,"BREACH","OK"))</f>
        <v/>
      </c>
      <c r="V61" s="5">
        <f>IF(A61="","",IF(C61&gt;MaxTradesDay,"BREACH","OK"))</f>
        <v/>
      </c>
      <c r="W61" s="5">
        <f>IF(A61="","",IF(O61&lt;=-WeeklyDDLimit,"BREACH","OK"))</f>
        <v/>
      </c>
      <c r="X61" s="5">
        <f>IF(A61="","",IF(OR(U61="BREACH",V61="BREACH",W61="BREACH",T61&gt;0,R61&gt;MaxLots),"LIMIT BROKEN","OK"))</f>
        <v/>
      </c>
    </row>
    <row r="62">
      <c r="A62" s="57">
        <f>IF(A61="","",IFERROR(SMALL(TL_Date,COUNTIF(TL_Date,"&lt;="&amp;A61)+1),""))</f>
        <v/>
      </c>
      <c r="B62" s="5">
        <f>IF(A62="","",TEXT(A62,"ddd"))</f>
        <v/>
      </c>
      <c r="C62" s="28">
        <f>IF(A62="","",COUNTIF(TL_Date,A62))</f>
        <v/>
      </c>
      <c r="D62" s="28">
        <f>IF(A62="","",COUNTIFS(TL_Date,A62,TL_Net,"&gt;0"))</f>
        <v/>
      </c>
      <c r="E62" s="28">
        <f>IF(A62="","",COUNTIFS(TL_Date,A62,TL_Net,"&lt;0"))</f>
        <v/>
      </c>
      <c r="F62" s="39">
        <f>IF(A62="","",SUMIFS(TL_Gross,TL_Date,A62))</f>
        <v/>
      </c>
      <c r="G62" s="39">
        <f>IF(A62="","",SUMIFS(TL_Chg,TL_Date,A62))</f>
        <v/>
      </c>
      <c r="H62" s="39">
        <f>IF(A62="","",SUMIFS(TL_Net,TL_Date,A62))</f>
        <v/>
      </c>
      <c r="I62" s="39">
        <f>IF(A62="","",SUM($H$6:H62))</f>
        <v/>
      </c>
      <c r="J62" s="39">
        <f>IF(A62="","",Capital+I62)</f>
        <v/>
      </c>
      <c r="K62" s="39">
        <f>IF(A62="","",MAX(Capital,MAX($J$6:J62)))</f>
        <v/>
      </c>
      <c r="L62" s="39">
        <f>IF(A62="","",K62-J62)</f>
        <v/>
      </c>
      <c r="M62" s="58">
        <f>IF(A62="","",L62/K62)</f>
        <v/>
      </c>
      <c r="N62" s="57">
        <f>IF(A62="","",A62-WEEKDAY(A62,3))</f>
        <v/>
      </c>
      <c r="O62" s="39">
        <f>IF(A62="","",SUMIFS($H$6:H62,$N$6:N62,N62))</f>
        <v/>
      </c>
      <c r="P62" s="58">
        <f>IF(A62="","",IFERROR(COUNTIFS(TL_Date,A62,TL_Followed,"Y")/C62,0))</f>
        <v/>
      </c>
      <c r="Q62" s="28">
        <f>IF(A62="","",COUNTIFS(TL_Date,A62,TL_Followed,"N"))</f>
        <v/>
      </c>
      <c r="R62" s="28">
        <f>IF(A62="","",_xlfn.MAXIFS(TL_Lots,TL_Date,A62))</f>
        <v/>
      </c>
      <c r="S62" s="39">
        <f>IF(A62="","",SUMIFS(TL_GiveBack,TL_Date,A62))</f>
        <v/>
      </c>
      <c r="T62" s="28">
        <f>IF(A62="","",COUNTIFS(TL_Date,A62,TL_ExpBreach,"BREACH"))</f>
        <v/>
      </c>
      <c r="U62" s="5">
        <f>IF(A62="","",IF(H62&lt;=-DailyLossLimit,"BREACH","OK"))</f>
        <v/>
      </c>
      <c r="V62" s="5">
        <f>IF(A62="","",IF(C62&gt;MaxTradesDay,"BREACH","OK"))</f>
        <v/>
      </c>
      <c r="W62" s="5">
        <f>IF(A62="","",IF(O62&lt;=-WeeklyDDLimit,"BREACH","OK"))</f>
        <v/>
      </c>
      <c r="X62" s="5">
        <f>IF(A62="","",IF(OR(U62="BREACH",V62="BREACH",W62="BREACH",T62&gt;0,R62&gt;MaxLots),"LIMIT BROKEN","OK"))</f>
        <v/>
      </c>
    </row>
    <row r="63">
      <c r="A63" s="57">
        <f>IF(A62="","",IFERROR(SMALL(TL_Date,COUNTIF(TL_Date,"&lt;="&amp;A62)+1),""))</f>
        <v/>
      </c>
      <c r="B63" s="5">
        <f>IF(A63="","",TEXT(A63,"ddd"))</f>
        <v/>
      </c>
      <c r="C63" s="28">
        <f>IF(A63="","",COUNTIF(TL_Date,A63))</f>
        <v/>
      </c>
      <c r="D63" s="28">
        <f>IF(A63="","",COUNTIFS(TL_Date,A63,TL_Net,"&gt;0"))</f>
        <v/>
      </c>
      <c r="E63" s="28">
        <f>IF(A63="","",COUNTIFS(TL_Date,A63,TL_Net,"&lt;0"))</f>
        <v/>
      </c>
      <c r="F63" s="39">
        <f>IF(A63="","",SUMIFS(TL_Gross,TL_Date,A63))</f>
        <v/>
      </c>
      <c r="G63" s="39">
        <f>IF(A63="","",SUMIFS(TL_Chg,TL_Date,A63))</f>
        <v/>
      </c>
      <c r="H63" s="39">
        <f>IF(A63="","",SUMIFS(TL_Net,TL_Date,A63))</f>
        <v/>
      </c>
      <c r="I63" s="39">
        <f>IF(A63="","",SUM($H$6:H63))</f>
        <v/>
      </c>
      <c r="J63" s="39">
        <f>IF(A63="","",Capital+I63)</f>
        <v/>
      </c>
      <c r="K63" s="39">
        <f>IF(A63="","",MAX(Capital,MAX($J$6:J63)))</f>
        <v/>
      </c>
      <c r="L63" s="39">
        <f>IF(A63="","",K63-J63)</f>
        <v/>
      </c>
      <c r="M63" s="58">
        <f>IF(A63="","",L63/K63)</f>
        <v/>
      </c>
      <c r="N63" s="57">
        <f>IF(A63="","",A63-WEEKDAY(A63,3))</f>
        <v/>
      </c>
      <c r="O63" s="39">
        <f>IF(A63="","",SUMIFS($H$6:H63,$N$6:N63,N63))</f>
        <v/>
      </c>
      <c r="P63" s="58">
        <f>IF(A63="","",IFERROR(COUNTIFS(TL_Date,A63,TL_Followed,"Y")/C63,0))</f>
        <v/>
      </c>
      <c r="Q63" s="28">
        <f>IF(A63="","",COUNTIFS(TL_Date,A63,TL_Followed,"N"))</f>
        <v/>
      </c>
      <c r="R63" s="28">
        <f>IF(A63="","",_xlfn.MAXIFS(TL_Lots,TL_Date,A63))</f>
        <v/>
      </c>
      <c r="S63" s="39">
        <f>IF(A63="","",SUMIFS(TL_GiveBack,TL_Date,A63))</f>
        <v/>
      </c>
      <c r="T63" s="28">
        <f>IF(A63="","",COUNTIFS(TL_Date,A63,TL_ExpBreach,"BREACH"))</f>
        <v/>
      </c>
      <c r="U63" s="5">
        <f>IF(A63="","",IF(H63&lt;=-DailyLossLimit,"BREACH","OK"))</f>
        <v/>
      </c>
      <c r="V63" s="5">
        <f>IF(A63="","",IF(C63&gt;MaxTradesDay,"BREACH","OK"))</f>
        <v/>
      </c>
      <c r="W63" s="5">
        <f>IF(A63="","",IF(O63&lt;=-WeeklyDDLimit,"BREACH","OK"))</f>
        <v/>
      </c>
      <c r="X63" s="5">
        <f>IF(A63="","",IF(OR(U63="BREACH",V63="BREACH",W63="BREACH",T63&gt;0,R63&gt;MaxLots),"LIMIT BROKEN","OK"))</f>
        <v/>
      </c>
    </row>
    <row r="64">
      <c r="A64" s="57">
        <f>IF(A63="","",IFERROR(SMALL(TL_Date,COUNTIF(TL_Date,"&lt;="&amp;A63)+1),""))</f>
        <v/>
      </c>
      <c r="B64" s="5">
        <f>IF(A64="","",TEXT(A64,"ddd"))</f>
        <v/>
      </c>
      <c r="C64" s="28">
        <f>IF(A64="","",COUNTIF(TL_Date,A64))</f>
        <v/>
      </c>
      <c r="D64" s="28">
        <f>IF(A64="","",COUNTIFS(TL_Date,A64,TL_Net,"&gt;0"))</f>
        <v/>
      </c>
      <c r="E64" s="28">
        <f>IF(A64="","",COUNTIFS(TL_Date,A64,TL_Net,"&lt;0"))</f>
        <v/>
      </c>
      <c r="F64" s="39">
        <f>IF(A64="","",SUMIFS(TL_Gross,TL_Date,A64))</f>
        <v/>
      </c>
      <c r="G64" s="39">
        <f>IF(A64="","",SUMIFS(TL_Chg,TL_Date,A64))</f>
        <v/>
      </c>
      <c r="H64" s="39">
        <f>IF(A64="","",SUMIFS(TL_Net,TL_Date,A64))</f>
        <v/>
      </c>
      <c r="I64" s="39">
        <f>IF(A64="","",SUM($H$6:H64))</f>
        <v/>
      </c>
      <c r="J64" s="39">
        <f>IF(A64="","",Capital+I64)</f>
        <v/>
      </c>
      <c r="K64" s="39">
        <f>IF(A64="","",MAX(Capital,MAX($J$6:J64)))</f>
        <v/>
      </c>
      <c r="L64" s="39">
        <f>IF(A64="","",K64-J64)</f>
        <v/>
      </c>
      <c r="M64" s="58">
        <f>IF(A64="","",L64/K64)</f>
        <v/>
      </c>
      <c r="N64" s="57">
        <f>IF(A64="","",A64-WEEKDAY(A64,3))</f>
        <v/>
      </c>
      <c r="O64" s="39">
        <f>IF(A64="","",SUMIFS($H$6:H64,$N$6:N64,N64))</f>
        <v/>
      </c>
      <c r="P64" s="58">
        <f>IF(A64="","",IFERROR(COUNTIFS(TL_Date,A64,TL_Followed,"Y")/C64,0))</f>
        <v/>
      </c>
      <c r="Q64" s="28">
        <f>IF(A64="","",COUNTIFS(TL_Date,A64,TL_Followed,"N"))</f>
        <v/>
      </c>
      <c r="R64" s="28">
        <f>IF(A64="","",_xlfn.MAXIFS(TL_Lots,TL_Date,A64))</f>
        <v/>
      </c>
      <c r="S64" s="39">
        <f>IF(A64="","",SUMIFS(TL_GiveBack,TL_Date,A64))</f>
        <v/>
      </c>
      <c r="T64" s="28">
        <f>IF(A64="","",COUNTIFS(TL_Date,A64,TL_ExpBreach,"BREACH"))</f>
        <v/>
      </c>
      <c r="U64" s="5">
        <f>IF(A64="","",IF(H64&lt;=-DailyLossLimit,"BREACH","OK"))</f>
        <v/>
      </c>
      <c r="V64" s="5">
        <f>IF(A64="","",IF(C64&gt;MaxTradesDay,"BREACH","OK"))</f>
        <v/>
      </c>
      <c r="W64" s="5">
        <f>IF(A64="","",IF(O64&lt;=-WeeklyDDLimit,"BREACH","OK"))</f>
        <v/>
      </c>
      <c r="X64" s="5">
        <f>IF(A64="","",IF(OR(U64="BREACH",V64="BREACH",W64="BREACH",T64&gt;0,R64&gt;MaxLots),"LIMIT BROKEN","OK"))</f>
        <v/>
      </c>
    </row>
    <row r="65">
      <c r="A65" s="57">
        <f>IF(A64="","",IFERROR(SMALL(TL_Date,COUNTIF(TL_Date,"&lt;="&amp;A64)+1),""))</f>
        <v/>
      </c>
      <c r="B65" s="5">
        <f>IF(A65="","",TEXT(A65,"ddd"))</f>
        <v/>
      </c>
      <c r="C65" s="28">
        <f>IF(A65="","",COUNTIF(TL_Date,A65))</f>
        <v/>
      </c>
      <c r="D65" s="28">
        <f>IF(A65="","",COUNTIFS(TL_Date,A65,TL_Net,"&gt;0"))</f>
        <v/>
      </c>
      <c r="E65" s="28">
        <f>IF(A65="","",COUNTIFS(TL_Date,A65,TL_Net,"&lt;0"))</f>
        <v/>
      </c>
      <c r="F65" s="39">
        <f>IF(A65="","",SUMIFS(TL_Gross,TL_Date,A65))</f>
        <v/>
      </c>
      <c r="G65" s="39">
        <f>IF(A65="","",SUMIFS(TL_Chg,TL_Date,A65))</f>
        <v/>
      </c>
      <c r="H65" s="39">
        <f>IF(A65="","",SUMIFS(TL_Net,TL_Date,A65))</f>
        <v/>
      </c>
      <c r="I65" s="39">
        <f>IF(A65="","",SUM($H$6:H65))</f>
        <v/>
      </c>
      <c r="J65" s="39">
        <f>IF(A65="","",Capital+I65)</f>
        <v/>
      </c>
      <c r="K65" s="39">
        <f>IF(A65="","",MAX(Capital,MAX($J$6:J65)))</f>
        <v/>
      </c>
      <c r="L65" s="39">
        <f>IF(A65="","",K65-J65)</f>
        <v/>
      </c>
      <c r="M65" s="58">
        <f>IF(A65="","",L65/K65)</f>
        <v/>
      </c>
      <c r="N65" s="57">
        <f>IF(A65="","",A65-WEEKDAY(A65,3))</f>
        <v/>
      </c>
      <c r="O65" s="39">
        <f>IF(A65="","",SUMIFS($H$6:H65,$N$6:N65,N65))</f>
        <v/>
      </c>
      <c r="P65" s="58">
        <f>IF(A65="","",IFERROR(COUNTIFS(TL_Date,A65,TL_Followed,"Y")/C65,0))</f>
        <v/>
      </c>
      <c r="Q65" s="28">
        <f>IF(A65="","",COUNTIFS(TL_Date,A65,TL_Followed,"N"))</f>
        <v/>
      </c>
      <c r="R65" s="28">
        <f>IF(A65="","",_xlfn.MAXIFS(TL_Lots,TL_Date,A65))</f>
        <v/>
      </c>
      <c r="S65" s="39">
        <f>IF(A65="","",SUMIFS(TL_GiveBack,TL_Date,A65))</f>
        <v/>
      </c>
      <c r="T65" s="28">
        <f>IF(A65="","",COUNTIFS(TL_Date,A65,TL_ExpBreach,"BREACH"))</f>
        <v/>
      </c>
      <c r="U65" s="5">
        <f>IF(A65="","",IF(H65&lt;=-DailyLossLimit,"BREACH","OK"))</f>
        <v/>
      </c>
      <c r="V65" s="5">
        <f>IF(A65="","",IF(C65&gt;MaxTradesDay,"BREACH","OK"))</f>
        <v/>
      </c>
      <c r="W65" s="5">
        <f>IF(A65="","",IF(O65&lt;=-WeeklyDDLimit,"BREACH","OK"))</f>
        <v/>
      </c>
      <c r="X65" s="5">
        <f>IF(A65="","",IF(OR(U65="BREACH",V65="BREACH",W65="BREACH",T65&gt;0,R65&gt;MaxLots),"LIMIT BROKEN","OK"))</f>
        <v/>
      </c>
    </row>
    <row r="66">
      <c r="A66" s="57">
        <f>IF(A65="","",IFERROR(SMALL(TL_Date,COUNTIF(TL_Date,"&lt;="&amp;A65)+1),""))</f>
        <v/>
      </c>
      <c r="B66" s="5">
        <f>IF(A66="","",TEXT(A66,"ddd"))</f>
        <v/>
      </c>
      <c r="C66" s="28">
        <f>IF(A66="","",COUNTIF(TL_Date,A66))</f>
        <v/>
      </c>
      <c r="D66" s="28">
        <f>IF(A66="","",COUNTIFS(TL_Date,A66,TL_Net,"&gt;0"))</f>
        <v/>
      </c>
      <c r="E66" s="28">
        <f>IF(A66="","",COUNTIFS(TL_Date,A66,TL_Net,"&lt;0"))</f>
        <v/>
      </c>
      <c r="F66" s="39">
        <f>IF(A66="","",SUMIFS(TL_Gross,TL_Date,A66))</f>
        <v/>
      </c>
      <c r="G66" s="39">
        <f>IF(A66="","",SUMIFS(TL_Chg,TL_Date,A66))</f>
        <v/>
      </c>
      <c r="H66" s="39">
        <f>IF(A66="","",SUMIFS(TL_Net,TL_Date,A66))</f>
        <v/>
      </c>
      <c r="I66" s="39">
        <f>IF(A66="","",SUM($H$6:H66))</f>
        <v/>
      </c>
      <c r="J66" s="39">
        <f>IF(A66="","",Capital+I66)</f>
        <v/>
      </c>
      <c r="K66" s="39">
        <f>IF(A66="","",MAX(Capital,MAX($J$6:J66)))</f>
        <v/>
      </c>
      <c r="L66" s="39">
        <f>IF(A66="","",K66-J66)</f>
        <v/>
      </c>
      <c r="M66" s="58">
        <f>IF(A66="","",L66/K66)</f>
        <v/>
      </c>
      <c r="N66" s="57">
        <f>IF(A66="","",A66-WEEKDAY(A66,3))</f>
        <v/>
      </c>
      <c r="O66" s="39">
        <f>IF(A66="","",SUMIFS($H$6:H66,$N$6:N66,N66))</f>
        <v/>
      </c>
      <c r="P66" s="58">
        <f>IF(A66="","",IFERROR(COUNTIFS(TL_Date,A66,TL_Followed,"Y")/C66,0))</f>
        <v/>
      </c>
      <c r="Q66" s="28">
        <f>IF(A66="","",COUNTIFS(TL_Date,A66,TL_Followed,"N"))</f>
        <v/>
      </c>
      <c r="R66" s="28">
        <f>IF(A66="","",_xlfn.MAXIFS(TL_Lots,TL_Date,A66))</f>
        <v/>
      </c>
      <c r="S66" s="39">
        <f>IF(A66="","",SUMIFS(TL_GiveBack,TL_Date,A66))</f>
        <v/>
      </c>
      <c r="T66" s="28">
        <f>IF(A66="","",COUNTIFS(TL_Date,A66,TL_ExpBreach,"BREACH"))</f>
        <v/>
      </c>
      <c r="U66" s="5">
        <f>IF(A66="","",IF(H66&lt;=-DailyLossLimit,"BREACH","OK"))</f>
        <v/>
      </c>
      <c r="V66" s="5">
        <f>IF(A66="","",IF(C66&gt;MaxTradesDay,"BREACH","OK"))</f>
        <v/>
      </c>
      <c r="W66" s="5">
        <f>IF(A66="","",IF(O66&lt;=-WeeklyDDLimit,"BREACH","OK"))</f>
        <v/>
      </c>
      <c r="X66" s="5">
        <f>IF(A66="","",IF(OR(U66="BREACH",V66="BREACH",W66="BREACH",T66&gt;0,R66&gt;MaxLots),"LIMIT BROKEN","OK"))</f>
        <v/>
      </c>
    </row>
    <row r="67">
      <c r="A67" s="57">
        <f>IF(A66="","",IFERROR(SMALL(TL_Date,COUNTIF(TL_Date,"&lt;="&amp;A66)+1),""))</f>
        <v/>
      </c>
      <c r="B67" s="5">
        <f>IF(A67="","",TEXT(A67,"ddd"))</f>
        <v/>
      </c>
      <c r="C67" s="28">
        <f>IF(A67="","",COUNTIF(TL_Date,A67))</f>
        <v/>
      </c>
      <c r="D67" s="28">
        <f>IF(A67="","",COUNTIFS(TL_Date,A67,TL_Net,"&gt;0"))</f>
        <v/>
      </c>
      <c r="E67" s="28">
        <f>IF(A67="","",COUNTIFS(TL_Date,A67,TL_Net,"&lt;0"))</f>
        <v/>
      </c>
      <c r="F67" s="39">
        <f>IF(A67="","",SUMIFS(TL_Gross,TL_Date,A67))</f>
        <v/>
      </c>
      <c r="G67" s="39">
        <f>IF(A67="","",SUMIFS(TL_Chg,TL_Date,A67))</f>
        <v/>
      </c>
      <c r="H67" s="39">
        <f>IF(A67="","",SUMIFS(TL_Net,TL_Date,A67))</f>
        <v/>
      </c>
      <c r="I67" s="39">
        <f>IF(A67="","",SUM($H$6:H67))</f>
        <v/>
      </c>
      <c r="J67" s="39">
        <f>IF(A67="","",Capital+I67)</f>
        <v/>
      </c>
      <c r="K67" s="39">
        <f>IF(A67="","",MAX(Capital,MAX($J$6:J67)))</f>
        <v/>
      </c>
      <c r="L67" s="39">
        <f>IF(A67="","",K67-J67)</f>
        <v/>
      </c>
      <c r="M67" s="58">
        <f>IF(A67="","",L67/K67)</f>
        <v/>
      </c>
      <c r="N67" s="57">
        <f>IF(A67="","",A67-WEEKDAY(A67,3))</f>
        <v/>
      </c>
      <c r="O67" s="39">
        <f>IF(A67="","",SUMIFS($H$6:H67,$N$6:N67,N67))</f>
        <v/>
      </c>
      <c r="P67" s="58">
        <f>IF(A67="","",IFERROR(COUNTIFS(TL_Date,A67,TL_Followed,"Y")/C67,0))</f>
        <v/>
      </c>
      <c r="Q67" s="28">
        <f>IF(A67="","",COUNTIFS(TL_Date,A67,TL_Followed,"N"))</f>
        <v/>
      </c>
      <c r="R67" s="28">
        <f>IF(A67="","",_xlfn.MAXIFS(TL_Lots,TL_Date,A67))</f>
        <v/>
      </c>
      <c r="S67" s="39">
        <f>IF(A67="","",SUMIFS(TL_GiveBack,TL_Date,A67))</f>
        <v/>
      </c>
      <c r="T67" s="28">
        <f>IF(A67="","",COUNTIFS(TL_Date,A67,TL_ExpBreach,"BREACH"))</f>
        <v/>
      </c>
      <c r="U67" s="5">
        <f>IF(A67="","",IF(H67&lt;=-DailyLossLimit,"BREACH","OK"))</f>
        <v/>
      </c>
      <c r="V67" s="5">
        <f>IF(A67="","",IF(C67&gt;MaxTradesDay,"BREACH","OK"))</f>
        <v/>
      </c>
      <c r="W67" s="5">
        <f>IF(A67="","",IF(O67&lt;=-WeeklyDDLimit,"BREACH","OK"))</f>
        <v/>
      </c>
      <c r="X67" s="5">
        <f>IF(A67="","",IF(OR(U67="BREACH",V67="BREACH",W67="BREACH",T67&gt;0,R67&gt;MaxLots),"LIMIT BROKEN","OK"))</f>
        <v/>
      </c>
    </row>
    <row r="68">
      <c r="A68" s="57">
        <f>IF(A67="","",IFERROR(SMALL(TL_Date,COUNTIF(TL_Date,"&lt;="&amp;A67)+1),""))</f>
        <v/>
      </c>
      <c r="B68" s="5">
        <f>IF(A68="","",TEXT(A68,"ddd"))</f>
        <v/>
      </c>
      <c r="C68" s="28">
        <f>IF(A68="","",COUNTIF(TL_Date,A68))</f>
        <v/>
      </c>
      <c r="D68" s="28">
        <f>IF(A68="","",COUNTIFS(TL_Date,A68,TL_Net,"&gt;0"))</f>
        <v/>
      </c>
      <c r="E68" s="28">
        <f>IF(A68="","",COUNTIFS(TL_Date,A68,TL_Net,"&lt;0"))</f>
        <v/>
      </c>
      <c r="F68" s="39">
        <f>IF(A68="","",SUMIFS(TL_Gross,TL_Date,A68))</f>
        <v/>
      </c>
      <c r="G68" s="39">
        <f>IF(A68="","",SUMIFS(TL_Chg,TL_Date,A68))</f>
        <v/>
      </c>
      <c r="H68" s="39">
        <f>IF(A68="","",SUMIFS(TL_Net,TL_Date,A68))</f>
        <v/>
      </c>
      <c r="I68" s="39">
        <f>IF(A68="","",SUM($H$6:H68))</f>
        <v/>
      </c>
      <c r="J68" s="39">
        <f>IF(A68="","",Capital+I68)</f>
        <v/>
      </c>
      <c r="K68" s="39">
        <f>IF(A68="","",MAX(Capital,MAX($J$6:J68)))</f>
        <v/>
      </c>
      <c r="L68" s="39">
        <f>IF(A68="","",K68-J68)</f>
        <v/>
      </c>
      <c r="M68" s="58">
        <f>IF(A68="","",L68/K68)</f>
        <v/>
      </c>
      <c r="N68" s="57">
        <f>IF(A68="","",A68-WEEKDAY(A68,3))</f>
        <v/>
      </c>
      <c r="O68" s="39">
        <f>IF(A68="","",SUMIFS($H$6:H68,$N$6:N68,N68))</f>
        <v/>
      </c>
      <c r="P68" s="58">
        <f>IF(A68="","",IFERROR(COUNTIFS(TL_Date,A68,TL_Followed,"Y")/C68,0))</f>
        <v/>
      </c>
      <c r="Q68" s="28">
        <f>IF(A68="","",COUNTIFS(TL_Date,A68,TL_Followed,"N"))</f>
        <v/>
      </c>
      <c r="R68" s="28">
        <f>IF(A68="","",_xlfn.MAXIFS(TL_Lots,TL_Date,A68))</f>
        <v/>
      </c>
      <c r="S68" s="39">
        <f>IF(A68="","",SUMIFS(TL_GiveBack,TL_Date,A68))</f>
        <v/>
      </c>
      <c r="T68" s="28">
        <f>IF(A68="","",COUNTIFS(TL_Date,A68,TL_ExpBreach,"BREACH"))</f>
        <v/>
      </c>
      <c r="U68" s="5">
        <f>IF(A68="","",IF(H68&lt;=-DailyLossLimit,"BREACH","OK"))</f>
        <v/>
      </c>
      <c r="V68" s="5">
        <f>IF(A68="","",IF(C68&gt;MaxTradesDay,"BREACH","OK"))</f>
        <v/>
      </c>
      <c r="W68" s="5">
        <f>IF(A68="","",IF(O68&lt;=-WeeklyDDLimit,"BREACH","OK"))</f>
        <v/>
      </c>
      <c r="X68" s="5">
        <f>IF(A68="","",IF(OR(U68="BREACH",V68="BREACH",W68="BREACH",T68&gt;0,R68&gt;MaxLots),"LIMIT BROKEN","OK"))</f>
        <v/>
      </c>
    </row>
    <row r="69">
      <c r="A69" s="57">
        <f>IF(A68="","",IFERROR(SMALL(TL_Date,COUNTIF(TL_Date,"&lt;="&amp;A68)+1),""))</f>
        <v/>
      </c>
      <c r="B69" s="5">
        <f>IF(A69="","",TEXT(A69,"ddd"))</f>
        <v/>
      </c>
      <c r="C69" s="28">
        <f>IF(A69="","",COUNTIF(TL_Date,A69))</f>
        <v/>
      </c>
      <c r="D69" s="28">
        <f>IF(A69="","",COUNTIFS(TL_Date,A69,TL_Net,"&gt;0"))</f>
        <v/>
      </c>
      <c r="E69" s="28">
        <f>IF(A69="","",COUNTIFS(TL_Date,A69,TL_Net,"&lt;0"))</f>
        <v/>
      </c>
      <c r="F69" s="39">
        <f>IF(A69="","",SUMIFS(TL_Gross,TL_Date,A69))</f>
        <v/>
      </c>
      <c r="G69" s="39">
        <f>IF(A69="","",SUMIFS(TL_Chg,TL_Date,A69))</f>
        <v/>
      </c>
      <c r="H69" s="39">
        <f>IF(A69="","",SUMIFS(TL_Net,TL_Date,A69))</f>
        <v/>
      </c>
      <c r="I69" s="39">
        <f>IF(A69="","",SUM($H$6:H69))</f>
        <v/>
      </c>
      <c r="J69" s="39">
        <f>IF(A69="","",Capital+I69)</f>
        <v/>
      </c>
      <c r="K69" s="39">
        <f>IF(A69="","",MAX(Capital,MAX($J$6:J69)))</f>
        <v/>
      </c>
      <c r="L69" s="39">
        <f>IF(A69="","",K69-J69)</f>
        <v/>
      </c>
      <c r="M69" s="58">
        <f>IF(A69="","",L69/K69)</f>
        <v/>
      </c>
      <c r="N69" s="57">
        <f>IF(A69="","",A69-WEEKDAY(A69,3))</f>
        <v/>
      </c>
      <c r="O69" s="39">
        <f>IF(A69="","",SUMIFS($H$6:H69,$N$6:N69,N69))</f>
        <v/>
      </c>
      <c r="P69" s="58">
        <f>IF(A69="","",IFERROR(COUNTIFS(TL_Date,A69,TL_Followed,"Y")/C69,0))</f>
        <v/>
      </c>
      <c r="Q69" s="28">
        <f>IF(A69="","",COUNTIFS(TL_Date,A69,TL_Followed,"N"))</f>
        <v/>
      </c>
      <c r="R69" s="28">
        <f>IF(A69="","",_xlfn.MAXIFS(TL_Lots,TL_Date,A69))</f>
        <v/>
      </c>
      <c r="S69" s="39">
        <f>IF(A69="","",SUMIFS(TL_GiveBack,TL_Date,A69))</f>
        <v/>
      </c>
      <c r="T69" s="28">
        <f>IF(A69="","",COUNTIFS(TL_Date,A69,TL_ExpBreach,"BREACH"))</f>
        <v/>
      </c>
      <c r="U69" s="5">
        <f>IF(A69="","",IF(H69&lt;=-DailyLossLimit,"BREACH","OK"))</f>
        <v/>
      </c>
      <c r="V69" s="5">
        <f>IF(A69="","",IF(C69&gt;MaxTradesDay,"BREACH","OK"))</f>
        <v/>
      </c>
      <c r="W69" s="5">
        <f>IF(A69="","",IF(O69&lt;=-WeeklyDDLimit,"BREACH","OK"))</f>
        <v/>
      </c>
      <c r="X69" s="5">
        <f>IF(A69="","",IF(OR(U69="BREACH",V69="BREACH",W69="BREACH",T69&gt;0,R69&gt;MaxLots),"LIMIT BROKEN","OK"))</f>
        <v/>
      </c>
    </row>
    <row r="70">
      <c r="A70" s="57">
        <f>IF(A69="","",IFERROR(SMALL(TL_Date,COUNTIF(TL_Date,"&lt;="&amp;A69)+1),""))</f>
        <v/>
      </c>
      <c r="B70" s="5">
        <f>IF(A70="","",TEXT(A70,"ddd"))</f>
        <v/>
      </c>
      <c r="C70" s="28">
        <f>IF(A70="","",COUNTIF(TL_Date,A70))</f>
        <v/>
      </c>
      <c r="D70" s="28">
        <f>IF(A70="","",COUNTIFS(TL_Date,A70,TL_Net,"&gt;0"))</f>
        <v/>
      </c>
      <c r="E70" s="28">
        <f>IF(A70="","",COUNTIFS(TL_Date,A70,TL_Net,"&lt;0"))</f>
        <v/>
      </c>
      <c r="F70" s="39">
        <f>IF(A70="","",SUMIFS(TL_Gross,TL_Date,A70))</f>
        <v/>
      </c>
      <c r="G70" s="39">
        <f>IF(A70="","",SUMIFS(TL_Chg,TL_Date,A70))</f>
        <v/>
      </c>
      <c r="H70" s="39">
        <f>IF(A70="","",SUMIFS(TL_Net,TL_Date,A70))</f>
        <v/>
      </c>
      <c r="I70" s="39">
        <f>IF(A70="","",SUM($H$6:H70))</f>
        <v/>
      </c>
      <c r="J70" s="39">
        <f>IF(A70="","",Capital+I70)</f>
        <v/>
      </c>
      <c r="K70" s="39">
        <f>IF(A70="","",MAX(Capital,MAX($J$6:J70)))</f>
        <v/>
      </c>
      <c r="L70" s="39">
        <f>IF(A70="","",K70-J70)</f>
        <v/>
      </c>
      <c r="M70" s="58">
        <f>IF(A70="","",L70/K70)</f>
        <v/>
      </c>
      <c r="N70" s="57">
        <f>IF(A70="","",A70-WEEKDAY(A70,3))</f>
        <v/>
      </c>
      <c r="O70" s="39">
        <f>IF(A70="","",SUMIFS($H$6:H70,$N$6:N70,N70))</f>
        <v/>
      </c>
      <c r="P70" s="58">
        <f>IF(A70="","",IFERROR(COUNTIFS(TL_Date,A70,TL_Followed,"Y")/C70,0))</f>
        <v/>
      </c>
      <c r="Q70" s="28">
        <f>IF(A70="","",COUNTIFS(TL_Date,A70,TL_Followed,"N"))</f>
        <v/>
      </c>
      <c r="R70" s="28">
        <f>IF(A70="","",_xlfn.MAXIFS(TL_Lots,TL_Date,A70))</f>
        <v/>
      </c>
      <c r="S70" s="39">
        <f>IF(A70="","",SUMIFS(TL_GiveBack,TL_Date,A70))</f>
        <v/>
      </c>
      <c r="T70" s="28">
        <f>IF(A70="","",COUNTIFS(TL_Date,A70,TL_ExpBreach,"BREACH"))</f>
        <v/>
      </c>
      <c r="U70" s="5">
        <f>IF(A70="","",IF(H70&lt;=-DailyLossLimit,"BREACH","OK"))</f>
        <v/>
      </c>
      <c r="V70" s="5">
        <f>IF(A70="","",IF(C70&gt;MaxTradesDay,"BREACH","OK"))</f>
        <v/>
      </c>
      <c r="W70" s="5">
        <f>IF(A70="","",IF(O70&lt;=-WeeklyDDLimit,"BREACH","OK"))</f>
        <v/>
      </c>
      <c r="X70" s="5">
        <f>IF(A70="","",IF(OR(U70="BREACH",V70="BREACH",W70="BREACH",T70&gt;0,R70&gt;MaxLots),"LIMIT BROKEN","OK"))</f>
        <v/>
      </c>
    </row>
    <row r="71">
      <c r="A71" s="57">
        <f>IF(A70="","",IFERROR(SMALL(TL_Date,COUNTIF(TL_Date,"&lt;="&amp;A70)+1),""))</f>
        <v/>
      </c>
      <c r="B71" s="5">
        <f>IF(A71="","",TEXT(A71,"ddd"))</f>
        <v/>
      </c>
      <c r="C71" s="28">
        <f>IF(A71="","",COUNTIF(TL_Date,A71))</f>
        <v/>
      </c>
      <c r="D71" s="28">
        <f>IF(A71="","",COUNTIFS(TL_Date,A71,TL_Net,"&gt;0"))</f>
        <v/>
      </c>
      <c r="E71" s="28">
        <f>IF(A71="","",COUNTIFS(TL_Date,A71,TL_Net,"&lt;0"))</f>
        <v/>
      </c>
      <c r="F71" s="39">
        <f>IF(A71="","",SUMIFS(TL_Gross,TL_Date,A71))</f>
        <v/>
      </c>
      <c r="G71" s="39">
        <f>IF(A71="","",SUMIFS(TL_Chg,TL_Date,A71))</f>
        <v/>
      </c>
      <c r="H71" s="39">
        <f>IF(A71="","",SUMIFS(TL_Net,TL_Date,A71))</f>
        <v/>
      </c>
      <c r="I71" s="39">
        <f>IF(A71="","",SUM($H$6:H71))</f>
        <v/>
      </c>
      <c r="J71" s="39">
        <f>IF(A71="","",Capital+I71)</f>
        <v/>
      </c>
      <c r="K71" s="39">
        <f>IF(A71="","",MAX(Capital,MAX($J$6:J71)))</f>
        <v/>
      </c>
      <c r="L71" s="39">
        <f>IF(A71="","",K71-J71)</f>
        <v/>
      </c>
      <c r="M71" s="58">
        <f>IF(A71="","",L71/K71)</f>
        <v/>
      </c>
      <c r="N71" s="57">
        <f>IF(A71="","",A71-WEEKDAY(A71,3))</f>
        <v/>
      </c>
      <c r="O71" s="39">
        <f>IF(A71="","",SUMIFS($H$6:H71,$N$6:N71,N71))</f>
        <v/>
      </c>
      <c r="P71" s="58">
        <f>IF(A71="","",IFERROR(COUNTIFS(TL_Date,A71,TL_Followed,"Y")/C71,0))</f>
        <v/>
      </c>
      <c r="Q71" s="28">
        <f>IF(A71="","",COUNTIFS(TL_Date,A71,TL_Followed,"N"))</f>
        <v/>
      </c>
      <c r="R71" s="28">
        <f>IF(A71="","",_xlfn.MAXIFS(TL_Lots,TL_Date,A71))</f>
        <v/>
      </c>
      <c r="S71" s="39">
        <f>IF(A71="","",SUMIFS(TL_GiveBack,TL_Date,A71))</f>
        <v/>
      </c>
      <c r="T71" s="28">
        <f>IF(A71="","",COUNTIFS(TL_Date,A71,TL_ExpBreach,"BREACH"))</f>
        <v/>
      </c>
      <c r="U71" s="5">
        <f>IF(A71="","",IF(H71&lt;=-DailyLossLimit,"BREACH","OK"))</f>
        <v/>
      </c>
      <c r="V71" s="5">
        <f>IF(A71="","",IF(C71&gt;MaxTradesDay,"BREACH","OK"))</f>
        <v/>
      </c>
      <c r="W71" s="5">
        <f>IF(A71="","",IF(O71&lt;=-WeeklyDDLimit,"BREACH","OK"))</f>
        <v/>
      </c>
      <c r="X71" s="5">
        <f>IF(A71="","",IF(OR(U71="BREACH",V71="BREACH",W71="BREACH",T71&gt;0,R71&gt;MaxLots),"LIMIT BROKEN","OK"))</f>
        <v/>
      </c>
    </row>
    <row r="72">
      <c r="A72" s="57">
        <f>IF(A71="","",IFERROR(SMALL(TL_Date,COUNTIF(TL_Date,"&lt;="&amp;A71)+1),""))</f>
        <v/>
      </c>
      <c r="B72" s="5">
        <f>IF(A72="","",TEXT(A72,"ddd"))</f>
        <v/>
      </c>
      <c r="C72" s="28">
        <f>IF(A72="","",COUNTIF(TL_Date,A72))</f>
        <v/>
      </c>
      <c r="D72" s="28">
        <f>IF(A72="","",COUNTIFS(TL_Date,A72,TL_Net,"&gt;0"))</f>
        <v/>
      </c>
      <c r="E72" s="28">
        <f>IF(A72="","",COUNTIFS(TL_Date,A72,TL_Net,"&lt;0"))</f>
        <v/>
      </c>
      <c r="F72" s="39">
        <f>IF(A72="","",SUMIFS(TL_Gross,TL_Date,A72))</f>
        <v/>
      </c>
      <c r="G72" s="39">
        <f>IF(A72="","",SUMIFS(TL_Chg,TL_Date,A72))</f>
        <v/>
      </c>
      <c r="H72" s="39">
        <f>IF(A72="","",SUMIFS(TL_Net,TL_Date,A72))</f>
        <v/>
      </c>
      <c r="I72" s="39">
        <f>IF(A72="","",SUM($H$6:H72))</f>
        <v/>
      </c>
      <c r="J72" s="39">
        <f>IF(A72="","",Capital+I72)</f>
        <v/>
      </c>
      <c r="K72" s="39">
        <f>IF(A72="","",MAX(Capital,MAX($J$6:J72)))</f>
        <v/>
      </c>
      <c r="L72" s="39">
        <f>IF(A72="","",K72-J72)</f>
        <v/>
      </c>
      <c r="M72" s="58">
        <f>IF(A72="","",L72/K72)</f>
        <v/>
      </c>
      <c r="N72" s="57">
        <f>IF(A72="","",A72-WEEKDAY(A72,3))</f>
        <v/>
      </c>
      <c r="O72" s="39">
        <f>IF(A72="","",SUMIFS($H$6:H72,$N$6:N72,N72))</f>
        <v/>
      </c>
      <c r="P72" s="58">
        <f>IF(A72="","",IFERROR(COUNTIFS(TL_Date,A72,TL_Followed,"Y")/C72,0))</f>
        <v/>
      </c>
      <c r="Q72" s="28">
        <f>IF(A72="","",COUNTIFS(TL_Date,A72,TL_Followed,"N"))</f>
        <v/>
      </c>
      <c r="R72" s="28">
        <f>IF(A72="","",_xlfn.MAXIFS(TL_Lots,TL_Date,A72))</f>
        <v/>
      </c>
      <c r="S72" s="39">
        <f>IF(A72="","",SUMIFS(TL_GiveBack,TL_Date,A72))</f>
        <v/>
      </c>
      <c r="T72" s="28">
        <f>IF(A72="","",COUNTIFS(TL_Date,A72,TL_ExpBreach,"BREACH"))</f>
        <v/>
      </c>
      <c r="U72" s="5">
        <f>IF(A72="","",IF(H72&lt;=-DailyLossLimit,"BREACH","OK"))</f>
        <v/>
      </c>
      <c r="V72" s="5">
        <f>IF(A72="","",IF(C72&gt;MaxTradesDay,"BREACH","OK"))</f>
        <v/>
      </c>
      <c r="W72" s="5">
        <f>IF(A72="","",IF(O72&lt;=-WeeklyDDLimit,"BREACH","OK"))</f>
        <v/>
      </c>
      <c r="X72" s="5">
        <f>IF(A72="","",IF(OR(U72="BREACH",V72="BREACH",W72="BREACH",T72&gt;0,R72&gt;MaxLots),"LIMIT BROKEN","OK"))</f>
        <v/>
      </c>
    </row>
    <row r="73">
      <c r="A73" s="57">
        <f>IF(A72="","",IFERROR(SMALL(TL_Date,COUNTIF(TL_Date,"&lt;="&amp;A72)+1),""))</f>
        <v/>
      </c>
      <c r="B73" s="5">
        <f>IF(A73="","",TEXT(A73,"ddd"))</f>
        <v/>
      </c>
      <c r="C73" s="28">
        <f>IF(A73="","",COUNTIF(TL_Date,A73))</f>
        <v/>
      </c>
      <c r="D73" s="28">
        <f>IF(A73="","",COUNTIFS(TL_Date,A73,TL_Net,"&gt;0"))</f>
        <v/>
      </c>
      <c r="E73" s="28">
        <f>IF(A73="","",COUNTIFS(TL_Date,A73,TL_Net,"&lt;0"))</f>
        <v/>
      </c>
      <c r="F73" s="39">
        <f>IF(A73="","",SUMIFS(TL_Gross,TL_Date,A73))</f>
        <v/>
      </c>
      <c r="G73" s="39">
        <f>IF(A73="","",SUMIFS(TL_Chg,TL_Date,A73))</f>
        <v/>
      </c>
      <c r="H73" s="39">
        <f>IF(A73="","",SUMIFS(TL_Net,TL_Date,A73))</f>
        <v/>
      </c>
      <c r="I73" s="39">
        <f>IF(A73="","",SUM($H$6:H73))</f>
        <v/>
      </c>
      <c r="J73" s="39">
        <f>IF(A73="","",Capital+I73)</f>
        <v/>
      </c>
      <c r="K73" s="39">
        <f>IF(A73="","",MAX(Capital,MAX($J$6:J73)))</f>
        <v/>
      </c>
      <c r="L73" s="39">
        <f>IF(A73="","",K73-J73)</f>
        <v/>
      </c>
      <c r="M73" s="58">
        <f>IF(A73="","",L73/K73)</f>
        <v/>
      </c>
      <c r="N73" s="57">
        <f>IF(A73="","",A73-WEEKDAY(A73,3))</f>
        <v/>
      </c>
      <c r="O73" s="39">
        <f>IF(A73="","",SUMIFS($H$6:H73,$N$6:N73,N73))</f>
        <v/>
      </c>
      <c r="P73" s="58">
        <f>IF(A73="","",IFERROR(COUNTIFS(TL_Date,A73,TL_Followed,"Y")/C73,0))</f>
        <v/>
      </c>
      <c r="Q73" s="28">
        <f>IF(A73="","",COUNTIFS(TL_Date,A73,TL_Followed,"N"))</f>
        <v/>
      </c>
      <c r="R73" s="28">
        <f>IF(A73="","",_xlfn.MAXIFS(TL_Lots,TL_Date,A73))</f>
        <v/>
      </c>
      <c r="S73" s="39">
        <f>IF(A73="","",SUMIFS(TL_GiveBack,TL_Date,A73))</f>
        <v/>
      </c>
      <c r="T73" s="28">
        <f>IF(A73="","",COUNTIFS(TL_Date,A73,TL_ExpBreach,"BREACH"))</f>
        <v/>
      </c>
      <c r="U73" s="5">
        <f>IF(A73="","",IF(H73&lt;=-DailyLossLimit,"BREACH","OK"))</f>
        <v/>
      </c>
      <c r="V73" s="5">
        <f>IF(A73="","",IF(C73&gt;MaxTradesDay,"BREACH","OK"))</f>
        <v/>
      </c>
      <c r="W73" s="5">
        <f>IF(A73="","",IF(O73&lt;=-WeeklyDDLimit,"BREACH","OK"))</f>
        <v/>
      </c>
      <c r="X73" s="5">
        <f>IF(A73="","",IF(OR(U73="BREACH",V73="BREACH",W73="BREACH",T73&gt;0,R73&gt;MaxLots),"LIMIT BROKEN","OK"))</f>
        <v/>
      </c>
    </row>
    <row r="74">
      <c r="A74" s="57">
        <f>IF(A73="","",IFERROR(SMALL(TL_Date,COUNTIF(TL_Date,"&lt;="&amp;A73)+1),""))</f>
        <v/>
      </c>
      <c r="B74" s="5">
        <f>IF(A74="","",TEXT(A74,"ddd"))</f>
        <v/>
      </c>
      <c r="C74" s="28">
        <f>IF(A74="","",COUNTIF(TL_Date,A74))</f>
        <v/>
      </c>
      <c r="D74" s="28">
        <f>IF(A74="","",COUNTIFS(TL_Date,A74,TL_Net,"&gt;0"))</f>
        <v/>
      </c>
      <c r="E74" s="28">
        <f>IF(A74="","",COUNTIFS(TL_Date,A74,TL_Net,"&lt;0"))</f>
        <v/>
      </c>
      <c r="F74" s="39">
        <f>IF(A74="","",SUMIFS(TL_Gross,TL_Date,A74))</f>
        <v/>
      </c>
      <c r="G74" s="39">
        <f>IF(A74="","",SUMIFS(TL_Chg,TL_Date,A74))</f>
        <v/>
      </c>
      <c r="H74" s="39">
        <f>IF(A74="","",SUMIFS(TL_Net,TL_Date,A74))</f>
        <v/>
      </c>
      <c r="I74" s="39">
        <f>IF(A74="","",SUM($H$6:H74))</f>
        <v/>
      </c>
      <c r="J74" s="39">
        <f>IF(A74="","",Capital+I74)</f>
        <v/>
      </c>
      <c r="K74" s="39">
        <f>IF(A74="","",MAX(Capital,MAX($J$6:J74)))</f>
        <v/>
      </c>
      <c r="L74" s="39">
        <f>IF(A74="","",K74-J74)</f>
        <v/>
      </c>
      <c r="M74" s="58">
        <f>IF(A74="","",L74/K74)</f>
        <v/>
      </c>
      <c r="N74" s="57">
        <f>IF(A74="","",A74-WEEKDAY(A74,3))</f>
        <v/>
      </c>
      <c r="O74" s="39">
        <f>IF(A74="","",SUMIFS($H$6:H74,$N$6:N74,N74))</f>
        <v/>
      </c>
      <c r="P74" s="58">
        <f>IF(A74="","",IFERROR(COUNTIFS(TL_Date,A74,TL_Followed,"Y")/C74,0))</f>
        <v/>
      </c>
      <c r="Q74" s="28">
        <f>IF(A74="","",COUNTIFS(TL_Date,A74,TL_Followed,"N"))</f>
        <v/>
      </c>
      <c r="R74" s="28">
        <f>IF(A74="","",_xlfn.MAXIFS(TL_Lots,TL_Date,A74))</f>
        <v/>
      </c>
      <c r="S74" s="39">
        <f>IF(A74="","",SUMIFS(TL_GiveBack,TL_Date,A74))</f>
        <v/>
      </c>
      <c r="T74" s="28">
        <f>IF(A74="","",COUNTIFS(TL_Date,A74,TL_ExpBreach,"BREACH"))</f>
        <v/>
      </c>
      <c r="U74" s="5">
        <f>IF(A74="","",IF(H74&lt;=-DailyLossLimit,"BREACH","OK"))</f>
        <v/>
      </c>
      <c r="V74" s="5">
        <f>IF(A74="","",IF(C74&gt;MaxTradesDay,"BREACH","OK"))</f>
        <v/>
      </c>
      <c r="W74" s="5">
        <f>IF(A74="","",IF(O74&lt;=-WeeklyDDLimit,"BREACH","OK"))</f>
        <v/>
      </c>
      <c r="X74" s="5">
        <f>IF(A74="","",IF(OR(U74="BREACH",V74="BREACH",W74="BREACH",T74&gt;0,R74&gt;MaxLots),"LIMIT BROKEN","OK"))</f>
        <v/>
      </c>
    </row>
    <row r="75">
      <c r="A75" s="57">
        <f>IF(A74="","",IFERROR(SMALL(TL_Date,COUNTIF(TL_Date,"&lt;="&amp;A74)+1),""))</f>
        <v/>
      </c>
      <c r="B75" s="5">
        <f>IF(A75="","",TEXT(A75,"ddd"))</f>
        <v/>
      </c>
      <c r="C75" s="28">
        <f>IF(A75="","",COUNTIF(TL_Date,A75))</f>
        <v/>
      </c>
      <c r="D75" s="28">
        <f>IF(A75="","",COUNTIFS(TL_Date,A75,TL_Net,"&gt;0"))</f>
        <v/>
      </c>
      <c r="E75" s="28">
        <f>IF(A75="","",COUNTIFS(TL_Date,A75,TL_Net,"&lt;0"))</f>
        <v/>
      </c>
      <c r="F75" s="39">
        <f>IF(A75="","",SUMIFS(TL_Gross,TL_Date,A75))</f>
        <v/>
      </c>
      <c r="G75" s="39">
        <f>IF(A75="","",SUMIFS(TL_Chg,TL_Date,A75))</f>
        <v/>
      </c>
      <c r="H75" s="39">
        <f>IF(A75="","",SUMIFS(TL_Net,TL_Date,A75))</f>
        <v/>
      </c>
      <c r="I75" s="39">
        <f>IF(A75="","",SUM($H$6:H75))</f>
        <v/>
      </c>
      <c r="J75" s="39">
        <f>IF(A75="","",Capital+I75)</f>
        <v/>
      </c>
      <c r="K75" s="39">
        <f>IF(A75="","",MAX(Capital,MAX($J$6:J75)))</f>
        <v/>
      </c>
      <c r="L75" s="39">
        <f>IF(A75="","",K75-J75)</f>
        <v/>
      </c>
      <c r="M75" s="58">
        <f>IF(A75="","",L75/K75)</f>
        <v/>
      </c>
      <c r="N75" s="57">
        <f>IF(A75="","",A75-WEEKDAY(A75,3))</f>
        <v/>
      </c>
      <c r="O75" s="39">
        <f>IF(A75="","",SUMIFS($H$6:H75,$N$6:N75,N75))</f>
        <v/>
      </c>
      <c r="P75" s="58">
        <f>IF(A75="","",IFERROR(COUNTIFS(TL_Date,A75,TL_Followed,"Y")/C75,0))</f>
        <v/>
      </c>
      <c r="Q75" s="28">
        <f>IF(A75="","",COUNTIFS(TL_Date,A75,TL_Followed,"N"))</f>
        <v/>
      </c>
      <c r="R75" s="28">
        <f>IF(A75="","",_xlfn.MAXIFS(TL_Lots,TL_Date,A75))</f>
        <v/>
      </c>
      <c r="S75" s="39">
        <f>IF(A75="","",SUMIFS(TL_GiveBack,TL_Date,A75))</f>
        <v/>
      </c>
      <c r="T75" s="28">
        <f>IF(A75="","",COUNTIFS(TL_Date,A75,TL_ExpBreach,"BREACH"))</f>
        <v/>
      </c>
      <c r="U75" s="5">
        <f>IF(A75="","",IF(H75&lt;=-DailyLossLimit,"BREACH","OK"))</f>
        <v/>
      </c>
      <c r="V75" s="5">
        <f>IF(A75="","",IF(C75&gt;MaxTradesDay,"BREACH","OK"))</f>
        <v/>
      </c>
      <c r="W75" s="5">
        <f>IF(A75="","",IF(O75&lt;=-WeeklyDDLimit,"BREACH","OK"))</f>
        <v/>
      </c>
      <c r="X75" s="5">
        <f>IF(A75="","",IF(OR(U75="BREACH",V75="BREACH",W75="BREACH",T75&gt;0,R75&gt;MaxLots),"LIMIT BROKEN","OK"))</f>
        <v/>
      </c>
    </row>
    <row r="76">
      <c r="A76" s="57">
        <f>IF(A75="","",IFERROR(SMALL(TL_Date,COUNTIF(TL_Date,"&lt;="&amp;A75)+1),""))</f>
        <v/>
      </c>
      <c r="B76" s="5">
        <f>IF(A76="","",TEXT(A76,"ddd"))</f>
        <v/>
      </c>
      <c r="C76" s="28">
        <f>IF(A76="","",COUNTIF(TL_Date,A76))</f>
        <v/>
      </c>
      <c r="D76" s="28">
        <f>IF(A76="","",COUNTIFS(TL_Date,A76,TL_Net,"&gt;0"))</f>
        <v/>
      </c>
      <c r="E76" s="28">
        <f>IF(A76="","",COUNTIFS(TL_Date,A76,TL_Net,"&lt;0"))</f>
        <v/>
      </c>
      <c r="F76" s="39">
        <f>IF(A76="","",SUMIFS(TL_Gross,TL_Date,A76))</f>
        <v/>
      </c>
      <c r="G76" s="39">
        <f>IF(A76="","",SUMIFS(TL_Chg,TL_Date,A76))</f>
        <v/>
      </c>
      <c r="H76" s="39">
        <f>IF(A76="","",SUMIFS(TL_Net,TL_Date,A76))</f>
        <v/>
      </c>
      <c r="I76" s="39">
        <f>IF(A76="","",SUM($H$6:H76))</f>
        <v/>
      </c>
      <c r="J76" s="39">
        <f>IF(A76="","",Capital+I76)</f>
        <v/>
      </c>
      <c r="K76" s="39">
        <f>IF(A76="","",MAX(Capital,MAX($J$6:J76)))</f>
        <v/>
      </c>
      <c r="L76" s="39">
        <f>IF(A76="","",K76-J76)</f>
        <v/>
      </c>
      <c r="M76" s="58">
        <f>IF(A76="","",L76/K76)</f>
        <v/>
      </c>
      <c r="N76" s="57">
        <f>IF(A76="","",A76-WEEKDAY(A76,3))</f>
        <v/>
      </c>
      <c r="O76" s="39">
        <f>IF(A76="","",SUMIFS($H$6:H76,$N$6:N76,N76))</f>
        <v/>
      </c>
      <c r="P76" s="58">
        <f>IF(A76="","",IFERROR(COUNTIFS(TL_Date,A76,TL_Followed,"Y")/C76,0))</f>
        <v/>
      </c>
      <c r="Q76" s="28">
        <f>IF(A76="","",COUNTIFS(TL_Date,A76,TL_Followed,"N"))</f>
        <v/>
      </c>
      <c r="R76" s="28">
        <f>IF(A76="","",_xlfn.MAXIFS(TL_Lots,TL_Date,A76))</f>
        <v/>
      </c>
      <c r="S76" s="39">
        <f>IF(A76="","",SUMIFS(TL_GiveBack,TL_Date,A76))</f>
        <v/>
      </c>
      <c r="T76" s="28">
        <f>IF(A76="","",COUNTIFS(TL_Date,A76,TL_ExpBreach,"BREACH"))</f>
        <v/>
      </c>
      <c r="U76" s="5">
        <f>IF(A76="","",IF(H76&lt;=-DailyLossLimit,"BREACH","OK"))</f>
        <v/>
      </c>
      <c r="V76" s="5">
        <f>IF(A76="","",IF(C76&gt;MaxTradesDay,"BREACH","OK"))</f>
        <v/>
      </c>
      <c r="W76" s="5">
        <f>IF(A76="","",IF(O76&lt;=-WeeklyDDLimit,"BREACH","OK"))</f>
        <v/>
      </c>
      <c r="X76" s="5">
        <f>IF(A76="","",IF(OR(U76="BREACH",V76="BREACH",W76="BREACH",T76&gt;0,R76&gt;MaxLots),"LIMIT BROKEN","OK"))</f>
        <v/>
      </c>
    </row>
    <row r="77">
      <c r="A77" s="57">
        <f>IF(A76="","",IFERROR(SMALL(TL_Date,COUNTIF(TL_Date,"&lt;="&amp;A76)+1),""))</f>
        <v/>
      </c>
      <c r="B77" s="5">
        <f>IF(A77="","",TEXT(A77,"ddd"))</f>
        <v/>
      </c>
      <c r="C77" s="28">
        <f>IF(A77="","",COUNTIF(TL_Date,A77))</f>
        <v/>
      </c>
      <c r="D77" s="28">
        <f>IF(A77="","",COUNTIFS(TL_Date,A77,TL_Net,"&gt;0"))</f>
        <v/>
      </c>
      <c r="E77" s="28">
        <f>IF(A77="","",COUNTIFS(TL_Date,A77,TL_Net,"&lt;0"))</f>
        <v/>
      </c>
      <c r="F77" s="39">
        <f>IF(A77="","",SUMIFS(TL_Gross,TL_Date,A77))</f>
        <v/>
      </c>
      <c r="G77" s="39">
        <f>IF(A77="","",SUMIFS(TL_Chg,TL_Date,A77))</f>
        <v/>
      </c>
      <c r="H77" s="39">
        <f>IF(A77="","",SUMIFS(TL_Net,TL_Date,A77))</f>
        <v/>
      </c>
      <c r="I77" s="39">
        <f>IF(A77="","",SUM($H$6:H77))</f>
        <v/>
      </c>
      <c r="J77" s="39">
        <f>IF(A77="","",Capital+I77)</f>
        <v/>
      </c>
      <c r="K77" s="39">
        <f>IF(A77="","",MAX(Capital,MAX($J$6:J77)))</f>
        <v/>
      </c>
      <c r="L77" s="39">
        <f>IF(A77="","",K77-J77)</f>
        <v/>
      </c>
      <c r="M77" s="58">
        <f>IF(A77="","",L77/K77)</f>
        <v/>
      </c>
      <c r="N77" s="57">
        <f>IF(A77="","",A77-WEEKDAY(A77,3))</f>
        <v/>
      </c>
      <c r="O77" s="39">
        <f>IF(A77="","",SUMIFS($H$6:H77,$N$6:N77,N77))</f>
        <v/>
      </c>
      <c r="P77" s="58">
        <f>IF(A77="","",IFERROR(COUNTIFS(TL_Date,A77,TL_Followed,"Y")/C77,0))</f>
        <v/>
      </c>
      <c r="Q77" s="28">
        <f>IF(A77="","",COUNTIFS(TL_Date,A77,TL_Followed,"N"))</f>
        <v/>
      </c>
      <c r="R77" s="28">
        <f>IF(A77="","",_xlfn.MAXIFS(TL_Lots,TL_Date,A77))</f>
        <v/>
      </c>
      <c r="S77" s="39">
        <f>IF(A77="","",SUMIFS(TL_GiveBack,TL_Date,A77))</f>
        <v/>
      </c>
      <c r="T77" s="28">
        <f>IF(A77="","",COUNTIFS(TL_Date,A77,TL_ExpBreach,"BREACH"))</f>
        <v/>
      </c>
      <c r="U77" s="5">
        <f>IF(A77="","",IF(H77&lt;=-DailyLossLimit,"BREACH","OK"))</f>
        <v/>
      </c>
      <c r="V77" s="5">
        <f>IF(A77="","",IF(C77&gt;MaxTradesDay,"BREACH","OK"))</f>
        <v/>
      </c>
      <c r="W77" s="5">
        <f>IF(A77="","",IF(O77&lt;=-WeeklyDDLimit,"BREACH","OK"))</f>
        <v/>
      </c>
      <c r="X77" s="5">
        <f>IF(A77="","",IF(OR(U77="BREACH",V77="BREACH",W77="BREACH",T77&gt;0,R77&gt;MaxLots),"LIMIT BROKEN","OK"))</f>
        <v/>
      </c>
    </row>
    <row r="78">
      <c r="A78" s="57">
        <f>IF(A77="","",IFERROR(SMALL(TL_Date,COUNTIF(TL_Date,"&lt;="&amp;A77)+1),""))</f>
        <v/>
      </c>
      <c r="B78" s="5">
        <f>IF(A78="","",TEXT(A78,"ddd"))</f>
        <v/>
      </c>
      <c r="C78" s="28">
        <f>IF(A78="","",COUNTIF(TL_Date,A78))</f>
        <v/>
      </c>
      <c r="D78" s="28">
        <f>IF(A78="","",COUNTIFS(TL_Date,A78,TL_Net,"&gt;0"))</f>
        <v/>
      </c>
      <c r="E78" s="28">
        <f>IF(A78="","",COUNTIFS(TL_Date,A78,TL_Net,"&lt;0"))</f>
        <v/>
      </c>
      <c r="F78" s="39">
        <f>IF(A78="","",SUMIFS(TL_Gross,TL_Date,A78))</f>
        <v/>
      </c>
      <c r="G78" s="39">
        <f>IF(A78="","",SUMIFS(TL_Chg,TL_Date,A78))</f>
        <v/>
      </c>
      <c r="H78" s="39">
        <f>IF(A78="","",SUMIFS(TL_Net,TL_Date,A78))</f>
        <v/>
      </c>
      <c r="I78" s="39">
        <f>IF(A78="","",SUM($H$6:H78))</f>
        <v/>
      </c>
      <c r="J78" s="39">
        <f>IF(A78="","",Capital+I78)</f>
        <v/>
      </c>
      <c r="K78" s="39">
        <f>IF(A78="","",MAX(Capital,MAX($J$6:J78)))</f>
        <v/>
      </c>
      <c r="L78" s="39">
        <f>IF(A78="","",K78-J78)</f>
        <v/>
      </c>
      <c r="M78" s="58">
        <f>IF(A78="","",L78/K78)</f>
        <v/>
      </c>
      <c r="N78" s="57">
        <f>IF(A78="","",A78-WEEKDAY(A78,3))</f>
        <v/>
      </c>
      <c r="O78" s="39">
        <f>IF(A78="","",SUMIFS($H$6:H78,$N$6:N78,N78))</f>
        <v/>
      </c>
      <c r="P78" s="58">
        <f>IF(A78="","",IFERROR(COUNTIFS(TL_Date,A78,TL_Followed,"Y")/C78,0))</f>
        <v/>
      </c>
      <c r="Q78" s="28">
        <f>IF(A78="","",COUNTIFS(TL_Date,A78,TL_Followed,"N"))</f>
        <v/>
      </c>
      <c r="R78" s="28">
        <f>IF(A78="","",_xlfn.MAXIFS(TL_Lots,TL_Date,A78))</f>
        <v/>
      </c>
      <c r="S78" s="39">
        <f>IF(A78="","",SUMIFS(TL_GiveBack,TL_Date,A78))</f>
        <v/>
      </c>
      <c r="T78" s="28">
        <f>IF(A78="","",COUNTIFS(TL_Date,A78,TL_ExpBreach,"BREACH"))</f>
        <v/>
      </c>
      <c r="U78" s="5">
        <f>IF(A78="","",IF(H78&lt;=-DailyLossLimit,"BREACH","OK"))</f>
        <v/>
      </c>
      <c r="V78" s="5">
        <f>IF(A78="","",IF(C78&gt;MaxTradesDay,"BREACH","OK"))</f>
        <v/>
      </c>
      <c r="W78" s="5">
        <f>IF(A78="","",IF(O78&lt;=-WeeklyDDLimit,"BREACH","OK"))</f>
        <v/>
      </c>
      <c r="X78" s="5">
        <f>IF(A78="","",IF(OR(U78="BREACH",V78="BREACH",W78="BREACH",T78&gt;0,R78&gt;MaxLots),"LIMIT BROKEN","OK"))</f>
        <v/>
      </c>
    </row>
    <row r="79">
      <c r="A79" s="57">
        <f>IF(A78="","",IFERROR(SMALL(TL_Date,COUNTIF(TL_Date,"&lt;="&amp;A78)+1),""))</f>
        <v/>
      </c>
      <c r="B79" s="5">
        <f>IF(A79="","",TEXT(A79,"ddd"))</f>
        <v/>
      </c>
      <c r="C79" s="28">
        <f>IF(A79="","",COUNTIF(TL_Date,A79))</f>
        <v/>
      </c>
      <c r="D79" s="28">
        <f>IF(A79="","",COUNTIFS(TL_Date,A79,TL_Net,"&gt;0"))</f>
        <v/>
      </c>
      <c r="E79" s="28">
        <f>IF(A79="","",COUNTIFS(TL_Date,A79,TL_Net,"&lt;0"))</f>
        <v/>
      </c>
      <c r="F79" s="39">
        <f>IF(A79="","",SUMIFS(TL_Gross,TL_Date,A79))</f>
        <v/>
      </c>
      <c r="G79" s="39">
        <f>IF(A79="","",SUMIFS(TL_Chg,TL_Date,A79))</f>
        <v/>
      </c>
      <c r="H79" s="39">
        <f>IF(A79="","",SUMIFS(TL_Net,TL_Date,A79))</f>
        <v/>
      </c>
      <c r="I79" s="39">
        <f>IF(A79="","",SUM($H$6:H79))</f>
        <v/>
      </c>
      <c r="J79" s="39">
        <f>IF(A79="","",Capital+I79)</f>
        <v/>
      </c>
      <c r="K79" s="39">
        <f>IF(A79="","",MAX(Capital,MAX($J$6:J79)))</f>
        <v/>
      </c>
      <c r="L79" s="39">
        <f>IF(A79="","",K79-J79)</f>
        <v/>
      </c>
      <c r="M79" s="58">
        <f>IF(A79="","",L79/K79)</f>
        <v/>
      </c>
      <c r="N79" s="57">
        <f>IF(A79="","",A79-WEEKDAY(A79,3))</f>
        <v/>
      </c>
      <c r="O79" s="39">
        <f>IF(A79="","",SUMIFS($H$6:H79,$N$6:N79,N79))</f>
        <v/>
      </c>
      <c r="P79" s="58">
        <f>IF(A79="","",IFERROR(COUNTIFS(TL_Date,A79,TL_Followed,"Y")/C79,0))</f>
        <v/>
      </c>
      <c r="Q79" s="28">
        <f>IF(A79="","",COUNTIFS(TL_Date,A79,TL_Followed,"N"))</f>
        <v/>
      </c>
      <c r="R79" s="28">
        <f>IF(A79="","",_xlfn.MAXIFS(TL_Lots,TL_Date,A79))</f>
        <v/>
      </c>
      <c r="S79" s="39">
        <f>IF(A79="","",SUMIFS(TL_GiveBack,TL_Date,A79))</f>
        <v/>
      </c>
      <c r="T79" s="28">
        <f>IF(A79="","",COUNTIFS(TL_Date,A79,TL_ExpBreach,"BREACH"))</f>
        <v/>
      </c>
      <c r="U79" s="5">
        <f>IF(A79="","",IF(H79&lt;=-DailyLossLimit,"BREACH","OK"))</f>
        <v/>
      </c>
      <c r="V79" s="5">
        <f>IF(A79="","",IF(C79&gt;MaxTradesDay,"BREACH","OK"))</f>
        <v/>
      </c>
      <c r="W79" s="5">
        <f>IF(A79="","",IF(O79&lt;=-WeeklyDDLimit,"BREACH","OK"))</f>
        <v/>
      </c>
      <c r="X79" s="5">
        <f>IF(A79="","",IF(OR(U79="BREACH",V79="BREACH",W79="BREACH",T79&gt;0,R79&gt;MaxLots),"LIMIT BROKEN","OK"))</f>
        <v/>
      </c>
    </row>
    <row r="80">
      <c r="A80" s="57">
        <f>IF(A79="","",IFERROR(SMALL(TL_Date,COUNTIF(TL_Date,"&lt;="&amp;A79)+1),""))</f>
        <v/>
      </c>
      <c r="B80" s="5">
        <f>IF(A80="","",TEXT(A80,"ddd"))</f>
        <v/>
      </c>
      <c r="C80" s="28">
        <f>IF(A80="","",COUNTIF(TL_Date,A80))</f>
        <v/>
      </c>
      <c r="D80" s="28">
        <f>IF(A80="","",COUNTIFS(TL_Date,A80,TL_Net,"&gt;0"))</f>
        <v/>
      </c>
      <c r="E80" s="28">
        <f>IF(A80="","",COUNTIFS(TL_Date,A80,TL_Net,"&lt;0"))</f>
        <v/>
      </c>
      <c r="F80" s="39">
        <f>IF(A80="","",SUMIFS(TL_Gross,TL_Date,A80))</f>
        <v/>
      </c>
      <c r="G80" s="39">
        <f>IF(A80="","",SUMIFS(TL_Chg,TL_Date,A80))</f>
        <v/>
      </c>
      <c r="H80" s="39">
        <f>IF(A80="","",SUMIFS(TL_Net,TL_Date,A80))</f>
        <v/>
      </c>
      <c r="I80" s="39">
        <f>IF(A80="","",SUM($H$6:H80))</f>
        <v/>
      </c>
      <c r="J80" s="39">
        <f>IF(A80="","",Capital+I80)</f>
        <v/>
      </c>
      <c r="K80" s="39">
        <f>IF(A80="","",MAX(Capital,MAX($J$6:J80)))</f>
        <v/>
      </c>
      <c r="L80" s="39">
        <f>IF(A80="","",K80-J80)</f>
        <v/>
      </c>
      <c r="M80" s="58">
        <f>IF(A80="","",L80/K80)</f>
        <v/>
      </c>
      <c r="N80" s="57">
        <f>IF(A80="","",A80-WEEKDAY(A80,3))</f>
        <v/>
      </c>
      <c r="O80" s="39">
        <f>IF(A80="","",SUMIFS($H$6:H80,$N$6:N80,N80))</f>
        <v/>
      </c>
      <c r="P80" s="58">
        <f>IF(A80="","",IFERROR(COUNTIFS(TL_Date,A80,TL_Followed,"Y")/C80,0))</f>
        <v/>
      </c>
      <c r="Q80" s="28">
        <f>IF(A80="","",COUNTIFS(TL_Date,A80,TL_Followed,"N"))</f>
        <v/>
      </c>
      <c r="R80" s="28">
        <f>IF(A80="","",_xlfn.MAXIFS(TL_Lots,TL_Date,A80))</f>
        <v/>
      </c>
      <c r="S80" s="39">
        <f>IF(A80="","",SUMIFS(TL_GiveBack,TL_Date,A80))</f>
        <v/>
      </c>
      <c r="T80" s="28">
        <f>IF(A80="","",COUNTIFS(TL_Date,A80,TL_ExpBreach,"BREACH"))</f>
        <v/>
      </c>
      <c r="U80" s="5">
        <f>IF(A80="","",IF(H80&lt;=-DailyLossLimit,"BREACH","OK"))</f>
        <v/>
      </c>
      <c r="V80" s="5">
        <f>IF(A80="","",IF(C80&gt;MaxTradesDay,"BREACH","OK"))</f>
        <v/>
      </c>
      <c r="W80" s="5">
        <f>IF(A80="","",IF(O80&lt;=-WeeklyDDLimit,"BREACH","OK"))</f>
        <v/>
      </c>
      <c r="X80" s="5">
        <f>IF(A80="","",IF(OR(U80="BREACH",V80="BREACH",W80="BREACH",T80&gt;0,R80&gt;MaxLots),"LIMIT BROKEN","OK"))</f>
        <v/>
      </c>
    </row>
    <row r="81">
      <c r="A81" s="57">
        <f>IF(A80="","",IFERROR(SMALL(TL_Date,COUNTIF(TL_Date,"&lt;="&amp;A80)+1),""))</f>
        <v/>
      </c>
      <c r="B81" s="5">
        <f>IF(A81="","",TEXT(A81,"ddd"))</f>
        <v/>
      </c>
      <c r="C81" s="28">
        <f>IF(A81="","",COUNTIF(TL_Date,A81))</f>
        <v/>
      </c>
      <c r="D81" s="28">
        <f>IF(A81="","",COUNTIFS(TL_Date,A81,TL_Net,"&gt;0"))</f>
        <v/>
      </c>
      <c r="E81" s="28">
        <f>IF(A81="","",COUNTIFS(TL_Date,A81,TL_Net,"&lt;0"))</f>
        <v/>
      </c>
      <c r="F81" s="39">
        <f>IF(A81="","",SUMIFS(TL_Gross,TL_Date,A81))</f>
        <v/>
      </c>
      <c r="G81" s="39">
        <f>IF(A81="","",SUMIFS(TL_Chg,TL_Date,A81))</f>
        <v/>
      </c>
      <c r="H81" s="39">
        <f>IF(A81="","",SUMIFS(TL_Net,TL_Date,A81))</f>
        <v/>
      </c>
      <c r="I81" s="39">
        <f>IF(A81="","",SUM($H$6:H81))</f>
        <v/>
      </c>
      <c r="J81" s="39">
        <f>IF(A81="","",Capital+I81)</f>
        <v/>
      </c>
      <c r="K81" s="39">
        <f>IF(A81="","",MAX(Capital,MAX($J$6:J81)))</f>
        <v/>
      </c>
      <c r="L81" s="39">
        <f>IF(A81="","",K81-J81)</f>
        <v/>
      </c>
      <c r="M81" s="58">
        <f>IF(A81="","",L81/K81)</f>
        <v/>
      </c>
      <c r="N81" s="57">
        <f>IF(A81="","",A81-WEEKDAY(A81,3))</f>
        <v/>
      </c>
      <c r="O81" s="39">
        <f>IF(A81="","",SUMIFS($H$6:H81,$N$6:N81,N81))</f>
        <v/>
      </c>
      <c r="P81" s="58">
        <f>IF(A81="","",IFERROR(COUNTIFS(TL_Date,A81,TL_Followed,"Y")/C81,0))</f>
        <v/>
      </c>
      <c r="Q81" s="28">
        <f>IF(A81="","",COUNTIFS(TL_Date,A81,TL_Followed,"N"))</f>
        <v/>
      </c>
      <c r="R81" s="28">
        <f>IF(A81="","",_xlfn.MAXIFS(TL_Lots,TL_Date,A81))</f>
        <v/>
      </c>
      <c r="S81" s="39">
        <f>IF(A81="","",SUMIFS(TL_GiveBack,TL_Date,A81))</f>
        <v/>
      </c>
      <c r="T81" s="28">
        <f>IF(A81="","",COUNTIFS(TL_Date,A81,TL_ExpBreach,"BREACH"))</f>
        <v/>
      </c>
      <c r="U81" s="5">
        <f>IF(A81="","",IF(H81&lt;=-DailyLossLimit,"BREACH","OK"))</f>
        <v/>
      </c>
      <c r="V81" s="5">
        <f>IF(A81="","",IF(C81&gt;MaxTradesDay,"BREACH","OK"))</f>
        <v/>
      </c>
      <c r="W81" s="5">
        <f>IF(A81="","",IF(O81&lt;=-WeeklyDDLimit,"BREACH","OK"))</f>
        <v/>
      </c>
      <c r="X81" s="5">
        <f>IF(A81="","",IF(OR(U81="BREACH",V81="BREACH",W81="BREACH",T81&gt;0,R81&gt;MaxLots),"LIMIT BROKEN","OK"))</f>
        <v/>
      </c>
    </row>
    <row r="82">
      <c r="A82" s="57">
        <f>IF(A81="","",IFERROR(SMALL(TL_Date,COUNTIF(TL_Date,"&lt;="&amp;A81)+1),""))</f>
        <v/>
      </c>
      <c r="B82" s="5">
        <f>IF(A82="","",TEXT(A82,"ddd"))</f>
        <v/>
      </c>
      <c r="C82" s="28">
        <f>IF(A82="","",COUNTIF(TL_Date,A82))</f>
        <v/>
      </c>
      <c r="D82" s="28">
        <f>IF(A82="","",COUNTIFS(TL_Date,A82,TL_Net,"&gt;0"))</f>
        <v/>
      </c>
      <c r="E82" s="28">
        <f>IF(A82="","",COUNTIFS(TL_Date,A82,TL_Net,"&lt;0"))</f>
        <v/>
      </c>
      <c r="F82" s="39">
        <f>IF(A82="","",SUMIFS(TL_Gross,TL_Date,A82))</f>
        <v/>
      </c>
      <c r="G82" s="39">
        <f>IF(A82="","",SUMIFS(TL_Chg,TL_Date,A82))</f>
        <v/>
      </c>
      <c r="H82" s="39">
        <f>IF(A82="","",SUMIFS(TL_Net,TL_Date,A82))</f>
        <v/>
      </c>
      <c r="I82" s="39">
        <f>IF(A82="","",SUM($H$6:H82))</f>
        <v/>
      </c>
      <c r="J82" s="39">
        <f>IF(A82="","",Capital+I82)</f>
        <v/>
      </c>
      <c r="K82" s="39">
        <f>IF(A82="","",MAX(Capital,MAX($J$6:J82)))</f>
        <v/>
      </c>
      <c r="L82" s="39">
        <f>IF(A82="","",K82-J82)</f>
        <v/>
      </c>
      <c r="M82" s="58">
        <f>IF(A82="","",L82/K82)</f>
        <v/>
      </c>
      <c r="N82" s="57">
        <f>IF(A82="","",A82-WEEKDAY(A82,3))</f>
        <v/>
      </c>
      <c r="O82" s="39">
        <f>IF(A82="","",SUMIFS($H$6:H82,$N$6:N82,N82))</f>
        <v/>
      </c>
      <c r="P82" s="58">
        <f>IF(A82="","",IFERROR(COUNTIFS(TL_Date,A82,TL_Followed,"Y")/C82,0))</f>
        <v/>
      </c>
      <c r="Q82" s="28">
        <f>IF(A82="","",COUNTIFS(TL_Date,A82,TL_Followed,"N"))</f>
        <v/>
      </c>
      <c r="R82" s="28">
        <f>IF(A82="","",_xlfn.MAXIFS(TL_Lots,TL_Date,A82))</f>
        <v/>
      </c>
      <c r="S82" s="39">
        <f>IF(A82="","",SUMIFS(TL_GiveBack,TL_Date,A82))</f>
        <v/>
      </c>
      <c r="T82" s="28">
        <f>IF(A82="","",COUNTIFS(TL_Date,A82,TL_ExpBreach,"BREACH"))</f>
        <v/>
      </c>
      <c r="U82" s="5">
        <f>IF(A82="","",IF(H82&lt;=-DailyLossLimit,"BREACH","OK"))</f>
        <v/>
      </c>
      <c r="V82" s="5">
        <f>IF(A82="","",IF(C82&gt;MaxTradesDay,"BREACH","OK"))</f>
        <v/>
      </c>
      <c r="W82" s="5">
        <f>IF(A82="","",IF(O82&lt;=-WeeklyDDLimit,"BREACH","OK"))</f>
        <v/>
      </c>
      <c r="X82" s="5">
        <f>IF(A82="","",IF(OR(U82="BREACH",V82="BREACH",W82="BREACH",T82&gt;0,R82&gt;MaxLots),"LIMIT BROKEN","OK"))</f>
        <v/>
      </c>
    </row>
    <row r="83">
      <c r="A83" s="57">
        <f>IF(A82="","",IFERROR(SMALL(TL_Date,COUNTIF(TL_Date,"&lt;="&amp;A82)+1),""))</f>
        <v/>
      </c>
      <c r="B83" s="5">
        <f>IF(A83="","",TEXT(A83,"ddd"))</f>
        <v/>
      </c>
      <c r="C83" s="28">
        <f>IF(A83="","",COUNTIF(TL_Date,A83))</f>
        <v/>
      </c>
      <c r="D83" s="28">
        <f>IF(A83="","",COUNTIFS(TL_Date,A83,TL_Net,"&gt;0"))</f>
        <v/>
      </c>
      <c r="E83" s="28">
        <f>IF(A83="","",COUNTIFS(TL_Date,A83,TL_Net,"&lt;0"))</f>
        <v/>
      </c>
      <c r="F83" s="39">
        <f>IF(A83="","",SUMIFS(TL_Gross,TL_Date,A83))</f>
        <v/>
      </c>
      <c r="G83" s="39">
        <f>IF(A83="","",SUMIFS(TL_Chg,TL_Date,A83))</f>
        <v/>
      </c>
      <c r="H83" s="39">
        <f>IF(A83="","",SUMIFS(TL_Net,TL_Date,A83))</f>
        <v/>
      </c>
      <c r="I83" s="39">
        <f>IF(A83="","",SUM($H$6:H83))</f>
        <v/>
      </c>
      <c r="J83" s="39">
        <f>IF(A83="","",Capital+I83)</f>
        <v/>
      </c>
      <c r="K83" s="39">
        <f>IF(A83="","",MAX(Capital,MAX($J$6:J83)))</f>
        <v/>
      </c>
      <c r="L83" s="39">
        <f>IF(A83="","",K83-J83)</f>
        <v/>
      </c>
      <c r="M83" s="58">
        <f>IF(A83="","",L83/K83)</f>
        <v/>
      </c>
      <c r="N83" s="57">
        <f>IF(A83="","",A83-WEEKDAY(A83,3))</f>
        <v/>
      </c>
      <c r="O83" s="39">
        <f>IF(A83="","",SUMIFS($H$6:H83,$N$6:N83,N83))</f>
        <v/>
      </c>
      <c r="P83" s="58">
        <f>IF(A83="","",IFERROR(COUNTIFS(TL_Date,A83,TL_Followed,"Y")/C83,0))</f>
        <v/>
      </c>
      <c r="Q83" s="28">
        <f>IF(A83="","",COUNTIFS(TL_Date,A83,TL_Followed,"N"))</f>
        <v/>
      </c>
      <c r="R83" s="28">
        <f>IF(A83="","",_xlfn.MAXIFS(TL_Lots,TL_Date,A83))</f>
        <v/>
      </c>
      <c r="S83" s="39">
        <f>IF(A83="","",SUMIFS(TL_GiveBack,TL_Date,A83))</f>
        <v/>
      </c>
      <c r="T83" s="28">
        <f>IF(A83="","",COUNTIFS(TL_Date,A83,TL_ExpBreach,"BREACH"))</f>
        <v/>
      </c>
      <c r="U83" s="5">
        <f>IF(A83="","",IF(H83&lt;=-DailyLossLimit,"BREACH","OK"))</f>
        <v/>
      </c>
      <c r="V83" s="5">
        <f>IF(A83="","",IF(C83&gt;MaxTradesDay,"BREACH","OK"))</f>
        <v/>
      </c>
      <c r="W83" s="5">
        <f>IF(A83="","",IF(O83&lt;=-WeeklyDDLimit,"BREACH","OK"))</f>
        <v/>
      </c>
      <c r="X83" s="5">
        <f>IF(A83="","",IF(OR(U83="BREACH",V83="BREACH",W83="BREACH",T83&gt;0,R83&gt;MaxLots),"LIMIT BROKEN","OK"))</f>
        <v/>
      </c>
    </row>
    <row r="84">
      <c r="A84" s="57">
        <f>IF(A83="","",IFERROR(SMALL(TL_Date,COUNTIF(TL_Date,"&lt;="&amp;A83)+1),""))</f>
        <v/>
      </c>
      <c r="B84" s="5">
        <f>IF(A84="","",TEXT(A84,"ddd"))</f>
        <v/>
      </c>
      <c r="C84" s="28">
        <f>IF(A84="","",COUNTIF(TL_Date,A84))</f>
        <v/>
      </c>
      <c r="D84" s="28">
        <f>IF(A84="","",COUNTIFS(TL_Date,A84,TL_Net,"&gt;0"))</f>
        <v/>
      </c>
      <c r="E84" s="28">
        <f>IF(A84="","",COUNTIFS(TL_Date,A84,TL_Net,"&lt;0"))</f>
        <v/>
      </c>
      <c r="F84" s="39">
        <f>IF(A84="","",SUMIFS(TL_Gross,TL_Date,A84))</f>
        <v/>
      </c>
      <c r="G84" s="39">
        <f>IF(A84="","",SUMIFS(TL_Chg,TL_Date,A84))</f>
        <v/>
      </c>
      <c r="H84" s="39">
        <f>IF(A84="","",SUMIFS(TL_Net,TL_Date,A84))</f>
        <v/>
      </c>
      <c r="I84" s="39">
        <f>IF(A84="","",SUM($H$6:H84))</f>
        <v/>
      </c>
      <c r="J84" s="39">
        <f>IF(A84="","",Capital+I84)</f>
        <v/>
      </c>
      <c r="K84" s="39">
        <f>IF(A84="","",MAX(Capital,MAX($J$6:J84)))</f>
        <v/>
      </c>
      <c r="L84" s="39">
        <f>IF(A84="","",K84-J84)</f>
        <v/>
      </c>
      <c r="M84" s="58">
        <f>IF(A84="","",L84/K84)</f>
        <v/>
      </c>
      <c r="N84" s="57">
        <f>IF(A84="","",A84-WEEKDAY(A84,3))</f>
        <v/>
      </c>
      <c r="O84" s="39">
        <f>IF(A84="","",SUMIFS($H$6:H84,$N$6:N84,N84))</f>
        <v/>
      </c>
      <c r="P84" s="58">
        <f>IF(A84="","",IFERROR(COUNTIFS(TL_Date,A84,TL_Followed,"Y")/C84,0))</f>
        <v/>
      </c>
      <c r="Q84" s="28">
        <f>IF(A84="","",COUNTIFS(TL_Date,A84,TL_Followed,"N"))</f>
        <v/>
      </c>
      <c r="R84" s="28">
        <f>IF(A84="","",_xlfn.MAXIFS(TL_Lots,TL_Date,A84))</f>
        <v/>
      </c>
      <c r="S84" s="39">
        <f>IF(A84="","",SUMIFS(TL_GiveBack,TL_Date,A84))</f>
        <v/>
      </c>
      <c r="T84" s="28">
        <f>IF(A84="","",COUNTIFS(TL_Date,A84,TL_ExpBreach,"BREACH"))</f>
        <v/>
      </c>
      <c r="U84" s="5">
        <f>IF(A84="","",IF(H84&lt;=-DailyLossLimit,"BREACH","OK"))</f>
        <v/>
      </c>
      <c r="V84" s="5">
        <f>IF(A84="","",IF(C84&gt;MaxTradesDay,"BREACH","OK"))</f>
        <v/>
      </c>
      <c r="W84" s="5">
        <f>IF(A84="","",IF(O84&lt;=-WeeklyDDLimit,"BREACH","OK"))</f>
        <v/>
      </c>
      <c r="X84" s="5">
        <f>IF(A84="","",IF(OR(U84="BREACH",V84="BREACH",W84="BREACH",T84&gt;0,R84&gt;MaxLots),"LIMIT BROKEN","OK"))</f>
        <v/>
      </c>
    </row>
    <row r="85">
      <c r="A85" s="57">
        <f>IF(A84="","",IFERROR(SMALL(TL_Date,COUNTIF(TL_Date,"&lt;="&amp;A84)+1),""))</f>
        <v/>
      </c>
      <c r="B85" s="5">
        <f>IF(A85="","",TEXT(A85,"ddd"))</f>
        <v/>
      </c>
      <c r="C85" s="28">
        <f>IF(A85="","",COUNTIF(TL_Date,A85))</f>
        <v/>
      </c>
      <c r="D85" s="28">
        <f>IF(A85="","",COUNTIFS(TL_Date,A85,TL_Net,"&gt;0"))</f>
        <v/>
      </c>
      <c r="E85" s="28">
        <f>IF(A85="","",COUNTIFS(TL_Date,A85,TL_Net,"&lt;0"))</f>
        <v/>
      </c>
      <c r="F85" s="39">
        <f>IF(A85="","",SUMIFS(TL_Gross,TL_Date,A85))</f>
        <v/>
      </c>
      <c r="G85" s="39">
        <f>IF(A85="","",SUMIFS(TL_Chg,TL_Date,A85))</f>
        <v/>
      </c>
      <c r="H85" s="39">
        <f>IF(A85="","",SUMIFS(TL_Net,TL_Date,A85))</f>
        <v/>
      </c>
      <c r="I85" s="39">
        <f>IF(A85="","",SUM($H$6:H85))</f>
        <v/>
      </c>
      <c r="J85" s="39">
        <f>IF(A85="","",Capital+I85)</f>
        <v/>
      </c>
      <c r="K85" s="39">
        <f>IF(A85="","",MAX(Capital,MAX($J$6:J85)))</f>
        <v/>
      </c>
      <c r="L85" s="39">
        <f>IF(A85="","",K85-J85)</f>
        <v/>
      </c>
      <c r="M85" s="58">
        <f>IF(A85="","",L85/K85)</f>
        <v/>
      </c>
      <c r="N85" s="57">
        <f>IF(A85="","",A85-WEEKDAY(A85,3))</f>
        <v/>
      </c>
      <c r="O85" s="39">
        <f>IF(A85="","",SUMIFS($H$6:H85,$N$6:N85,N85))</f>
        <v/>
      </c>
      <c r="P85" s="58">
        <f>IF(A85="","",IFERROR(COUNTIFS(TL_Date,A85,TL_Followed,"Y")/C85,0))</f>
        <v/>
      </c>
      <c r="Q85" s="28">
        <f>IF(A85="","",COUNTIFS(TL_Date,A85,TL_Followed,"N"))</f>
        <v/>
      </c>
      <c r="R85" s="28">
        <f>IF(A85="","",_xlfn.MAXIFS(TL_Lots,TL_Date,A85))</f>
        <v/>
      </c>
      <c r="S85" s="39">
        <f>IF(A85="","",SUMIFS(TL_GiveBack,TL_Date,A85))</f>
        <v/>
      </c>
      <c r="T85" s="28">
        <f>IF(A85="","",COUNTIFS(TL_Date,A85,TL_ExpBreach,"BREACH"))</f>
        <v/>
      </c>
      <c r="U85" s="5">
        <f>IF(A85="","",IF(H85&lt;=-DailyLossLimit,"BREACH","OK"))</f>
        <v/>
      </c>
      <c r="V85" s="5">
        <f>IF(A85="","",IF(C85&gt;MaxTradesDay,"BREACH","OK"))</f>
        <v/>
      </c>
      <c r="W85" s="5">
        <f>IF(A85="","",IF(O85&lt;=-WeeklyDDLimit,"BREACH","OK"))</f>
        <v/>
      </c>
      <c r="X85" s="5">
        <f>IF(A85="","",IF(OR(U85="BREACH",V85="BREACH",W85="BREACH",T85&gt;0,R85&gt;MaxLots),"LIMIT BROKEN","OK"))</f>
        <v/>
      </c>
    </row>
    <row r="86">
      <c r="A86" s="57">
        <f>IF(A85="","",IFERROR(SMALL(TL_Date,COUNTIF(TL_Date,"&lt;="&amp;A85)+1),""))</f>
        <v/>
      </c>
      <c r="B86" s="5">
        <f>IF(A86="","",TEXT(A86,"ddd"))</f>
        <v/>
      </c>
      <c r="C86" s="28">
        <f>IF(A86="","",COUNTIF(TL_Date,A86))</f>
        <v/>
      </c>
      <c r="D86" s="28">
        <f>IF(A86="","",COUNTIFS(TL_Date,A86,TL_Net,"&gt;0"))</f>
        <v/>
      </c>
      <c r="E86" s="28">
        <f>IF(A86="","",COUNTIFS(TL_Date,A86,TL_Net,"&lt;0"))</f>
        <v/>
      </c>
      <c r="F86" s="39">
        <f>IF(A86="","",SUMIFS(TL_Gross,TL_Date,A86))</f>
        <v/>
      </c>
      <c r="G86" s="39">
        <f>IF(A86="","",SUMIFS(TL_Chg,TL_Date,A86))</f>
        <v/>
      </c>
      <c r="H86" s="39">
        <f>IF(A86="","",SUMIFS(TL_Net,TL_Date,A86))</f>
        <v/>
      </c>
      <c r="I86" s="39">
        <f>IF(A86="","",SUM($H$6:H86))</f>
        <v/>
      </c>
      <c r="J86" s="39">
        <f>IF(A86="","",Capital+I86)</f>
        <v/>
      </c>
      <c r="K86" s="39">
        <f>IF(A86="","",MAX(Capital,MAX($J$6:J86)))</f>
        <v/>
      </c>
      <c r="L86" s="39">
        <f>IF(A86="","",K86-J86)</f>
        <v/>
      </c>
      <c r="M86" s="58">
        <f>IF(A86="","",L86/K86)</f>
        <v/>
      </c>
      <c r="N86" s="57">
        <f>IF(A86="","",A86-WEEKDAY(A86,3))</f>
        <v/>
      </c>
      <c r="O86" s="39">
        <f>IF(A86="","",SUMIFS($H$6:H86,$N$6:N86,N86))</f>
        <v/>
      </c>
      <c r="P86" s="58">
        <f>IF(A86="","",IFERROR(COUNTIFS(TL_Date,A86,TL_Followed,"Y")/C86,0))</f>
        <v/>
      </c>
      <c r="Q86" s="28">
        <f>IF(A86="","",COUNTIFS(TL_Date,A86,TL_Followed,"N"))</f>
        <v/>
      </c>
      <c r="R86" s="28">
        <f>IF(A86="","",_xlfn.MAXIFS(TL_Lots,TL_Date,A86))</f>
        <v/>
      </c>
      <c r="S86" s="39">
        <f>IF(A86="","",SUMIFS(TL_GiveBack,TL_Date,A86))</f>
        <v/>
      </c>
      <c r="T86" s="28">
        <f>IF(A86="","",COUNTIFS(TL_Date,A86,TL_ExpBreach,"BREACH"))</f>
        <v/>
      </c>
      <c r="U86" s="5">
        <f>IF(A86="","",IF(H86&lt;=-DailyLossLimit,"BREACH","OK"))</f>
        <v/>
      </c>
      <c r="V86" s="5">
        <f>IF(A86="","",IF(C86&gt;MaxTradesDay,"BREACH","OK"))</f>
        <v/>
      </c>
      <c r="W86" s="5">
        <f>IF(A86="","",IF(O86&lt;=-WeeklyDDLimit,"BREACH","OK"))</f>
        <v/>
      </c>
      <c r="X86" s="5">
        <f>IF(A86="","",IF(OR(U86="BREACH",V86="BREACH",W86="BREACH",T86&gt;0,R86&gt;MaxLots),"LIMIT BROKEN","OK"))</f>
        <v/>
      </c>
    </row>
    <row r="87">
      <c r="A87" s="57">
        <f>IF(A86="","",IFERROR(SMALL(TL_Date,COUNTIF(TL_Date,"&lt;="&amp;A86)+1),""))</f>
        <v/>
      </c>
      <c r="B87" s="5">
        <f>IF(A87="","",TEXT(A87,"ddd"))</f>
        <v/>
      </c>
      <c r="C87" s="28">
        <f>IF(A87="","",COUNTIF(TL_Date,A87))</f>
        <v/>
      </c>
      <c r="D87" s="28">
        <f>IF(A87="","",COUNTIFS(TL_Date,A87,TL_Net,"&gt;0"))</f>
        <v/>
      </c>
      <c r="E87" s="28">
        <f>IF(A87="","",COUNTIFS(TL_Date,A87,TL_Net,"&lt;0"))</f>
        <v/>
      </c>
      <c r="F87" s="39">
        <f>IF(A87="","",SUMIFS(TL_Gross,TL_Date,A87))</f>
        <v/>
      </c>
      <c r="G87" s="39">
        <f>IF(A87="","",SUMIFS(TL_Chg,TL_Date,A87))</f>
        <v/>
      </c>
      <c r="H87" s="39">
        <f>IF(A87="","",SUMIFS(TL_Net,TL_Date,A87))</f>
        <v/>
      </c>
      <c r="I87" s="39">
        <f>IF(A87="","",SUM($H$6:H87))</f>
        <v/>
      </c>
      <c r="J87" s="39">
        <f>IF(A87="","",Capital+I87)</f>
        <v/>
      </c>
      <c r="K87" s="39">
        <f>IF(A87="","",MAX(Capital,MAX($J$6:J87)))</f>
        <v/>
      </c>
      <c r="L87" s="39">
        <f>IF(A87="","",K87-J87)</f>
        <v/>
      </c>
      <c r="M87" s="58">
        <f>IF(A87="","",L87/K87)</f>
        <v/>
      </c>
      <c r="N87" s="57">
        <f>IF(A87="","",A87-WEEKDAY(A87,3))</f>
        <v/>
      </c>
      <c r="O87" s="39">
        <f>IF(A87="","",SUMIFS($H$6:H87,$N$6:N87,N87))</f>
        <v/>
      </c>
      <c r="P87" s="58">
        <f>IF(A87="","",IFERROR(COUNTIFS(TL_Date,A87,TL_Followed,"Y")/C87,0))</f>
        <v/>
      </c>
      <c r="Q87" s="28">
        <f>IF(A87="","",COUNTIFS(TL_Date,A87,TL_Followed,"N"))</f>
        <v/>
      </c>
      <c r="R87" s="28">
        <f>IF(A87="","",_xlfn.MAXIFS(TL_Lots,TL_Date,A87))</f>
        <v/>
      </c>
      <c r="S87" s="39">
        <f>IF(A87="","",SUMIFS(TL_GiveBack,TL_Date,A87))</f>
        <v/>
      </c>
      <c r="T87" s="28">
        <f>IF(A87="","",COUNTIFS(TL_Date,A87,TL_ExpBreach,"BREACH"))</f>
        <v/>
      </c>
      <c r="U87" s="5">
        <f>IF(A87="","",IF(H87&lt;=-DailyLossLimit,"BREACH","OK"))</f>
        <v/>
      </c>
      <c r="V87" s="5">
        <f>IF(A87="","",IF(C87&gt;MaxTradesDay,"BREACH","OK"))</f>
        <v/>
      </c>
      <c r="W87" s="5">
        <f>IF(A87="","",IF(O87&lt;=-WeeklyDDLimit,"BREACH","OK"))</f>
        <v/>
      </c>
      <c r="X87" s="5">
        <f>IF(A87="","",IF(OR(U87="BREACH",V87="BREACH",W87="BREACH",T87&gt;0,R87&gt;MaxLots),"LIMIT BROKEN","OK"))</f>
        <v/>
      </c>
    </row>
    <row r="88">
      <c r="A88" s="57">
        <f>IF(A87="","",IFERROR(SMALL(TL_Date,COUNTIF(TL_Date,"&lt;="&amp;A87)+1),""))</f>
        <v/>
      </c>
      <c r="B88" s="5">
        <f>IF(A88="","",TEXT(A88,"ddd"))</f>
        <v/>
      </c>
      <c r="C88" s="28">
        <f>IF(A88="","",COUNTIF(TL_Date,A88))</f>
        <v/>
      </c>
      <c r="D88" s="28">
        <f>IF(A88="","",COUNTIFS(TL_Date,A88,TL_Net,"&gt;0"))</f>
        <v/>
      </c>
      <c r="E88" s="28">
        <f>IF(A88="","",COUNTIFS(TL_Date,A88,TL_Net,"&lt;0"))</f>
        <v/>
      </c>
      <c r="F88" s="39">
        <f>IF(A88="","",SUMIFS(TL_Gross,TL_Date,A88))</f>
        <v/>
      </c>
      <c r="G88" s="39">
        <f>IF(A88="","",SUMIFS(TL_Chg,TL_Date,A88))</f>
        <v/>
      </c>
      <c r="H88" s="39">
        <f>IF(A88="","",SUMIFS(TL_Net,TL_Date,A88))</f>
        <v/>
      </c>
      <c r="I88" s="39">
        <f>IF(A88="","",SUM($H$6:H88))</f>
        <v/>
      </c>
      <c r="J88" s="39">
        <f>IF(A88="","",Capital+I88)</f>
        <v/>
      </c>
      <c r="K88" s="39">
        <f>IF(A88="","",MAX(Capital,MAX($J$6:J88)))</f>
        <v/>
      </c>
      <c r="L88" s="39">
        <f>IF(A88="","",K88-J88)</f>
        <v/>
      </c>
      <c r="M88" s="58">
        <f>IF(A88="","",L88/K88)</f>
        <v/>
      </c>
      <c r="N88" s="57">
        <f>IF(A88="","",A88-WEEKDAY(A88,3))</f>
        <v/>
      </c>
      <c r="O88" s="39">
        <f>IF(A88="","",SUMIFS($H$6:H88,$N$6:N88,N88))</f>
        <v/>
      </c>
      <c r="P88" s="58">
        <f>IF(A88="","",IFERROR(COUNTIFS(TL_Date,A88,TL_Followed,"Y")/C88,0))</f>
        <v/>
      </c>
      <c r="Q88" s="28">
        <f>IF(A88="","",COUNTIFS(TL_Date,A88,TL_Followed,"N"))</f>
        <v/>
      </c>
      <c r="R88" s="28">
        <f>IF(A88="","",_xlfn.MAXIFS(TL_Lots,TL_Date,A88))</f>
        <v/>
      </c>
      <c r="S88" s="39">
        <f>IF(A88="","",SUMIFS(TL_GiveBack,TL_Date,A88))</f>
        <v/>
      </c>
      <c r="T88" s="28">
        <f>IF(A88="","",COUNTIFS(TL_Date,A88,TL_ExpBreach,"BREACH"))</f>
        <v/>
      </c>
      <c r="U88" s="5">
        <f>IF(A88="","",IF(H88&lt;=-DailyLossLimit,"BREACH","OK"))</f>
        <v/>
      </c>
      <c r="V88" s="5">
        <f>IF(A88="","",IF(C88&gt;MaxTradesDay,"BREACH","OK"))</f>
        <v/>
      </c>
      <c r="W88" s="5">
        <f>IF(A88="","",IF(O88&lt;=-WeeklyDDLimit,"BREACH","OK"))</f>
        <v/>
      </c>
      <c r="X88" s="5">
        <f>IF(A88="","",IF(OR(U88="BREACH",V88="BREACH",W88="BREACH",T88&gt;0,R88&gt;MaxLots),"LIMIT BROKEN","OK"))</f>
        <v/>
      </c>
    </row>
    <row r="89">
      <c r="A89" s="57">
        <f>IF(A88="","",IFERROR(SMALL(TL_Date,COUNTIF(TL_Date,"&lt;="&amp;A88)+1),""))</f>
        <v/>
      </c>
      <c r="B89" s="5">
        <f>IF(A89="","",TEXT(A89,"ddd"))</f>
        <v/>
      </c>
      <c r="C89" s="28">
        <f>IF(A89="","",COUNTIF(TL_Date,A89))</f>
        <v/>
      </c>
      <c r="D89" s="28">
        <f>IF(A89="","",COUNTIFS(TL_Date,A89,TL_Net,"&gt;0"))</f>
        <v/>
      </c>
      <c r="E89" s="28">
        <f>IF(A89="","",COUNTIFS(TL_Date,A89,TL_Net,"&lt;0"))</f>
        <v/>
      </c>
      <c r="F89" s="39">
        <f>IF(A89="","",SUMIFS(TL_Gross,TL_Date,A89))</f>
        <v/>
      </c>
      <c r="G89" s="39">
        <f>IF(A89="","",SUMIFS(TL_Chg,TL_Date,A89))</f>
        <v/>
      </c>
      <c r="H89" s="39">
        <f>IF(A89="","",SUMIFS(TL_Net,TL_Date,A89))</f>
        <v/>
      </c>
      <c r="I89" s="39">
        <f>IF(A89="","",SUM($H$6:H89))</f>
        <v/>
      </c>
      <c r="J89" s="39">
        <f>IF(A89="","",Capital+I89)</f>
        <v/>
      </c>
      <c r="K89" s="39">
        <f>IF(A89="","",MAX(Capital,MAX($J$6:J89)))</f>
        <v/>
      </c>
      <c r="L89" s="39">
        <f>IF(A89="","",K89-J89)</f>
        <v/>
      </c>
      <c r="M89" s="58">
        <f>IF(A89="","",L89/K89)</f>
        <v/>
      </c>
      <c r="N89" s="57">
        <f>IF(A89="","",A89-WEEKDAY(A89,3))</f>
        <v/>
      </c>
      <c r="O89" s="39">
        <f>IF(A89="","",SUMIFS($H$6:H89,$N$6:N89,N89))</f>
        <v/>
      </c>
      <c r="P89" s="58">
        <f>IF(A89="","",IFERROR(COUNTIFS(TL_Date,A89,TL_Followed,"Y")/C89,0))</f>
        <v/>
      </c>
      <c r="Q89" s="28">
        <f>IF(A89="","",COUNTIFS(TL_Date,A89,TL_Followed,"N"))</f>
        <v/>
      </c>
      <c r="R89" s="28">
        <f>IF(A89="","",_xlfn.MAXIFS(TL_Lots,TL_Date,A89))</f>
        <v/>
      </c>
      <c r="S89" s="39">
        <f>IF(A89="","",SUMIFS(TL_GiveBack,TL_Date,A89))</f>
        <v/>
      </c>
      <c r="T89" s="28">
        <f>IF(A89="","",COUNTIFS(TL_Date,A89,TL_ExpBreach,"BREACH"))</f>
        <v/>
      </c>
      <c r="U89" s="5">
        <f>IF(A89="","",IF(H89&lt;=-DailyLossLimit,"BREACH","OK"))</f>
        <v/>
      </c>
      <c r="V89" s="5">
        <f>IF(A89="","",IF(C89&gt;MaxTradesDay,"BREACH","OK"))</f>
        <v/>
      </c>
      <c r="W89" s="5">
        <f>IF(A89="","",IF(O89&lt;=-WeeklyDDLimit,"BREACH","OK"))</f>
        <v/>
      </c>
      <c r="X89" s="5">
        <f>IF(A89="","",IF(OR(U89="BREACH",V89="BREACH",W89="BREACH",T89&gt;0,R89&gt;MaxLots),"LIMIT BROKEN","OK"))</f>
        <v/>
      </c>
    </row>
    <row r="90">
      <c r="A90" s="57">
        <f>IF(A89="","",IFERROR(SMALL(TL_Date,COUNTIF(TL_Date,"&lt;="&amp;A89)+1),""))</f>
        <v/>
      </c>
      <c r="B90" s="5">
        <f>IF(A90="","",TEXT(A90,"ddd"))</f>
        <v/>
      </c>
      <c r="C90" s="28">
        <f>IF(A90="","",COUNTIF(TL_Date,A90))</f>
        <v/>
      </c>
      <c r="D90" s="28">
        <f>IF(A90="","",COUNTIFS(TL_Date,A90,TL_Net,"&gt;0"))</f>
        <v/>
      </c>
      <c r="E90" s="28">
        <f>IF(A90="","",COUNTIFS(TL_Date,A90,TL_Net,"&lt;0"))</f>
        <v/>
      </c>
      <c r="F90" s="39">
        <f>IF(A90="","",SUMIFS(TL_Gross,TL_Date,A90))</f>
        <v/>
      </c>
      <c r="G90" s="39">
        <f>IF(A90="","",SUMIFS(TL_Chg,TL_Date,A90))</f>
        <v/>
      </c>
      <c r="H90" s="39">
        <f>IF(A90="","",SUMIFS(TL_Net,TL_Date,A90))</f>
        <v/>
      </c>
      <c r="I90" s="39">
        <f>IF(A90="","",SUM($H$6:H90))</f>
        <v/>
      </c>
      <c r="J90" s="39">
        <f>IF(A90="","",Capital+I90)</f>
        <v/>
      </c>
      <c r="K90" s="39">
        <f>IF(A90="","",MAX(Capital,MAX($J$6:J90)))</f>
        <v/>
      </c>
      <c r="L90" s="39">
        <f>IF(A90="","",K90-J90)</f>
        <v/>
      </c>
      <c r="M90" s="58">
        <f>IF(A90="","",L90/K90)</f>
        <v/>
      </c>
      <c r="N90" s="57">
        <f>IF(A90="","",A90-WEEKDAY(A90,3))</f>
        <v/>
      </c>
      <c r="O90" s="39">
        <f>IF(A90="","",SUMIFS($H$6:H90,$N$6:N90,N90))</f>
        <v/>
      </c>
      <c r="P90" s="58">
        <f>IF(A90="","",IFERROR(COUNTIFS(TL_Date,A90,TL_Followed,"Y")/C90,0))</f>
        <v/>
      </c>
      <c r="Q90" s="28">
        <f>IF(A90="","",COUNTIFS(TL_Date,A90,TL_Followed,"N"))</f>
        <v/>
      </c>
      <c r="R90" s="28">
        <f>IF(A90="","",_xlfn.MAXIFS(TL_Lots,TL_Date,A90))</f>
        <v/>
      </c>
      <c r="S90" s="39">
        <f>IF(A90="","",SUMIFS(TL_GiveBack,TL_Date,A90))</f>
        <v/>
      </c>
      <c r="T90" s="28">
        <f>IF(A90="","",COUNTIFS(TL_Date,A90,TL_ExpBreach,"BREACH"))</f>
        <v/>
      </c>
      <c r="U90" s="5">
        <f>IF(A90="","",IF(H90&lt;=-DailyLossLimit,"BREACH","OK"))</f>
        <v/>
      </c>
      <c r="V90" s="5">
        <f>IF(A90="","",IF(C90&gt;MaxTradesDay,"BREACH","OK"))</f>
        <v/>
      </c>
      <c r="W90" s="5">
        <f>IF(A90="","",IF(O90&lt;=-WeeklyDDLimit,"BREACH","OK"))</f>
        <v/>
      </c>
      <c r="X90" s="5">
        <f>IF(A90="","",IF(OR(U90="BREACH",V90="BREACH",W90="BREACH",T90&gt;0,R90&gt;MaxLots),"LIMIT BROKEN","OK"))</f>
        <v/>
      </c>
    </row>
    <row r="91">
      <c r="A91" s="57">
        <f>IF(A90="","",IFERROR(SMALL(TL_Date,COUNTIF(TL_Date,"&lt;="&amp;A90)+1),""))</f>
        <v/>
      </c>
      <c r="B91" s="5">
        <f>IF(A91="","",TEXT(A91,"ddd"))</f>
        <v/>
      </c>
      <c r="C91" s="28">
        <f>IF(A91="","",COUNTIF(TL_Date,A91))</f>
        <v/>
      </c>
      <c r="D91" s="28">
        <f>IF(A91="","",COUNTIFS(TL_Date,A91,TL_Net,"&gt;0"))</f>
        <v/>
      </c>
      <c r="E91" s="28">
        <f>IF(A91="","",COUNTIFS(TL_Date,A91,TL_Net,"&lt;0"))</f>
        <v/>
      </c>
      <c r="F91" s="39">
        <f>IF(A91="","",SUMIFS(TL_Gross,TL_Date,A91))</f>
        <v/>
      </c>
      <c r="G91" s="39">
        <f>IF(A91="","",SUMIFS(TL_Chg,TL_Date,A91))</f>
        <v/>
      </c>
      <c r="H91" s="39">
        <f>IF(A91="","",SUMIFS(TL_Net,TL_Date,A91))</f>
        <v/>
      </c>
      <c r="I91" s="39">
        <f>IF(A91="","",SUM($H$6:H91))</f>
        <v/>
      </c>
      <c r="J91" s="39">
        <f>IF(A91="","",Capital+I91)</f>
        <v/>
      </c>
      <c r="K91" s="39">
        <f>IF(A91="","",MAX(Capital,MAX($J$6:J91)))</f>
        <v/>
      </c>
      <c r="L91" s="39">
        <f>IF(A91="","",K91-J91)</f>
        <v/>
      </c>
      <c r="M91" s="58">
        <f>IF(A91="","",L91/K91)</f>
        <v/>
      </c>
      <c r="N91" s="57">
        <f>IF(A91="","",A91-WEEKDAY(A91,3))</f>
        <v/>
      </c>
      <c r="O91" s="39">
        <f>IF(A91="","",SUMIFS($H$6:H91,$N$6:N91,N91))</f>
        <v/>
      </c>
      <c r="P91" s="58">
        <f>IF(A91="","",IFERROR(COUNTIFS(TL_Date,A91,TL_Followed,"Y")/C91,0))</f>
        <v/>
      </c>
      <c r="Q91" s="28">
        <f>IF(A91="","",COUNTIFS(TL_Date,A91,TL_Followed,"N"))</f>
        <v/>
      </c>
      <c r="R91" s="28">
        <f>IF(A91="","",_xlfn.MAXIFS(TL_Lots,TL_Date,A91))</f>
        <v/>
      </c>
      <c r="S91" s="39">
        <f>IF(A91="","",SUMIFS(TL_GiveBack,TL_Date,A91))</f>
        <v/>
      </c>
      <c r="T91" s="28">
        <f>IF(A91="","",COUNTIFS(TL_Date,A91,TL_ExpBreach,"BREACH"))</f>
        <v/>
      </c>
      <c r="U91" s="5">
        <f>IF(A91="","",IF(H91&lt;=-DailyLossLimit,"BREACH","OK"))</f>
        <v/>
      </c>
      <c r="V91" s="5">
        <f>IF(A91="","",IF(C91&gt;MaxTradesDay,"BREACH","OK"))</f>
        <v/>
      </c>
      <c r="W91" s="5">
        <f>IF(A91="","",IF(O91&lt;=-WeeklyDDLimit,"BREACH","OK"))</f>
        <v/>
      </c>
      <c r="X91" s="5">
        <f>IF(A91="","",IF(OR(U91="BREACH",V91="BREACH",W91="BREACH",T91&gt;0,R91&gt;MaxLots),"LIMIT BROKEN","OK"))</f>
        <v/>
      </c>
    </row>
    <row r="92">
      <c r="A92" s="57">
        <f>IF(A91="","",IFERROR(SMALL(TL_Date,COUNTIF(TL_Date,"&lt;="&amp;A91)+1),""))</f>
        <v/>
      </c>
      <c r="B92" s="5">
        <f>IF(A92="","",TEXT(A92,"ddd"))</f>
        <v/>
      </c>
      <c r="C92" s="28">
        <f>IF(A92="","",COUNTIF(TL_Date,A92))</f>
        <v/>
      </c>
      <c r="D92" s="28">
        <f>IF(A92="","",COUNTIFS(TL_Date,A92,TL_Net,"&gt;0"))</f>
        <v/>
      </c>
      <c r="E92" s="28">
        <f>IF(A92="","",COUNTIFS(TL_Date,A92,TL_Net,"&lt;0"))</f>
        <v/>
      </c>
      <c r="F92" s="39">
        <f>IF(A92="","",SUMIFS(TL_Gross,TL_Date,A92))</f>
        <v/>
      </c>
      <c r="G92" s="39">
        <f>IF(A92="","",SUMIFS(TL_Chg,TL_Date,A92))</f>
        <v/>
      </c>
      <c r="H92" s="39">
        <f>IF(A92="","",SUMIFS(TL_Net,TL_Date,A92))</f>
        <v/>
      </c>
      <c r="I92" s="39">
        <f>IF(A92="","",SUM($H$6:H92))</f>
        <v/>
      </c>
      <c r="J92" s="39">
        <f>IF(A92="","",Capital+I92)</f>
        <v/>
      </c>
      <c r="K92" s="39">
        <f>IF(A92="","",MAX(Capital,MAX($J$6:J92)))</f>
        <v/>
      </c>
      <c r="L92" s="39">
        <f>IF(A92="","",K92-J92)</f>
        <v/>
      </c>
      <c r="M92" s="58">
        <f>IF(A92="","",L92/K92)</f>
        <v/>
      </c>
      <c r="N92" s="57">
        <f>IF(A92="","",A92-WEEKDAY(A92,3))</f>
        <v/>
      </c>
      <c r="O92" s="39">
        <f>IF(A92="","",SUMIFS($H$6:H92,$N$6:N92,N92))</f>
        <v/>
      </c>
      <c r="P92" s="58">
        <f>IF(A92="","",IFERROR(COUNTIFS(TL_Date,A92,TL_Followed,"Y")/C92,0))</f>
        <v/>
      </c>
      <c r="Q92" s="28">
        <f>IF(A92="","",COUNTIFS(TL_Date,A92,TL_Followed,"N"))</f>
        <v/>
      </c>
      <c r="R92" s="28">
        <f>IF(A92="","",_xlfn.MAXIFS(TL_Lots,TL_Date,A92))</f>
        <v/>
      </c>
      <c r="S92" s="39">
        <f>IF(A92="","",SUMIFS(TL_GiveBack,TL_Date,A92))</f>
        <v/>
      </c>
      <c r="T92" s="28">
        <f>IF(A92="","",COUNTIFS(TL_Date,A92,TL_ExpBreach,"BREACH"))</f>
        <v/>
      </c>
      <c r="U92" s="5">
        <f>IF(A92="","",IF(H92&lt;=-DailyLossLimit,"BREACH","OK"))</f>
        <v/>
      </c>
      <c r="V92" s="5">
        <f>IF(A92="","",IF(C92&gt;MaxTradesDay,"BREACH","OK"))</f>
        <v/>
      </c>
      <c r="W92" s="5">
        <f>IF(A92="","",IF(O92&lt;=-WeeklyDDLimit,"BREACH","OK"))</f>
        <v/>
      </c>
      <c r="X92" s="5">
        <f>IF(A92="","",IF(OR(U92="BREACH",V92="BREACH",W92="BREACH",T92&gt;0,R92&gt;MaxLots),"LIMIT BROKEN","OK"))</f>
        <v/>
      </c>
    </row>
    <row r="93">
      <c r="A93" s="57">
        <f>IF(A92="","",IFERROR(SMALL(TL_Date,COUNTIF(TL_Date,"&lt;="&amp;A92)+1),""))</f>
        <v/>
      </c>
      <c r="B93" s="5">
        <f>IF(A93="","",TEXT(A93,"ddd"))</f>
        <v/>
      </c>
      <c r="C93" s="28">
        <f>IF(A93="","",COUNTIF(TL_Date,A93))</f>
        <v/>
      </c>
      <c r="D93" s="28">
        <f>IF(A93="","",COUNTIFS(TL_Date,A93,TL_Net,"&gt;0"))</f>
        <v/>
      </c>
      <c r="E93" s="28">
        <f>IF(A93="","",COUNTIFS(TL_Date,A93,TL_Net,"&lt;0"))</f>
        <v/>
      </c>
      <c r="F93" s="39">
        <f>IF(A93="","",SUMIFS(TL_Gross,TL_Date,A93))</f>
        <v/>
      </c>
      <c r="G93" s="39">
        <f>IF(A93="","",SUMIFS(TL_Chg,TL_Date,A93))</f>
        <v/>
      </c>
      <c r="H93" s="39">
        <f>IF(A93="","",SUMIFS(TL_Net,TL_Date,A93))</f>
        <v/>
      </c>
      <c r="I93" s="39">
        <f>IF(A93="","",SUM($H$6:H93))</f>
        <v/>
      </c>
      <c r="J93" s="39">
        <f>IF(A93="","",Capital+I93)</f>
        <v/>
      </c>
      <c r="K93" s="39">
        <f>IF(A93="","",MAX(Capital,MAX($J$6:J93)))</f>
        <v/>
      </c>
      <c r="L93" s="39">
        <f>IF(A93="","",K93-J93)</f>
        <v/>
      </c>
      <c r="M93" s="58">
        <f>IF(A93="","",L93/K93)</f>
        <v/>
      </c>
      <c r="N93" s="57">
        <f>IF(A93="","",A93-WEEKDAY(A93,3))</f>
        <v/>
      </c>
      <c r="O93" s="39">
        <f>IF(A93="","",SUMIFS($H$6:H93,$N$6:N93,N93))</f>
        <v/>
      </c>
      <c r="P93" s="58">
        <f>IF(A93="","",IFERROR(COUNTIFS(TL_Date,A93,TL_Followed,"Y")/C93,0))</f>
        <v/>
      </c>
      <c r="Q93" s="28">
        <f>IF(A93="","",COUNTIFS(TL_Date,A93,TL_Followed,"N"))</f>
        <v/>
      </c>
      <c r="R93" s="28">
        <f>IF(A93="","",_xlfn.MAXIFS(TL_Lots,TL_Date,A93))</f>
        <v/>
      </c>
      <c r="S93" s="39">
        <f>IF(A93="","",SUMIFS(TL_GiveBack,TL_Date,A93))</f>
        <v/>
      </c>
      <c r="T93" s="28">
        <f>IF(A93="","",COUNTIFS(TL_Date,A93,TL_ExpBreach,"BREACH"))</f>
        <v/>
      </c>
      <c r="U93" s="5">
        <f>IF(A93="","",IF(H93&lt;=-DailyLossLimit,"BREACH","OK"))</f>
        <v/>
      </c>
      <c r="V93" s="5">
        <f>IF(A93="","",IF(C93&gt;MaxTradesDay,"BREACH","OK"))</f>
        <v/>
      </c>
      <c r="W93" s="5">
        <f>IF(A93="","",IF(O93&lt;=-WeeklyDDLimit,"BREACH","OK"))</f>
        <v/>
      </c>
      <c r="X93" s="5">
        <f>IF(A93="","",IF(OR(U93="BREACH",V93="BREACH",W93="BREACH",T93&gt;0,R93&gt;MaxLots),"LIMIT BROKEN","OK"))</f>
        <v/>
      </c>
    </row>
    <row r="94">
      <c r="A94" s="57">
        <f>IF(A93="","",IFERROR(SMALL(TL_Date,COUNTIF(TL_Date,"&lt;="&amp;A93)+1),""))</f>
        <v/>
      </c>
      <c r="B94" s="5">
        <f>IF(A94="","",TEXT(A94,"ddd"))</f>
        <v/>
      </c>
      <c r="C94" s="28">
        <f>IF(A94="","",COUNTIF(TL_Date,A94))</f>
        <v/>
      </c>
      <c r="D94" s="28">
        <f>IF(A94="","",COUNTIFS(TL_Date,A94,TL_Net,"&gt;0"))</f>
        <v/>
      </c>
      <c r="E94" s="28">
        <f>IF(A94="","",COUNTIFS(TL_Date,A94,TL_Net,"&lt;0"))</f>
        <v/>
      </c>
      <c r="F94" s="39">
        <f>IF(A94="","",SUMIFS(TL_Gross,TL_Date,A94))</f>
        <v/>
      </c>
      <c r="G94" s="39">
        <f>IF(A94="","",SUMIFS(TL_Chg,TL_Date,A94))</f>
        <v/>
      </c>
      <c r="H94" s="39">
        <f>IF(A94="","",SUMIFS(TL_Net,TL_Date,A94))</f>
        <v/>
      </c>
      <c r="I94" s="39">
        <f>IF(A94="","",SUM($H$6:H94))</f>
        <v/>
      </c>
      <c r="J94" s="39">
        <f>IF(A94="","",Capital+I94)</f>
        <v/>
      </c>
      <c r="K94" s="39">
        <f>IF(A94="","",MAX(Capital,MAX($J$6:J94)))</f>
        <v/>
      </c>
      <c r="L94" s="39">
        <f>IF(A94="","",K94-J94)</f>
        <v/>
      </c>
      <c r="M94" s="58">
        <f>IF(A94="","",L94/K94)</f>
        <v/>
      </c>
      <c r="N94" s="57">
        <f>IF(A94="","",A94-WEEKDAY(A94,3))</f>
        <v/>
      </c>
      <c r="O94" s="39">
        <f>IF(A94="","",SUMIFS($H$6:H94,$N$6:N94,N94))</f>
        <v/>
      </c>
      <c r="P94" s="58">
        <f>IF(A94="","",IFERROR(COUNTIFS(TL_Date,A94,TL_Followed,"Y")/C94,0))</f>
        <v/>
      </c>
      <c r="Q94" s="28">
        <f>IF(A94="","",COUNTIFS(TL_Date,A94,TL_Followed,"N"))</f>
        <v/>
      </c>
      <c r="R94" s="28">
        <f>IF(A94="","",_xlfn.MAXIFS(TL_Lots,TL_Date,A94))</f>
        <v/>
      </c>
      <c r="S94" s="39">
        <f>IF(A94="","",SUMIFS(TL_GiveBack,TL_Date,A94))</f>
        <v/>
      </c>
      <c r="T94" s="28">
        <f>IF(A94="","",COUNTIFS(TL_Date,A94,TL_ExpBreach,"BREACH"))</f>
        <v/>
      </c>
      <c r="U94" s="5">
        <f>IF(A94="","",IF(H94&lt;=-DailyLossLimit,"BREACH","OK"))</f>
        <v/>
      </c>
      <c r="V94" s="5">
        <f>IF(A94="","",IF(C94&gt;MaxTradesDay,"BREACH","OK"))</f>
        <v/>
      </c>
      <c r="W94" s="5">
        <f>IF(A94="","",IF(O94&lt;=-WeeklyDDLimit,"BREACH","OK"))</f>
        <v/>
      </c>
      <c r="X94" s="5">
        <f>IF(A94="","",IF(OR(U94="BREACH",V94="BREACH",W94="BREACH",T94&gt;0,R94&gt;MaxLots),"LIMIT BROKEN","OK"))</f>
        <v/>
      </c>
    </row>
    <row r="95">
      <c r="A95" s="57">
        <f>IF(A94="","",IFERROR(SMALL(TL_Date,COUNTIF(TL_Date,"&lt;="&amp;A94)+1),""))</f>
        <v/>
      </c>
      <c r="B95" s="5">
        <f>IF(A95="","",TEXT(A95,"ddd"))</f>
        <v/>
      </c>
      <c r="C95" s="28">
        <f>IF(A95="","",COUNTIF(TL_Date,A95))</f>
        <v/>
      </c>
      <c r="D95" s="28">
        <f>IF(A95="","",COUNTIFS(TL_Date,A95,TL_Net,"&gt;0"))</f>
        <v/>
      </c>
      <c r="E95" s="28">
        <f>IF(A95="","",COUNTIFS(TL_Date,A95,TL_Net,"&lt;0"))</f>
        <v/>
      </c>
      <c r="F95" s="39">
        <f>IF(A95="","",SUMIFS(TL_Gross,TL_Date,A95))</f>
        <v/>
      </c>
      <c r="G95" s="39">
        <f>IF(A95="","",SUMIFS(TL_Chg,TL_Date,A95))</f>
        <v/>
      </c>
      <c r="H95" s="39">
        <f>IF(A95="","",SUMIFS(TL_Net,TL_Date,A95))</f>
        <v/>
      </c>
      <c r="I95" s="39">
        <f>IF(A95="","",SUM($H$6:H95))</f>
        <v/>
      </c>
      <c r="J95" s="39">
        <f>IF(A95="","",Capital+I95)</f>
        <v/>
      </c>
      <c r="K95" s="39">
        <f>IF(A95="","",MAX(Capital,MAX($J$6:J95)))</f>
        <v/>
      </c>
      <c r="L95" s="39">
        <f>IF(A95="","",K95-J95)</f>
        <v/>
      </c>
      <c r="M95" s="58">
        <f>IF(A95="","",L95/K95)</f>
        <v/>
      </c>
      <c r="N95" s="57">
        <f>IF(A95="","",A95-WEEKDAY(A95,3))</f>
        <v/>
      </c>
      <c r="O95" s="39">
        <f>IF(A95="","",SUMIFS($H$6:H95,$N$6:N95,N95))</f>
        <v/>
      </c>
      <c r="P95" s="58">
        <f>IF(A95="","",IFERROR(COUNTIFS(TL_Date,A95,TL_Followed,"Y")/C95,0))</f>
        <v/>
      </c>
      <c r="Q95" s="28">
        <f>IF(A95="","",COUNTIFS(TL_Date,A95,TL_Followed,"N"))</f>
        <v/>
      </c>
      <c r="R95" s="28">
        <f>IF(A95="","",_xlfn.MAXIFS(TL_Lots,TL_Date,A95))</f>
        <v/>
      </c>
      <c r="S95" s="39">
        <f>IF(A95="","",SUMIFS(TL_GiveBack,TL_Date,A95))</f>
        <v/>
      </c>
      <c r="T95" s="28">
        <f>IF(A95="","",COUNTIFS(TL_Date,A95,TL_ExpBreach,"BREACH"))</f>
        <v/>
      </c>
      <c r="U95" s="5">
        <f>IF(A95="","",IF(H95&lt;=-DailyLossLimit,"BREACH","OK"))</f>
        <v/>
      </c>
      <c r="V95" s="5">
        <f>IF(A95="","",IF(C95&gt;MaxTradesDay,"BREACH","OK"))</f>
        <v/>
      </c>
      <c r="W95" s="5">
        <f>IF(A95="","",IF(O95&lt;=-WeeklyDDLimit,"BREACH","OK"))</f>
        <v/>
      </c>
      <c r="X95" s="5">
        <f>IF(A95="","",IF(OR(U95="BREACH",V95="BREACH",W95="BREACH",T95&gt;0,R95&gt;MaxLots),"LIMIT BROKEN","OK"))</f>
        <v/>
      </c>
    </row>
    <row r="96">
      <c r="A96" s="57">
        <f>IF(A95="","",IFERROR(SMALL(TL_Date,COUNTIF(TL_Date,"&lt;="&amp;A95)+1),""))</f>
        <v/>
      </c>
      <c r="B96" s="5">
        <f>IF(A96="","",TEXT(A96,"ddd"))</f>
        <v/>
      </c>
      <c r="C96" s="28">
        <f>IF(A96="","",COUNTIF(TL_Date,A96))</f>
        <v/>
      </c>
      <c r="D96" s="28">
        <f>IF(A96="","",COUNTIFS(TL_Date,A96,TL_Net,"&gt;0"))</f>
        <v/>
      </c>
      <c r="E96" s="28">
        <f>IF(A96="","",COUNTIFS(TL_Date,A96,TL_Net,"&lt;0"))</f>
        <v/>
      </c>
      <c r="F96" s="39">
        <f>IF(A96="","",SUMIFS(TL_Gross,TL_Date,A96))</f>
        <v/>
      </c>
      <c r="G96" s="39">
        <f>IF(A96="","",SUMIFS(TL_Chg,TL_Date,A96))</f>
        <v/>
      </c>
      <c r="H96" s="39">
        <f>IF(A96="","",SUMIFS(TL_Net,TL_Date,A96))</f>
        <v/>
      </c>
      <c r="I96" s="39">
        <f>IF(A96="","",SUM($H$6:H96))</f>
        <v/>
      </c>
      <c r="J96" s="39">
        <f>IF(A96="","",Capital+I96)</f>
        <v/>
      </c>
      <c r="K96" s="39">
        <f>IF(A96="","",MAX(Capital,MAX($J$6:J96)))</f>
        <v/>
      </c>
      <c r="L96" s="39">
        <f>IF(A96="","",K96-J96)</f>
        <v/>
      </c>
      <c r="M96" s="58">
        <f>IF(A96="","",L96/K96)</f>
        <v/>
      </c>
      <c r="N96" s="57">
        <f>IF(A96="","",A96-WEEKDAY(A96,3))</f>
        <v/>
      </c>
      <c r="O96" s="39">
        <f>IF(A96="","",SUMIFS($H$6:H96,$N$6:N96,N96))</f>
        <v/>
      </c>
      <c r="P96" s="58">
        <f>IF(A96="","",IFERROR(COUNTIFS(TL_Date,A96,TL_Followed,"Y")/C96,0))</f>
        <v/>
      </c>
      <c r="Q96" s="28">
        <f>IF(A96="","",COUNTIFS(TL_Date,A96,TL_Followed,"N"))</f>
        <v/>
      </c>
      <c r="R96" s="28">
        <f>IF(A96="","",_xlfn.MAXIFS(TL_Lots,TL_Date,A96))</f>
        <v/>
      </c>
      <c r="S96" s="39">
        <f>IF(A96="","",SUMIFS(TL_GiveBack,TL_Date,A96))</f>
        <v/>
      </c>
      <c r="T96" s="28">
        <f>IF(A96="","",COUNTIFS(TL_Date,A96,TL_ExpBreach,"BREACH"))</f>
        <v/>
      </c>
      <c r="U96" s="5">
        <f>IF(A96="","",IF(H96&lt;=-DailyLossLimit,"BREACH","OK"))</f>
        <v/>
      </c>
      <c r="V96" s="5">
        <f>IF(A96="","",IF(C96&gt;MaxTradesDay,"BREACH","OK"))</f>
        <v/>
      </c>
      <c r="W96" s="5">
        <f>IF(A96="","",IF(O96&lt;=-WeeklyDDLimit,"BREACH","OK"))</f>
        <v/>
      </c>
      <c r="X96" s="5">
        <f>IF(A96="","",IF(OR(U96="BREACH",V96="BREACH",W96="BREACH",T96&gt;0,R96&gt;MaxLots),"LIMIT BROKEN","OK"))</f>
        <v/>
      </c>
    </row>
    <row r="97">
      <c r="A97" s="57">
        <f>IF(A96="","",IFERROR(SMALL(TL_Date,COUNTIF(TL_Date,"&lt;="&amp;A96)+1),""))</f>
        <v/>
      </c>
      <c r="B97" s="5">
        <f>IF(A97="","",TEXT(A97,"ddd"))</f>
        <v/>
      </c>
      <c r="C97" s="28">
        <f>IF(A97="","",COUNTIF(TL_Date,A97))</f>
        <v/>
      </c>
      <c r="D97" s="28">
        <f>IF(A97="","",COUNTIFS(TL_Date,A97,TL_Net,"&gt;0"))</f>
        <v/>
      </c>
      <c r="E97" s="28">
        <f>IF(A97="","",COUNTIFS(TL_Date,A97,TL_Net,"&lt;0"))</f>
        <v/>
      </c>
      <c r="F97" s="39">
        <f>IF(A97="","",SUMIFS(TL_Gross,TL_Date,A97))</f>
        <v/>
      </c>
      <c r="G97" s="39">
        <f>IF(A97="","",SUMIFS(TL_Chg,TL_Date,A97))</f>
        <v/>
      </c>
      <c r="H97" s="39">
        <f>IF(A97="","",SUMIFS(TL_Net,TL_Date,A97))</f>
        <v/>
      </c>
      <c r="I97" s="39">
        <f>IF(A97="","",SUM($H$6:H97))</f>
        <v/>
      </c>
      <c r="J97" s="39">
        <f>IF(A97="","",Capital+I97)</f>
        <v/>
      </c>
      <c r="K97" s="39">
        <f>IF(A97="","",MAX(Capital,MAX($J$6:J97)))</f>
        <v/>
      </c>
      <c r="L97" s="39">
        <f>IF(A97="","",K97-J97)</f>
        <v/>
      </c>
      <c r="M97" s="58">
        <f>IF(A97="","",L97/K97)</f>
        <v/>
      </c>
      <c r="N97" s="57">
        <f>IF(A97="","",A97-WEEKDAY(A97,3))</f>
        <v/>
      </c>
      <c r="O97" s="39">
        <f>IF(A97="","",SUMIFS($H$6:H97,$N$6:N97,N97))</f>
        <v/>
      </c>
      <c r="P97" s="58">
        <f>IF(A97="","",IFERROR(COUNTIFS(TL_Date,A97,TL_Followed,"Y")/C97,0))</f>
        <v/>
      </c>
      <c r="Q97" s="28">
        <f>IF(A97="","",COUNTIFS(TL_Date,A97,TL_Followed,"N"))</f>
        <v/>
      </c>
      <c r="R97" s="28">
        <f>IF(A97="","",_xlfn.MAXIFS(TL_Lots,TL_Date,A97))</f>
        <v/>
      </c>
      <c r="S97" s="39">
        <f>IF(A97="","",SUMIFS(TL_GiveBack,TL_Date,A97))</f>
        <v/>
      </c>
      <c r="T97" s="28">
        <f>IF(A97="","",COUNTIFS(TL_Date,A97,TL_ExpBreach,"BREACH"))</f>
        <v/>
      </c>
      <c r="U97" s="5">
        <f>IF(A97="","",IF(H97&lt;=-DailyLossLimit,"BREACH","OK"))</f>
        <v/>
      </c>
      <c r="V97" s="5">
        <f>IF(A97="","",IF(C97&gt;MaxTradesDay,"BREACH","OK"))</f>
        <v/>
      </c>
      <c r="W97" s="5">
        <f>IF(A97="","",IF(O97&lt;=-WeeklyDDLimit,"BREACH","OK"))</f>
        <v/>
      </c>
      <c r="X97" s="5">
        <f>IF(A97="","",IF(OR(U97="BREACH",V97="BREACH",W97="BREACH",T97&gt;0,R97&gt;MaxLots),"LIMIT BROKEN","OK"))</f>
        <v/>
      </c>
    </row>
    <row r="98">
      <c r="A98" s="57">
        <f>IF(A97="","",IFERROR(SMALL(TL_Date,COUNTIF(TL_Date,"&lt;="&amp;A97)+1),""))</f>
        <v/>
      </c>
      <c r="B98" s="5">
        <f>IF(A98="","",TEXT(A98,"ddd"))</f>
        <v/>
      </c>
      <c r="C98" s="28">
        <f>IF(A98="","",COUNTIF(TL_Date,A98))</f>
        <v/>
      </c>
      <c r="D98" s="28">
        <f>IF(A98="","",COUNTIFS(TL_Date,A98,TL_Net,"&gt;0"))</f>
        <v/>
      </c>
      <c r="E98" s="28">
        <f>IF(A98="","",COUNTIFS(TL_Date,A98,TL_Net,"&lt;0"))</f>
        <v/>
      </c>
      <c r="F98" s="39">
        <f>IF(A98="","",SUMIFS(TL_Gross,TL_Date,A98))</f>
        <v/>
      </c>
      <c r="G98" s="39">
        <f>IF(A98="","",SUMIFS(TL_Chg,TL_Date,A98))</f>
        <v/>
      </c>
      <c r="H98" s="39">
        <f>IF(A98="","",SUMIFS(TL_Net,TL_Date,A98))</f>
        <v/>
      </c>
      <c r="I98" s="39">
        <f>IF(A98="","",SUM($H$6:H98))</f>
        <v/>
      </c>
      <c r="J98" s="39">
        <f>IF(A98="","",Capital+I98)</f>
        <v/>
      </c>
      <c r="K98" s="39">
        <f>IF(A98="","",MAX(Capital,MAX($J$6:J98)))</f>
        <v/>
      </c>
      <c r="L98" s="39">
        <f>IF(A98="","",K98-J98)</f>
        <v/>
      </c>
      <c r="M98" s="58">
        <f>IF(A98="","",L98/K98)</f>
        <v/>
      </c>
      <c r="N98" s="57">
        <f>IF(A98="","",A98-WEEKDAY(A98,3))</f>
        <v/>
      </c>
      <c r="O98" s="39">
        <f>IF(A98="","",SUMIFS($H$6:H98,$N$6:N98,N98))</f>
        <v/>
      </c>
      <c r="P98" s="58">
        <f>IF(A98="","",IFERROR(COUNTIFS(TL_Date,A98,TL_Followed,"Y")/C98,0))</f>
        <v/>
      </c>
      <c r="Q98" s="28">
        <f>IF(A98="","",COUNTIFS(TL_Date,A98,TL_Followed,"N"))</f>
        <v/>
      </c>
      <c r="R98" s="28">
        <f>IF(A98="","",_xlfn.MAXIFS(TL_Lots,TL_Date,A98))</f>
        <v/>
      </c>
      <c r="S98" s="39">
        <f>IF(A98="","",SUMIFS(TL_GiveBack,TL_Date,A98))</f>
        <v/>
      </c>
      <c r="T98" s="28">
        <f>IF(A98="","",COUNTIFS(TL_Date,A98,TL_ExpBreach,"BREACH"))</f>
        <v/>
      </c>
      <c r="U98" s="5">
        <f>IF(A98="","",IF(H98&lt;=-DailyLossLimit,"BREACH","OK"))</f>
        <v/>
      </c>
      <c r="V98" s="5">
        <f>IF(A98="","",IF(C98&gt;MaxTradesDay,"BREACH","OK"))</f>
        <v/>
      </c>
      <c r="W98" s="5">
        <f>IF(A98="","",IF(O98&lt;=-WeeklyDDLimit,"BREACH","OK"))</f>
        <v/>
      </c>
      <c r="X98" s="5">
        <f>IF(A98="","",IF(OR(U98="BREACH",V98="BREACH",W98="BREACH",T98&gt;0,R98&gt;MaxLots),"LIMIT BROKEN","OK"))</f>
        <v/>
      </c>
    </row>
    <row r="99">
      <c r="A99" s="57">
        <f>IF(A98="","",IFERROR(SMALL(TL_Date,COUNTIF(TL_Date,"&lt;="&amp;A98)+1),""))</f>
        <v/>
      </c>
      <c r="B99" s="5">
        <f>IF(A99="","",TEXT(A99,"ddd"))</f>
        <v/>
      </c>
      <c r="C99" s="28">
        <f>IF(A99="","",COUNTIF(TL_Date,A99))</f>
        <v/>
      </c>
      <c r="D99" s="28">
        <f>IF(A99="","",COUNTIFS(TL_Date,A99,TL_Net,"&gt;0"))</f>
        <v/>
      </c>
      <c r="E99" s="28">
        <f>IF(A99="","",COUNTIFS(TL_Date,A99,TL_Net,"&lt;0"))</f>
        <v/>
      </c>
      <c r="F99" s="39">
        <f>IF(A99="","",SUMIFS(TL_Gross,TL_Date,A99))</f>
        <v/>
      </c>
      <c r="G99" s="39">
        <f>IF(A99="","",SUMIFS(TL_Chg,TL_Date,A99))</f>
        <v/>
      </c>
      <c r="H99" s="39">
        <f>IF(A99="","",SUMIFS(TL_Net,TL_Date,A99))</f>
        <v/>
      </c>
      <c r="I99" s="39">
        <f>IF(A99="","",SUM($H$6:H99))</f>
        <v/>
      </c>
      <c r="J99" s="39">
        <f>IF(A99="","",Capital+I99)</f>
        <v/>
      </c>
      <c r="K99" s="39">
        <f>IF(A99="","",MAX(Capital,MAX($J$6:J99)))</f>
        <v/>
      </c>
      <c r="L99" s="39">
        <f>IF(A99="","",K99-J99)</f>
        <v/>
      </c>
      <c r="M99" s="58">
        <f>IF(A99="","",L99/K99)</f>
        <v/>
      </c>
      <c r="N99" s="57">
        <f>IF(A99="","",A99-WEEKDAY(A99,3))</f>
        <v/>
      </c>
      <c r="O99" s="39">
        <f>IF(A99="","",SUMIFS($H$6:H99,$N$6:N99,N99))</f>
        <v/>
      </c>
      <c r="P99" s="58">
        <f>IF(A99="","",IFERROR(COUNTIFS(TL_Date,A99,TL_Followed,"Y")/C99,0))</f>
        <v/>
      </c>
      <c r="Q99" s="28">
        <f>IF(A99="","",COUNTIFS(TL_Date,A99,TL_Followed,"N"))</f>
        <v/>
      </c>
      <c r="R99" s="28">
        <f>IF(A99="","",_xlfn.MAXIFS(TL_Lots,TL_Date,A99))</f>
        <v/>
      </c>
      <c r="S99" s="39">
        <f>IF(A99="","",SUMIFS(TL_GiveBack,TL_Date,A99))</f>
        <v/>
      </c>
      <c r="T99" s="28">
        <f>IF(A99="","",COUNTIFS(TL_Date,A99,TL_ExpBreach,"BREACH"))</f>
        <v/>
      </c>
      <c r="U99" s="5">
        <f>IF(A99="","",IF(H99&lt;=-DailyLossLimit,"BREACH","OK"))</f>
        <v/>
      </c>
      <c r="V99" s="5">
        <f>IF(A99="","",IF(C99&gt;MaxTradesDay,"BREACH","OK"))</f>
        <v/>
      </c>
      <c r="W99" s="5">
        <f>IF(A99="","",IF(O99&lt;=-WeeklyDDLimit,"BREACH","OK"))</f>
        <v/>
      </c>
      <c r="X99" s="5">
        <f>IF(A99="","",IF(OR(U99="BREACH",V99="BREACH",W99="BREACH",T99&gt;0,R99&gt;MaxLots),"LIMIT BROKEN","OK"))</f>
        <v/>
      </c>
    </row>
    <row r="100">
      <c r="A100" s="57">
        <f>IF(A99="","",IFERROR(SMALL(TL_Date,COUNTIF(TL_Date,"&lt;="&amp;A99)+1),""))</f>
        <v/>
      </c>
      <c r="B100" s="5">
        <f>IF(A100="","",TEXT(A100,"ddd"))</f>
        <v/>
      </c>
      <c r="C100" s="28">
        <f>IF(A100="","",COUNTIF(TL_Date,A100))</f>
        <v/>
      </c>
      <c r="D100" s="28">
        <f>IF(A100="","",COUNTIFS(TL_Date,A100,TL_Net,"&gt;0"))</f>
        <v/>
      </c>
      <c r="E100" s="28">
        <f>IF(A100="","",COUNTIFS(TL_Date,A100,TL_Net,"&lt;0"))</f>
        <v/>
      </c>
      <c r="F100" s="39">
        <f>IF(A100="","",SUMIFS(TL_Gross,TL_Date,A100))</f>
        <v/>
      </c>
      <c r="G100" s="39">
        <f>IF(A100="","",SUMIFS(TL_Chg,TL_Date,A100))</f>
        <v/>
      </c>
      <c r="H100" s="39">
        <f>IF(A100="","",SUMIFS(TL_Net,TL_Date,A100))</f>
        <v/>
      </c>
      <c r="I100" s="39">
        <f>IF(A100="","",SUM($H$6:H100))</f>
        <v/>
      </c>
      <c r="J100" s="39">
        <f>IF(A100="","",Capital+I100)</f>
        <v/>
      </c>
      <c r="K100" s="39">
        <f>IF(A100="","",MAX(Capital,MAX($J$6:J100)))</f>
        <v/>
      </c>
      <c r="L100" s="39">
        <f>IF(A100="","",K100-J100)</f>
        <v/>
      </c>
      <c r="M100" s="58">
        <f>IF(A100="","",L100/K100)</f>
        <v/>
      </c>
      <c r="N100" s="57">
        <f>IF(A100="","",A100-WEEKDAY(A100,3))</f>
        <v/>
      </c>
      <c r="O100" s="39">
        <f>IF(A100="","",SUMIFS($H$6:H100,$N$6:N100,N100))</f>
        <v/>
      </c>
      <c r="P100" s="58">
        <f>IF(A100="","",IFERROR(COUNTIFS(TL_Date,A100,TL_Followed,"Y")/C100,0))</f>
        <v/>
      </c>
      <c r="Q100" s="28">
        <f>IF(A100="","",COUNTIFS(TL_Date,A100,TL_Followed,"N"))</f>
        <v/>
      </c>
      <c r="R100" s="28">
        <f>IF(A100="","",_xlfn.MAXIFS(TL_Lots,TL_Date,A100))</f>
        <v/>
      </c>
      <c r="S100" s="39">
        <f>IF(A100="","",SUMIFS(TL_GiveBack,TL_Date,A100))</f>
        <v/>
      </c>
      <c r="T100" s="28">
        <f>IF(A100="","",COUNTIFS(TL_Date,A100,TL_ExpBreach,"BREACH"))</f>
        <v/>
      </c>
      <c r="U100" s="5">
        <f>IF(A100="","",IF(H100&lt;=-DailyLossLimit,"BREACH","OK"))</f>
        <v/>
      </c>
      <c r="V100" s="5">
        <f>IF(A100="","",IF(C100&gt;MaxTradesDay,"BREACH","OK"))</f>
        <v/>
      </c>
      <c r="W100" s="5">
        <f>IF(A100="","",IF(O100&lt;=-WeeklyDDLimit,"BREACH","OK"))</f>
        <v/>
      </c>
      <c r="X100" s="5">
        <f>IF(A100="","",IF(OR(U100="BREACH",V100="BREACH",W100="BREACH",T100&gt;0,R100&gt;MaxLots),"LIMIT BROKEN","OK"))</f>
        <v/>
      </c>
    </row>
    <row r="101">
      <c r="A101" s="57">
        <f>IF(A100="","",IFERROR(SMALL(TL_Date,COUNTIF(TL_Date,"&lt;="&amp;A100)+1),""))</f>
        <v/>
      </c>
      <c r="B101" s="5">
        <f>IF(A101="","",TEXT(A101,"ddd"))</f>
        <v/>
      </c>
      <c r="C101" s="28">
        <f>IF(A101="","",COUNTIF(TL_Date,A101))</f>
        <v/>
      </c>
      <c r="D101" s="28">
        <f>IF(A101="","",COUNTIFS(TL_Date,A101,TL_Net,"&gt;0"))</f>
        <v/>
      </c>
      <c r="E101" s="28">
        <f>IF(A101="","",COUNTIFS(TL_Date,A101,TL_Net,"&lt;0"))</f>
        <v/>
      </c>
      <c r="F101" s="39">
        <f>IF(A101="","",SUMIFS(TL_Gross,TL_Date,A101))</f>
        <v/>
      </c>
      <c r="G101" s="39">
        <f>IF(A101="","",SUMIFS(TL_Chg,TL_Date,A101))</f>
        <v/>
      </c>
      <c r="H101" s="39">
        <f>IF(A101="","",SUMIFS(TL_Net,TL_Date,A101))</f>
        <v/>
      </c>
      <c r="I101" s="39">
        <f>IF(A101="","",SUM($H$6:H101))</f>
        <v/>
      </c>
      <c r="J101" s="39">
        <f>IF(A101="","",Capital+I101)</f>
        <v/>
      </c>
      <c r="K101" s="39">
        <f>IF(A101="","",MAX(Capital,MAX($J$6:J101)))</f>
        <v/>
      </c>
      <c r="L101" s="39">
        <f>IF(A101="","",K101-J101)</f>
        <v/>
      </c>
      <c r="M101" s="58">
        <f>IF(A101="","",L101/K101)</f>
        <v/>
      </c>
      <c r="N101" s="57">
        <f>IF(A101="","",A101-WEEKDAY(A101,3))</f>
        <v/>
      </c>
      <c r="O101" s="39">
        <f>IF(A101="","",SUMIFS($H$6:H101,$N$6:N101,N101))</f>
        <v/>
      </c>
      <c r="P101" s="58">
        <f>IF(A101="","",IFERROR(COUNTIFS(TL_Date,A101,TL_Followed,"Y")/C101,0))</f>
        <v/>
      </c>
      <c r="Q101" s="28">
        <f>IF(A101="","",COUNTIFS(TL_Date,A101,TL_Followed,"N"))</f>
        <v/>
      </c>
      <c r="R101" s="28">
        <f>IF(A101="","",_xlfn.MAXIFS(TL_Lots,TL_Date,A101))</f>
        <v/>
      </c>
      <c r="S101" s="39">
        <f>IF(A101="","",SUMIFS(TL_GiveBack,TL_Date,A101))</f>
        <v/>
      </c>
      <c r="T101" s="28">
        <f>IF(A101="","",COUNTIFS(TL_Date,A101,TL_ExpBreach,"BREACH"))</f>
        <v/>
      </c>
      <c r="U101" s="5">
        <f>IF(A101="","",IF(H101&lt;=-DailyLossLimit,"BREACH","OK"))</f>
        <v/>
      </c>
      <c r="V101" s="5">
        <f>IF(A101="","",IF(C101&gt;MaxTradesDay,"BREACH","OK"))</f>
        <v/>
      </c>
      <c r="W101" s="5">
        <f>IF(A101="","",IF(O101&lt;=-WeeklyDDLimit,"BREACH","OK"))</f>
        <v/>
      </c>
      <c r="X101" s="5">
        <f>IF(A101="","",IF(OR(U101="BREACH",V101="BREACH",W101="BREACH",T101&gt;0,R101&gt;MaxLots),"LIMIT BROKEN","OK"))</f>
        <v/>
      </c>
    </row>
    <row r="102">
      <c r="A102" s="57">
        <f>IF(A101="","",IFERROR(SMALL(TL_Date,COUNTIF(TL_Date,"&lt;="&amp;A101)+1),""))</f>
        <v/>
      </c>
      <c r="B102" s="5">
        <f>IF(A102="","",TEXT(A102,"ddd"))</f>
        <v/>
      </c>
      <c r="C102" s="28">
        <f>IF(A102="","",COUNTIF(TL_Date,A102))</f>
        <v/>
      </c>
      <c r="D102" s="28">
        <f>IF(A102="","",COUNTIFS(TL_Date,A102,TL_Net,"&gt;0"))</f>
        <v/>
      </c>
      <c r="E102" s="28">
        <f>IF(A102="","",COUNTIFS(TL_Date,A102,TL_Net,"&lt;0"))</f>
        <v/>
      </c>
      <c r="F102" s="39">
        <f>IF(A102="","",SUMIFS(TL_Gross,TL_Date,A102))</f>
        <v/>
      </c>
      <c r="G102" s="39">
        <f>IF(A102="","",SUMIFS(TL_Chg,TL_Date,A102))</f>
        <v/>
      </c>
      <c r="H102" s="39">
        <f>IF(A102="","",SUMIFS(TL_Net,TL_Date,A102))</f>
        <v/>
      </c>
      <c r="I102" s="39">
        <f>IF(A102="","",SUM($H$6:H102))</f>
        <v/>
      </c>
      <c r="J102" s="39">
        <f>IF(A102="","",Capital+I102)</f>
        <v/>
      </c>
      <c r="K102" s="39">
        <f>IF(A102="","",MAX(Capital,MAX($J$6:J102)))</f>
        <v/>
      </c>
      <c r="L102" s="39">
        <f>IF(A102="","",K102-J102)</f>
        <v/>
      </c>
      <c r="M102" s="58">
        <f>IF(A102="","",L102/K102)</f>
        <v/>
      </c>
      <c r="N102" s="57">
        <f>IF(A102="","",A102-WEEKDAY(A102,3))</f>
        <v/>
      </c>
      <c r="O102" s="39">
        <f>IF(A102="","",SUMIFS($H$6:H102,$N$6:N102,N102))</f>
        <v/>
      </c>
      <c r="P102" s="58">
        <f>IF(A102="","",IFERROR(COUNTIFS(TL_Date,A102,TL_Followed,"Y")/C102,0))</f>
        <v/>
      </c>
      <c r="Q102" s="28">
        <f>IF(A102="","",COUNTIFS(TL_Date,A102,TL_Followed,"N"))</f>
        <v/>
      </c>
      <c r="R102" s="28">
        <f>IF(A102="","",_xlfn.MAXIFS(TL_Lots,TL_Date,A102))</f>
        <v/>
      </c>
      <c r="S102" s="39">
        <f>IF(A102="","",SUMIFS(TL_GiveBack,TL_Date,A102))</f>
        <v/>
      </c>
      <c r="T102" s="28">
        <f>IF(A102="","",COUNTIFS(TL_Date,A102,TL_ExpBreach,"BREACH"))</f>
        <v/>
      </c>
      <c r="U102" s="5">
        <f>IF(A102="","",IF(H102&lt;=-DailyLossLimit,"BREACH","OK"))</f>
        <v/>
      </c>
      <c r="V102" s="5">
        <f>IF(A102="","",IF(C102&gt;MaxTradesDay,"BREACH","OK"))</f>
        <v/>
      </c>
      <c r="W102" s="5">
        <f>IF(A102="","",IF(O102&lt;=-WeeklyDDLimit,"BREACH","OK"))</f>
        <v/>
      </c>
      <c r="X102" s="5">
        <f>IF(A102="","",IF(OR(U102="BREACH",V102="BREACH",W102="BREACH",T102&gt;0,R102&gt;MaxLots),"LIMIT BROKEN","OK"))</f>
        <v/>
      </c>
    </row>
    <row r="103">
      <c r="A103" s="57">
        <f>IF(A102="","",IFERROR(SMALL(TL_Date,COUNTIF(TL_Date,"&lt;="&amp;A102)+1),""))</f>
        <v/>
      </c>
      <c r="B103" s="5">
        <f>IF(A103="","",TEXT(A103,"ddd"))</f>
        <v/>
      </c>
      <c r="C103" s="28">
        <f>IF(A103="","",COUNTIF(TL_Date,A103))</f>
        <v/>
      </c>
      <c r="D103" s="28">
        <f>IF(A103="","",COUNTIFS(TL_Date,A103,TL_Net,"&gt;0"))</f>
        <v/>
      </c>
      <c r="E103" s="28">
        <f>IF(A103="","",COUNTIFS(TL_Date,A103,TL_Net,"&lt;0"))</f>
        <v/>
      </c>
      <c r="F103" s="39">
        <f>IF(A103="","",SUMIFS(TL_Gross,TL_Date,A103))</f>
        <v/>
      </c>
      <c r="G103" s="39">
        <f>IF(A103="","",SUMIFS(TL_Chg,TL_Date,A103))</f>
        <v/>
      </c>
      <c r="H103" s="39">
        <f>IF(A103="","",SUMIFS(TL_Net,TL_Date,A103))</f>
        <v/>
      </c>
      <c r="I103" s="39">
        <f>IF(A103="","",SUM($H$6:H103))</f>
        <v/>
      </c>
      <c r="J103" s="39">
        <f>IF(A103="","",Capital+I103)</f>
        <v/>
      </c>
      <c r="K103" s="39">
        <f>IF(A103="","",MAX(Capital,MAX($J$6:J103)))</f>
        <v/>
      </c>
      <c r="L103" s="39">
        <f>IF(A103="","",K103-J103)</f>
        <v/>
      </c>
      <c r="M103" s="58">
        <f>IF(A103="","",L103/K103)</f>
        <v/>
      </c>
      <c r="N103" s="57">
        <f>IF(A103="","",A103-WEEKDAY(A103,3))</f>
        <v/>
      </c>
      <c r="O103" s="39">
        <f>IF(A103="","",SUMIFS($H$6:H103,$N$6:N103,N103))</f>
        <v/>
      </c>
      <c r="P103" s="58">
        <f>IF(A103="","",IFERROR(COUNTIFS(TL_Date,A103,TL_Followed,"Y")/C103,0))</f>
        <v/>
      </c>
      <c r="Q103" s="28">
        <f>IF(A103="","",COUNTIFS(TL_Date,A103,TL_Followed,"N"))</f>
        <v/>
      </c>
      <c r="R103" s="28">
        <f>IF(A103="","",_xlfn.MAXIFS(TL_Lots,TL_Date,A103))</f>
        <v/>
      </c>
      <c r="S103" s="39">
        <f>IF(A103="","",SUMIFS(TL_GiveBack,TL_Date,A103))</f>
        <v/>
      </c>
      <c r="T103" s="28">
        <f>IF(A103="","",COUNTIFS(TL_Date,A103,TL_ExpBreach,"BREACH"))</f>
        <v/>
      </c>
      <c r="U103" s="5">
        <f>IF(A103="","",IF(H103&lt;=-DailyLossLimit,"BREACH","OK"))</f>
        <v/>
      </c>
      <c r="V103" s="5">
        <f>IF(A103="","",IF(C103&gt;MaxTradesDay,"BREACH","OK"))</f>
        <v/>
      </c>
      <c r="W103" s="5">
        <f>IF(A103="","",IF(O103&lt;=-WeeklyDDLimit,"BREACH","OK"))</f>
        <v/>
      </c>
      <c r="X103" s="5">
        <f>IF(A103="","",IF(OR(U103="BREACH",V103="BREACH",W103="BREACH",T103&gt;0,R103&gt;MaxLots),"LIMIT BROKEN","OK"))</f>
        <v/>
      </c>
    </row>
    <row r="104">
      <c r="A104" s="57">
        <f>IF(A103="","",IFERROR(SMALL(TL_Date,COUNTIF(TL_Date,"&lt;="&amp;A103)+1),""))</f>
        <v/>
      </c>
      <c r="B104" s="5">
        <f>IF(A104="","",TEXT(A104,"ddd"))</f>
        <v/>
      </c>
      <c r="C104" s="28">
        <f>IF(A104="","",COUNTIF(TL_Date,A104))</f>
        <v/>
      </c>
      <c r="D104" s="28">
        <f>IF(A104="","",COUNTIFS(TL_Date,A104,TL_Net,"&gt;0"))</f>
        <v/>
      </c>
      <c r="E104" s="28">
        <f>IF(A104="","",COUNTIFS(TL_Date,A104,TL_Net,"&lt;0"))</f>
        <v/>
      </c>
      <c r="F104" s="39">
        <f>IF(A104="","",SUMIFS(TL_Gross,TL_Date,A104))</f>
        <v/>
      </c>
      <c r="G104" s="39">
        <f>IF(A104="","",SUMIFS(TL_Chg,TL_Date,A104))</f>
        <v/>
      </c>
      <c r="H104" s="39">
        <f>IF(A104="","",SUMIFS(TL_Net,TL_Date,A104))</f>
        <v/>
      </c>
      <c r="I104" s="39">
        <f>IF(A104="","",SUM($H$6:H104))</f>
        <v/>
      </c>
      <c r="J104" s="39">
        <f>IF(A104="","",Capital+I104)</f>
        <v/>
      </c>
      <c r="K104" s="39">
        <f>IF(A104="","",MAX(Capital,MAX($J$6:J104)))</f>
        <v/>
      </c>
      <c r="L104" s="39">
        <f>IF(A104="","",K104-J104)</f>
        <v/>
      </c>
      <c r="M104" s="58">
        <f>IF(A104="","",L104/K104)</f>
        <v/>
      </c>
      <c r="N104" s="57">
        <f>IF(A104="","",A104-WEEKDAY(A104,3))</f>
        <v/>
      </c>
      <c r="O104" s="39">
        <f>IF(A104="","",SUMIFS($H$6:H104,$N$6:N104,N104))</f>
        <v/>
      </c>
      <c r="P104" s="58">
        <f>IF(A104="","",IFERROR(COUNTIFS(TL_Date,A104,TL_Followed,"Y")/C104,0))</f>
        <v/>
      </c>
      <c r="Q104" s="28">
        <f>IF(A104="","",COUNTIFS(TL_Date,A104,TL_Followed,"N"))</f>
        <v/>
      </c>
      <c r="R104" s="28">
        <f>IF(A104="","",_xlfn.MAXIFS(TL_Lots,TL_Date,A104))</f>
        <v/>
      </c>
      <c r="S104" s="39">
        <f>IF(A104="","",SUMIFS(TL_GiveBack,TL_Date,A104))</f>
        <v/>
      </c>
      <c r="T104" s="28">
        <f>IF(A104="","",COUNTIFS(TL_Date,A104,TL_ExpBreach,"BREACH"))</f>
        <v/>
      </c>
      <c r="U104" s="5">
        <f>IF(A104="","",IF(H104&lt;=-DailyLossLimit,"BREACH","OK"))</f>
        <v/>
      </c>
      <c r="V104" s="5">
        <f>IF(A104="","",IF(C104&gt;MaxTradesDay,"BREACH","OK"))</f>
        <v/>
      </c>
      <c r="W104" s="5">
        <f>IF(A104="","",IF(O104&lt;=-WeeklyDDLimit,"BREACH","OK"))</f>
        <v/>
      </c>
      <c r="X104" s="5">
        <f>IF(A104="","",IF(OR(U104="BREACH",V104="BREACH",W104="BREACH",T104&gt;0,R104&gt;MaxLots),"LIMIT BROKEN","OK"))</f>
        <v/>
      </c>
    </row>
    <row r="105">
      <c r="A105" s="57">
        <f>IF(A104="","",IFERROR(SMALL(TL_Date,COUNTIF(TL_Date,"&lt;="&amp;A104)+1),""))</f>
        <v/>
      </c>
      <c r="B105" s="5">
        <f>IF(A105="","",TEXT(A105,"ddd"))</f>
        <v/>
      </c>
      <c r="C105" s="28">
        <f>IF(A105="","",COUNTIF(TL_Date,A105))</f>
        <v/>
      </c>
      <c r="D105" s="28">
        <f>IF(A105="","",COUNTIFS(TL_Date,A105,TL_Net,"&gt;0"))</f>
        <v/>
      </c>
      <c r="E105" s="28">
        <f>IF(A105="","",COUNTIFS(TL_Date,A105,TL_Net,"&lt;0"))</f>
        <v/>
      </c>
      <c r="F105" s="39">
        <f>IF(A105="","",SUMIFS(TL_Gross,TL_Date,A105))</f>
        <v/>
      </c>
      <c r="G105" s="39">
        <f>IF(A105="","",SUMIFS(TL_Chg,TL_Date,A105))</f>
        <v/>
      </c>
      <c r="H105" s="39">
        <f>IF(A105="","",SUMIFS(TL_Net,TL_Date,A105))</f>
        <v/>
      </c>
      <c r="I105" s="39">
        <f>IF(A105="","",SUM($H$6:H105))</f>
        <v/>
      </c>
      <c r="J105" s="39">
        <f>IF(A105="","",Capital+I105)</f>
        <v/>
      </c>
      <c r="K105" s="39">
        <f>IF(A105="","",MAX(Capital,MAX($J$6:J105)))</f>
        <v/>
      </c>
      <c r="L105" s="39">
        <f>IF(A105="","",K105-J105)</f>
        <v/>
      </c>
      <c r="M105" s="58">
        <f>IF(A105="","",L105/K105)</f>
        <v/>
      </c>
      <c r="N105" s="57">
        <f>IF(A105="","",A105-WEEKDAY(A105,3))</f>
        <v/>
      </c>
      <c r="O105" s="39">
        <f>IF(A105="","",SUMIFS($H$6:H105,$N$6:N105,N105))</f>
        <v/>
      </c>
      <c r="P105" s="58">
        <f>IF(A105="","",IFERROR(COUNTIFS(TL_Date,A105,TL_Followed,"Y")/C105,0))</f>
        <v/>
      </c>
      <c r="Q105" s="28">
        <f>IF(A105="","",COUNTIFS(TL_Date,A105,TL_Followed,"N"))</f>
        <v/>
      </c>
      <c r="R105" s="28">
        <f>IF(A105="","",_xlfn.MAXIFS(TL_Lots,TL_Date,A105))</f>
        <v/>
      </c>
      <c r="S105" s="39">
        <f>IF(A105="","",SUMIFS(TL_GiveBack,TL_Date,A105))</f>
        <v/>
      </c>
      <c r="T105" s="28">
        <f>IF(A105="","",COUNTIFS(TL_Date,A105,TL_ExpBreach,"BREACH"))</f>
        <v/>
      </c>
      <c r="U105" s="5">
        <f>IF(A105="","",IF(H105&lt;=-DailyLossLimit,"BREACH","OK"))</f>
        <v/>
      </c>
      <c r="V105" s="5">
        <f>IF(A105="","",IF(C105&gt;MaxTradesDay,"BREACH","OK"))</f>
        <v/>
      </c>
      <c r="W105" s="5">
        <f>IF(A105="","",IF(O105&lt;=-WeeklyDDLimit,"BREACH","OK"))</f>
        <v/>
      </c>
      <c r="X105" s="5">
        <f>IF(A105="","",IF(OR(U105="BREACH",V105="BREACH",W105="BREACH",T105&gt;0,R105&gt;MaxLots),"LIMIT BROKEN","OK"))</f>
        <v/>
      </c>
    </row>
    <row r="106">
      <c r="A106" s="57">
        <f>IF(A105="","",IFERROR(SMALL(TL_Date,COUNTIF(TL_Date,"&lt;="&amp;A105)+1),""))</f>
        <v/>
      </c>
      <c r="B106" s="5">
        <f>IF(A106="","",TEXT(A106,"ddd"))</f>
        <v/>
      </c>
      <c r="C106" s="28">
        <f>IF(A106="","",COUNTIF(TL_Date,A106))</f>
        <v/>
      </c>
      <c r="D106" s="28">
        <f>IF(A106="","",COUNTIFS(TL_Date,A106,TL_Net,"&gt;0"))</f>
        <v/>
      </c>
      <c r="E106" s="28">
        <f>IF(A106="","",COUNTIFS(TL_Date,A106,TL_Net,"&lt;0"))</f>
        <v/>
      </c>
      <c r="F106" s="39">
        <f>IF(A106="","",SUMIFS(TL_Gross,TL_Date,A106))</f>
        <v/>
      </c>
      <c r="G106" s="39">
        <f>IF(A106="","",SUMIFS(TL_Chg,TL_Date,A106))</f>
        <v/>
      </c>
      <c r="H106" s="39">
        <f>IF(A106="","",SUMIFS(TL_Net,TL_Date,A106))</f>
        <v/>
      </c>
      <c r="I106" s="39">
        <f>IF(A106="","",SUM($H$6:H106))</f>
        <v/>
      </c>
      <c r="J106" s="39">
        <f>IF(A106="","",Capital+I106)</f>
        <v/>
      </c>
      <c r="K106" s="39">
        <f>IF(A106="","",MAX(Capital,MAX($J$6:J106)))</f>
        <v/>
      </c>
      <c r="L106" s="39">
        <f>IF(A106="","",K106-J106)</f>
        <v/>
      </c>
      <c r="M106" s="58">
        <f>IF(A106="","",L106/K106)</f>
        <v/>
      </c>
      <c r="N106" s="57">
        <f>IF(A106="","",A106-WEEKDAY(A106,3))</f>
        <v/>
      </c>
      <c r="O106" s="39">
        <f>IF(A106="","",SUMIFS($H$6:H106,$N$6:N106,N106))</f>
        <v/>
      </c>
      <c r="P106" s="58">
        <f>IF(A106="","",IFERROR(COUNTIFS(TL_Date,A106,TL_Followed,"Y")/C106,0))</f>
        <v/>
      </c>
      <c r="Q106" s="28">
        <f>IF(A106="","",COUNTIFS(TL_Date,A106,TL_Followed,"N"))</f>
        <v/>
      </c>
      <c r="R106" s="28">
        <f>IF(A106="","",_xlfn.MAXIFS(TL_Lots,TL_Date,A106))</f>
        <v/>
      </c>
      <c r="S106" s="39">
        <f>IF(A106="","",SUMIFS(TL_GiveBack,TL_Date,A106))</f>
        <v/>
      </c>
      <c r="T106" s="28">
        <f>IF(A106="","",COUNTIFS(TL_Date,A106,TL_ExpBreach,"BREACH"))</f>
        <v/>
      </c>
      <c r="U106" s="5">
        <f>IF(A106="","",IF(H106&lt;=-DailyLossLimit,"BREACH","OK"))</f>
        <v/>
      </c>
      <c r="V106" s="5">
        <f>IF(A106="","",IF(C106&gt;MaxTradesDay,"BREACH","OK"))</f>
        <v/>
      </c>
      <c r="W106" s="5">
        <f>IF(A106="","",IF(O106&lt;=-WeeklyDDLimit,"BREACH","OK"))</f>
        <v/>
      </c>
      <c r="X106" s="5">
        <f>IF(A106="","",IF(OR(U106="BREACH",V106="BREACH",W106="BREACH",T106&gt;0,R106&gt;MaxLots),"LIMIT BROKEN","OK"))</f>
        <v/>
      </c>
    </row>
    <row r="107">
      <c r="A107" s="57">
        <f>IF(A106="","",IFERROR(SMALL(TL_Date,COUNTIF(TL_Date,"&lt;="&amp;A106)+1),""))</f>
        <v/>
      </c>
      <c r="B107" s="5">
        <f>IF(A107="","",TEXT(A107,"ddd"))</f>
        <v/>
      </c>
      <c r="C107" s="28">
        <f>IF(A107="","",COUNTIF(TL_Date,A107))</f>
        <v/>
      </c>
      <c r="D107" s="28">
        <f>IF(A107="","",COUNTIFS(TL_Date,A107,TL_Net,"&gt;0"))</f>
        <v/>
      </c>
      <c r="E107" s="28">
        <f>IF(A107="","",COUNTIFS(TL_Date,A107,TL_Net,"&lt;0"))</f>
        <v/>
      </c>
      <c r="F107" s="39">
        <f>IF(A107="","",SUMIFS(TL_Gross,TL_Date,A107))</f>
        <v/>
      </c>
      <c r="G107" s="39">
        <f>IF(A107="","",SUMIFS(TL_Chg,TL_Date,A107))</f>
        <v/>
      </c>
      <c r="H107" s="39">
        <f>IF(A107="","",SUMIFS(TL_Net,TL_Date,A107))</f>
        <v/>
      </c>
      <c r="I107" s="39">
        <f>IF(A107="","",SUM($H$6:H107))</f>
        <v/>
      </c>
      <c r="J107" s="39">
        <f>IF(A107="","",Capital+I107)</f>
        <v/>
      </c>
      <c r="K107" s="39">
        <f>IF(A107="","",MAX(Capital,MAX($J$6:J107)))</f>
        <v/>
      </c>
      <c r="L107" s="39">
        <f>IF(A107="","",K107-J107)</f>
        <v/>
      </c>
      <c r="M107" s="58">
        <f>IF(A107="","",L107/K107)</f>
        <v/>
      </c>
      <c r="N107" s="57">
        <f>IF(A107="","",A107-WEEKDAY(A107,3))</f>
        <v/>
      </c>
      <c r="O107" s="39">
        <f>IF(A107="","",SUMIFS($H$6:H107,$N$6:N107,N107))</f>
        <v/>
      </c>
      <c r="P107" s="58">
        <f>IF(A107="","",IFERROR(COUNTIFS(TL_Date,A107,TL_Followed,"Y")/C107,0))</f>
        <v/>
      </c>
      <c r="Q107" s="28">
        <f>IF(A107="","",COUNTIFS(TL_Date,A107,TL_Followed,"N"))</f>
        <v/>
      </c>
      <c r="R107" s="28">
        <f>IF(A107="","",_xlfn.MAXIFS(TL_Lots,TL_Date,A107))</f>
        <v/>
      </c>
      <c r="S107" s="39">
        <f>IF(A107="","",SUMIFS(TL_GiveBack,TL_Date,A107))</f>
        <v/>
      </c>
      <c r="T107" s="28">
        <f>IF(A107="","",COUNTIFS(TL_Date,A107,TL_ExpBreach,"BREACH"))</f>
        <v/>
      </c>
      <c r="U107" s="5">
        <f>IF(A107="","",IF(H107&lt;=-DailyLossLimit,"BREACH","OK"))</f>
        <v/>
      </c>
      <c r="V107" s="5">
        <f>IF(A107="","",IF(C107&gt;MaxTradesDay,"BREACH","OK"))</f>
        <v/>
      </c>
      <c r="W107" s="5">
        <f>IF(A107="","",IF(O107&lt;=-WeeklyDDLimit,"BREACH","OK"))</f>
        <v/>
      </c>
      <c r="X107" s="5">
        <f>IF(A107="","",IF(OR(U107="BREACH",V107="BREACH",W107="BREACH",T107&gt;0,R107&gt;MaxLots),"LIMIT BROKEN","OK"))</f>
        <v/>
      </c>
    </row>
    <row r="108">
      <c r="A108" s="57">
        <f>IF(A107="","",IFERROR(SMALL(TL_Date,COUNTIF(TL_Date,"&lt;="&amp;A107)+1),""))</f>
        <v/>
      </c>
      <c r="B108" s="5">
        <f>IF(A108="","",TEXT(A108,"ddd"))</f>
        <v/>
      </c>
      <c r="C108" s="28">
        <f>IF(A108="","",COUNTIF(TL_Date,A108))</f>
        <v/>
      </c>
      <c r="D108" s="28">
        <f>IF(A108="","",COUNTIFS(TL_Date,A108,TL_Net,"&gt;0"))</f>
        <v/>
      </c>
      <c r="E108" s="28">
        <f>IF(A108="","",COUNTIFS(TL_Date,A108,TL_Net,"&lt;0"))</f>
        <v/>
      </c>
      <c r="F108" s="39">
        <f>IF(A108="","",SUMIFS(TL_Gross,TL_Date,A108))</f>
        <v/>
      </c>
      <c r="G108" s="39">
        <f>IF(A108="","",SUMIFS(TL_Chg,TL_Date,A108))</f>
        <v/>
      </c>
      <c r="H108" s="39">
        <f>IF(A108="","",SUMIFS(TL_Net,TL_Date,A108))</f>
        <v/>
      </c>
      <c r="I108" s="39">
        <f>IF(A108="","",SUM($H$6:H108))</f>
        <v/>
      </c>
      <c r="J108" s="39">
        <f>IF(A108="","",Capital+I108)</f>
        <v/>
      </c>
      <c r="K108" s="39">
        <f>IF(A108="","",MAX(Capital,MAX($J$6:J108)))</f>
        <v/>
      </c>
      <c r="L108" s="39">
        <f>IF(A108="","",K108-J108)</f>
        <v/>
      </c>
      <c r="M108" s="58">
        <f>IF(A108="","",L108/K108)</f>
        <v/>
      </c>
      <c r="N108" s="57">
        <f>IF(A108="","",A108-WEEKDAY(A108,3))</f>
        <v/>
      </c>
      <c r="O108" s="39">
        <f>IF(A108="","",SUMIFS($H$6:H108,$N$6:N108,N108))</f>
        <v/>
      </c>
      <c r="P108" s="58">
        <f>IF(A108="","",IFERROR(COUNTIFS(TL_Date,A108,TL_Followed,"Y")/C108,0))</f>
        <v/>
      </c>
      <c r="Q108" s="28">
        <f>IF(A108="","",COUNTIFS(TL_Date,A108,TL_Followed,"N"))</f>
        <v/>
      </c>
      <c r="R108" s="28">
        <f>IF(A108="","",_xlfn.MAXIFS(TL_Lots,TL_Date,A108))</f>
        <v/>
      </c>
      <c r="S108" s="39">
        <f>IF(A108="","",SUMIFS(TL_GiveBack,TL_Date,A108))</f>
        <v/>
      </c>
      <c r="T108" s="28">
        <f>IF(A108="","",COUNTIFS(TL_Date,A108,TL_ExpBreach,"BREACH"))</f>
        <v/>
      </c>
      <c r="U108" s="5">
        <f>IF(A108="","",IF(H108&lt;=-DailyLossLimit,"BREACH","OK"))</f>
        <v/>
      </c>
      <c r="V108" s="5">
        <f>IF(A108="","",IF(C108&gt;MaxTradesDay,"BREACH","OK"))</f>
        <v/>
      </c>
      <c r="W108" s="5">
        <f>IF(A108="","",IF(O108&lt;=-WeeklyDDLimit,"BREACH","OK"))</f>
        <v/>
      </c>
      <c r="X108" s="5">
        <f>IF(A108="","",IF(OR(U108="BREACH",V108="BREACH",W108="BREACH",T108&gt;0,R108&gt;MaxLots),"LIMIT BROKEN","OK"))</f>
        <v/>
      </c>
    </row>
    <row r="109">
      <c r="A109" s="57">
        <f>IF(A108="","",IFERROR(SMALL(TL_Date,COUNTIF(TL_Date,"&lt;="&amp;A108)+1),""))</f>
        <v/>
      </c>
      <c r="B109" s="5">
        <f>IF(A109="","",TEXT(A109,"ddd"))</f>
        <v/>
      </c>
      <c r="C109" s="28">
        <f>IF(A109="","",COUNTIF(TL_Date,A109))</f>
        <v/>
      </c>
      <c r="D109" s="28">
        <f>IF(A109="","",COUNTIFS(TL_Date,A109,TL_Net,"&gt;0"))</f>
        <v/>
      </c>
      <c r="E109" s="28">
        <f>IF(A109="","",COUNTIFS(TL_Date,A109,TL_Net,"&lt;0"))</f>
        <v/>
      </c>
      <c r="F109" s="39">
        <f>IF(A109="","",SUMIFS(TL_Gross,TL_Date,A109))</f>
        <v/>
      </c>
      <c r="G109" s="39">
        <f>IF(A109="","",SUMIFS(TL_Chg,TL_Date,A109))</f>
        <v/>
      </c>
      <c r="H109" s="39">
        <f>IF(A109="","",SUMIFS(TL_Net,TL_Date,A109))</f>
        <v/>
      </c>
      <c r="I109" s="39">
        <f>IF(A109="","",SUM($H$6:H109))</f>
        <v/>
      </c>
      <c r="J109" s="39">
        <f>IF(A109="","",Capital+I109)</f>
        <v/>
      </c>
      <c r="K109" s="39">
        <f>IF(A109="","",MAX(Capital,MAX($J$6:J109)))</f>
        <v/>
      </c>
      <c r="L109" s="39">
        <f>IF(A109="","",K109-J109)</f>
        <v/>
      </c>
      <c r="M109" s="58">
        <f>IF(A109="","",L109/K109)</f>
        <v/>
      </c>
      <c r="N109" s="57">
        <f>IF(A109="","",A109-WEEKDAY(A109,3))</f>
        <v/>
      </c>
      <c r="O109" s="39">
        <f>IF(A109="","",SUMIFS($H$6:H109,$N$6:N109,N109))</f>
        <v/>
      </c>
      <c r="P109" s="58">
        <f>IF(A109="","",IFERROR(COUNTIFS(TL_Date,A109,TL_Followed,"Y")/C109,0))</f>
        <v/>
      </c>
      <c r="Q109" s="28">
        <f>IF(A109="","",COUNTIFS(TL_Date,A109,TL_Followed,"N"))</f>
        <v/>
      </c>
      <c r="R109" s="28">
        <f>IF(A109="","",_xlfn.MAXIFS(TL_Lots,TL_Date,A109))</f>
        <v/>
      </c>
      <c r="S109" s="39">
        <f>IF(A109="","",SUMIFS(TL_GiveBack,TL_Date,A109))</f>
        <v/>
      </c>
      <c r="T109" s="28">
        <f>IF(A109="","",COUNTIFS(TL_Date,A109,TL_ExpBreach,"BREACH"))</f>
        <v/>
      </c>
      <c r="U109" s="5">
        <f>IF(A109="","",IF(H109&lt;=-DailyLossLimit,"BREACH","OK"))</f>
        <v/>
      </c>
      <c r="V109" s="5">
        <f>IF(A109="","",IF(C109&gt;MaxTradesDay,"BREACH","OK"))</f>
        <v/>
      </c>
      <c r="W109" s="5">
        <f>IF(A109="","",IF(O109&lt;=-WeeklyDDLimit,"BREACH","OK"))</f>
        <v/>
      </c>
      <c r="X109" s="5">
        <f>IF(A109="","",IF(OR(U109="BREACH",V109="BREACH",W109="BREACH",T109&gt;0,R109&gt;MaxLots),"LIMIT BROKEN","OK"))</f>
        <v/>
      </c>
    </row>
    <row r="110">
      <c r="A110" s="57">
        <f>IF(A109="","",IFERROR(SMALL(TL_Date,COUNTIF(TL_Date,"&lt;="&amp;A109)+1),""))</f>
        <v/>
      </c>
      <c r="B110" s="5">
        <f>IF(A110="","",TEXT(A110,"ddd"))</f>
        <v/>
      </c>
      <c r="C110" s="28">
        <f>IF(A110="","",COUNTIF(TL_Date,A110))</f>
        <v/>
      </c>
      <c r="D110" s="28">
        <f>IF(A110="","",COUNTIFS(TL_Date,A110,TL_Net,"&gt;0"))</f>
        <v/>
      </c>
      <c r="E110" s="28">
        <f>IF(A110="","",COUNTIFS(TL_Date,A110,TL_Net,"&lt;0"))</f>
        <v/>
      </c>
      <c r="F110" s="39">
        <f>IF(A110="","",SUMIFS(TL_Gross,TL_Date,A110))</f>
        <v/>
      </c>
      <c r="G110" s="39">
        <f>IF(A110="","",SUMIFS(TL_Chg,TL_Date,A110))</f>
        <v/>
      </c>
      <c r="H110" s="39">
        <f>IF(A110="","",SUMIFS(TL_Net,TL_Date,A110))</f>
        <v/>
      </c>
      <c r="I110" s="39">
        <f>IF(A110="","",SUM($H$6:H110))</f>
        <v/>
      </c>
      <c r="J110" s="39">
        <f>IF(A110="","",Capital+I110)</f>
        <v/>
      </c>
      <c r="K110" s="39">
        <f>IF(A110="","",MAX(Capital,MAX($J$6:J110)))</f>
        <v/>
      </c>
      <c r="L110" s="39">
        <f>IF(A110="","",K110-J110)</f>
        <v/>
      </c>
      <c r="M110" s="58">
        <f>IF(A110="","",L110/K110)</f>
        <v/>
      </c>
      <c r="N110" s="57">
        <f>IF(A110="","",A110-WEEKDAY(A110,3))</f>
        <v/>
      </c>
      <c r="O110" s="39">
        <f>IF(A110="","",SUMIFS($H$6:H110,$N$6:N110,N110))</f>
        <v/>
      </c>
      <c r="P110" s="58">
        <f>IF(A110="","",IFERROR(COUNTIFS(TL_Date,A110,TL_Followed,"Y")/C110,0))</f>
        <v/>
      </c>
      <c r="Q110" s="28">
        <f>IF(A110="","",COUNTIFS(TL_Date,A110,TL_Followed,"N"))</f>
        <v/>
      </c>
      <c r="R110" s="28">
        <f>IF(A110="","",_xlfn.MAXIFS(TL_Lots,TL_Date,A110))</f>
        <v/>
      </c>
      <c r="S110" s="39">
        <f>IF(A110="","",SUMIFS(TL_GiveBack,TL_Date,A110))</f>
        <v/>
      </c>
      <c r="T110" s="28">
        <f>IF(A110="","",COUNTIFS(TL_Date,A110,TL_ExpBreach,"BREACH"))</f>
        <v/>
      </c>
      <c r="U110" s="5">
        <f>IF(A110="","",IF(H110&lt;=-DailyLossLimit,"BREACH","OK"))</f>
        <v/>
      </c>
      <c r="V110" s="5">
        <f>IF(A110="","",IF(C110&gt;MaxTradesDay,"BREACH","OK"))</f>
        <v/>
      </c>
      <c r="W110" s="5">
        <f>IF(A110="","",IF(O110&lt;=-WeeklyDDLimit,"BREACH","OK"))</f>
        <v/>
      </c>
      <c r="X110" s="5">
        <f>IF(A110="","",IF(OR(U110="BREACH",V110="BREACH",W110="BREACH",T110&gt;0,R110&gt;MaxLots),"LIMIT BROKEN","OK"))</f>
        <v/>
      </c>
    </row>
    <row r="111">
      <c r="A111" s="57">
        <f>IF(A110="","",IFERROR(SMALL(TL_Date,COUNTIF(TL_Date,"&lt;="&amp;A110)+1),""))</f>
        <v/>
      </c>
      <c r="B111" s="5">
        <f>IF(A111="","",TEXT(A111,"ddd"))</f>
        <v/>
      </c>
      <c r="C111" s="28">
        <f>IF(A111="","",COUNTIF(TL_Date,A111))</f>
        <v/>
      </c>
      <c r="D111" s="28">
        <f>IF(A111="","",COUNTIFS(TL_Date,A111,TL_Net,"&gt;0"))</f>
        <v/>
      </c>
      <c r="E111" s="28">
        <f>IF(A111="","",COUNTIFS(TL_Date,A111,TL_Net,"&lt;0"))</f>
        <v/>
      </c>
      <c r="F111" s="39">
        <f>IF(A111="","",SUMIFS(TL_Gross,TL_Date,A111))</f>
        <v/>
      </c>
      <c r="G111" s="39">
        <f>IF(A111="","",SUMIFS(TL_Chg,TL_Date,A111))</f>
        <v/>
      </c>
      <c r="H111" s="39">
        <f>IF(A111="","",SUMIFS(TL_Net,TL_Date,A111))</f>
        <v/>
      </c>
      <c r="I111" s="39">
        <f>IF(A111="","",SUM($H$6:H111))</f>
        <v/>
      </c>
      <c r="J111" s="39">
        <f>IF(A111="","",Capital+I111)</f>
        <v/>
      </c>
      <c r="K111" s="39">
        <f>IF(A111="","",MAX(Capital,MAX($J$6:J111)))</f>
        <v/>
      </c>
      <c r="L111" s="39">
        <f>IF(A111="","",K111-J111)</f>
        <v/>
      </c>
      <c r="M111" s="58">
        <f>IF(A111="","",L111/K111)</f>
        <v/>
      </c>
      <c r="N111" s="57">
        <f>IF(A111="","",A111-WEEKDAY(A111,3))</f>
        <v/>
      </c>
      <c r="O111" s="39">
        <f>IF(A111="","",SUMIFS($H$6:H111,$N$6:N111,N111))</f>
        <v/>
      </c>
      <c r="P111" s="58">
        <f>IF(A111="","",IFERROR(COUNTIFS(TL_Date,A111,TL_Followed,"Y")/C111,0))</f>
        <v/>
      </c>
      <c r="Q111" s="28">
        <f>IF(A111="","",COUNTIFS(TL_Date,A111,TL_Followed,"N"))</f>
        <v/>
      </c>
      <c r="R111" s="28">
        <f>IF(A111="","",_xlfn.MAXIFS(TL_Lots,TL_Date,A111))</f>
        <v/>
      </c>
      <c r="S111" s="39">
        <f>IF(A111="","",SUMIFS(TL_GiveBack,TL_Date,A111))</f>
        <v/>
      </c>
      <c r="T111" s="28">
        <f>IF(A111="","",COUNTIFS(TL_Date,A111,TL_ExpBreach,"BREACH"))</f>
        <v/>
      </c>
      <c r="U111" s="5">
        <f>IF(A111="","",IF(H111&lt;=-DailyLossLimit,"BREACH","OK"))</f>
        <v/>
      </c>
      <c r="V111" s="5">
        <f>IF(A111="","",IF(C111&gt;MaxTradesDay,"BREACH","OK"))</f>
        <v/>
      </c>
      <c r="W111" s="5">
        <f>IF(A111="","",IF(O111&lt;=-WeeklyDDLimit,"BREACH","OK"))</f>
        <v/>
      </c>
      <c r="X111" s="5">
        <f>IF(A111="","",IF(OR(U111="BREACH",V111="BREACH",W111="BREACH",T111&gt;0,R111&gt;MaxLots),"LIMIT BROKEN","OK"))</f>
        <v/>
      </c>
    </row>
    <row r="112">
      <c r="A112" s="57">
        <f>IF(A111="","",IFERROR(SMALL(TL_Date,COUNTIF(TL_Date,"&lt;="&amp;A111)+1),""))</f>
        <v/>
      </c>
      <c r="B112" s="5">
        <f>IF(A112="","",TEXT(A112,"ddd"))</f>
        <v/>
      </c>
      <c r="C112" s="28">
        <f>IF(A112="","",COUNTIF(TL_Date,A112))</f>
        <v/>
      </c>
      <c r="D112" s="28">
        <f>IF(A112="","",COUNTIFS(TL_Date,A112,TL_Net,"&gt;0"))</f>
        <v/>
      </c>
      <c r="E112" s="28">
        <f>IF(A112="","",COUNTIFS(TL_Date,A112,TL_Net,"&lt;0"))</f>
        <v/>
      </c>
      <c r="F112" s="39">
        <f>IF(A112="","",SUMIFS(TL_Gross,TL_Date,A112))</f>
        <v/>
      </c>
      <c r="G112" s="39">
        <f>IF(A112="","",SUMIFS(TL_Chg,TL_Date,A112))</f>
        <v/>
      </c>
      <c r="H112" s="39">
        <f>IF(A112="","",SUMIFS(TL_Net,TL_Date,A112))</f>
        <v/>
      </c>
      <c r="I112" s="39">
        <f>IF(A112="","",SUM($H$6:H112))</f>
        <v/>
      </c>
      <c r="J112" s="39">
        <f>IF(A112="","",Capital+I112)</f>
        <v/>
      </c>
      <c r="K112" s="39">
        <f>IF(A112="","",MAX(Capital,MAX($J$6:J112)))</f>
        <v/>
      </c>
      <c r="L112" s="39">
        <f>IF(A112="","",K112-J112)</f>
        <v/>
      </c>
      <c r="M112" s="58">
        <f>IF(A112="","",L112/K112)</f>
        <v/>
      </c>
      <c r="N112" s="57">
        <f>IF(A112="","",A112-WEEKDAY(A112,3))</f>
        <v/>
      </c>
      <c r="O112" s="39">
        <f>IF(A112="","",SUMIFS($H$6:H112,$N$6:N112,N112))</f>
        <v/>
      </c>
      <c r="P112" s="58">
        <f>IF(A112="","",IFERROR(COUNTIFS(TL_Date,A112,TL_Followed,"Y")/C112,0))</f>
        <v/>
      </c>
      <c r="Q112" s="28">
        <f>IF(A112="","",COUNTIFS(TL_Date,A112,TL_Followed,"N"))</f>
        <v/>
      </c>
      <c r="R112" s="28">
        <f>IF(A112="","",_xlfn.MAXIFS(TL_Lots,TL_Date,A112))</f>
        <v/>
      </c>
      <c r="S112" s="39">
        <f>IF(A112="","",SUMIFS(TL_GiveBack,TL_Date,A112))</f>
        <v/>
      </c>
      <c r="T112" s="28">
        <f>IF(A112="","",COUNTIFS(TL_Date,A112,TL_ExpBreach,"BREACH"))</f>
        <v/>
      </c>
      <c r="U112" s="5">
        <f>IF(A112="","",IF(H112&lt;=-DailyLossLimit,"BREACH","OK"))</f>
        <v/>
      </c>
      <c r="V112" s="5">
        <f>IF(A112="","",IF(C112&gt;MaxTradesDay,"BREACH","OK"))</f>
        <v/>
      </c>
      <c r="W112" s="5">
        <f>IF(A112="","",IF(O112&lt;=-WeeklyDDLimit,"BREACH","OK"))</f>
        <v/>
      </c>
      <c r="X112" s="5">
        <f>IF(A112="","",IF(OR(U112="BREACH",V112="BREACH",W112="BREACH",T112&gt;0,R112&gt;MaxLots),"LIMIT BROKEN","OK"))</f>
        <v/>
      </c>
    </row>
    <row r="113">
      <c r="A113" s="57">
        <f>IF(A112="","",IFERROR(SMALL(TL_Date,COUNTIF(TL_Date,"&lt;="&amp;A112)+1),""))</f>
        <v/>
      </c>
      <c r="B113" s="5">
        <f>IF(A113="","",TEXT(A113,"ddd"))</f>
        <v/>
      </c>
      <c r="C113" s="28">
        <f>IF(A113="","",COUNTIF(TL_Date,A113))</f>
        <v/>
      </c>
      <c r="D113" s="28">
        <f>IF(A113="","",COUNTIFS(TL_Date,A113,TL_Net,"&gt;0"))</f>
        <v/>
      </c>
      <c r="E113" s="28">
        <f>IF(A113="","",COUNTIFS(TL_Date,A113,TL_Net,"&lt;0"))</f>
        <v/>
      </c>
      <c r="F113" s="39">
        <f>IF(A113="","",SUMIFS(TL_Gross,TL_Date,A113))</f>
        <v/>
      </c>
      <c r="G113" s="39">
        <f>IF(A113="","",SUMIFS(TL_Chg,TL_Date,A113))</f>
        <v/>
      </c>
      <c r="H113" s="39">
        <f>IF(A113="","",SUMIFS(TL_Net,TL_Date,A113))</f>
        <v/>
      </c>
      <c r="I113" s="39">
        <f>IF(A113="","",SUM($H$6:H113))</f>
        <v/>
      </c>
      <c r="J113" s="39">
        <f>IF(A113="","",Capital+I113)</f>
        <v/>
      </c>
      <c r="K113" s="39">
        <f>IF(A113="","",MAX(Capital,MAX($J$6:J113)))</f>
        <v/>
      </c>
      <c r="L113" s="39">
        <f>IF(A113="","",K113-J113)</f>
        <v/>
      </c>
      <c r="M113" s="58">
        <f>IF(A113="","",L113/K113)</f>
        <v/>
      </c>
      <c r="N113" s="57">
        <f>IF(A113="","",A113-WEEKDAY(A113,3))</f>
        <v/>
      </c>
      <c r="O113" s="39">
        <f>IF(A113="","",SUMIFS($H$6:H113,$N$6:N113,N113))</f>
        <v/>
      </c>
      <c r="P113" s="58">
        <f>IF(A113="","",IFERROR(COUNTIFS(TL_Date,A113,TL_Followed,"Y")/C113,0))</f>
        <v/>
      </c>
      <c r="Q113" s="28">
        <f>IF(A113="","",COUNTIFS(TL_Date,A113,TL_Followed,"N"))</f>
        <v/>
      </c>
      <c r="R113" s="28">
        <f>IF(A113="","",_xlfn.MAXIFS(TL_Lots,TL_Date,A113))</f>
        <v/>
      </c>
      <c r="S113" s="39">
        <f>IF(A113="","",SUMIFS(TL_GiveBack,TL_Date,A113))</f>
        <v/>
      </c>
      <c r="T113" s="28">
        <f>IF(A113="","",COUNTIFS(TL_Date,A113,TL_ExpBreach,"BREACH"))</f>
        <v/>
      </c>
      <c r="U113" s="5">
        <f>IF(A113="","",IF(H113&lt;=-DailyLossLimit,"BREACH","OK"))</f>
        <v/>
      </c>
      <c r="V113" s="5">
        <f>IF(A113="","",IF(C113&gt;MaxTradesDay,"BREACH","OK"))</f>
        <v/>
      </c>
      <c r="W113" s="5">
        <f>IF(A113="","",IF(O113&lt;=-WeeklyDDLimit,"BREACH","OK"))</f>
        <v/>
      </c>
      <c r="X113" s="5">
        <f>IF(A113="","",IF(OR(U113="BREACH",V113="BREACH",W113="BREACH",T113&gt;0,R113&gt;MaxLots),"LIMIT BROKEN","OK"))</f>
        <v/>
      </c>
    </row>
    <row r="114">
      <c r="A114" s="57">
        <f>IF(A113="","",IFERROR(SMALL(TL_Date,COUNTIF(TL_Date,"&lt;="&amp;A113)+1),""))</f>
        <v/>
      </c>
      <c r="B114" s="5">
        <f>IF(A114="","",TEXT(A114,"ddd"))</f>
        <v/>
      </c>
      <c r="C114" s="28">
        <f>IF(A114="","",COUNTIF(TL_Date,A114))</f>
        <v/>
      </c>
      <c r="D114" s="28">
        <f>IF(A114="","",COUNTIFS(TL_Date,A114,TL_Net,"&gt;0"))</f>
        <v/>
      </c>
      <c r="E114" s="28">
        <f>IF(A114="","",COUNTIFS(TL_Date,A114,TL_Net,"&lt;0"))</f>
        <v/>
      </c>
      <c r="F114" s="39">
        <f>IF(A114="","",SUMIFS(TL_Gross,TL_Date,A114))</f>
        <v/>
      </c>
      <c r="G114" s="39">
        <f>IF(A114="","",SUMIFS(TL_Chg,TL_Date,A114))</f>
        <v/>
      </c>
      <c r="H114" s="39">
        <f>IF(A114="","",SUMIFS(TL_Net,TL_Date,A114))</f>
        <v/>
      </c>
      <c r="I114" s="39">
        <f>IF(A114="","",SUM($H$6:H114))</f>
        <v/>
      </c>
      <c r="J114" s="39">
        <f>IF(A114="","",Capital+I114)</f>
        <v/>
      </c>
      <c r="K114" s="39">
        <f>IF(A114="","",MAX(Capital,MAX($J$6:J114)))</f>
        <v/>
      </c>
      <c r="L114" s="39">
        <f>IF(A114="","",K114-J114)</f>
        <v/>
      </c>
      <c r="M114" s="58">
        <f>IF(A114="","",L114/K114)</f>
        <v/>
      </c>
      <c r="N114" s="57">
        <f>IF(A114="","",A114-WEEKDAY(A114,3))</f>
        <v/>
      </c>
      <c r="O114" s="39">
        <f>IF(A114="","",SUMIFS($H$6:H114,$N$6:N114,N114))</f>
        <v/>
      </c>
      <c r="P114" s="58">
        <f>IF(A114="","",IFERROR(COUNTIFS(TL_Date,A114,TL_Followed,"Y")/C114,0))</f>
        <v/>
      </c>
      <c r="Q114" s="28">
        <f>IF(A114="","",COUNTIFS(TL_Date,A114,TL_Followed,"N"))</f>
        <v/>
      </c>
      <c r="R114" s="28">
        <f>IF(A114="","",_xlfn.MAXIFS(TL_Lots,TL_Date,A114))</f>
        <v/>
      </c>
      <c r="S114" s="39">
        <f>IF(A114="","",SUMIFS(TL_GiveBack,TL_Date,A114))</f>
        <v/>
      </c>
      <c r="T114" s="28">
        <f>IF(A114="","",COUNTIFS(TL_Date,A114,TL_ExpBreach,"BREACH"))</f>
        <v/>
      </c>
      <c r="U114" s="5">
        <f>IF(A114="","",IF(H114&lt;=-DailyLossLimit,"BREACH","OK"))</f>
        <v/>
      </c>
      <c r="V114" s="5">
        <f>IF(A114="","",IF(C114&gt;MaxTradesDay,"BREACH","OK"))</f>
        <v/>
      </c>
      <c r="W114" s="5">
        <f>IF(A114="","",IF(O114&lt;=-WeeklyDDLimit,"BREACH","OK"))</f>
        <v/>
      </c>
      <c r="X114" s="5">
        <f>IF(A114="","",IF(OR(U114="BREACH",V114="BREACH",W114="BREACH",T114&gt;0,R114&gt;MaxLots),"LIMIT BROKEN","OK"))</f>
        <v/>
      </c>
    </row>
    <row r="115">
      <c r="A115" s="57">
        <f>IF(A114="","",IFERROR(SMALL(TL_Date,COUNTIF(TL_Date,"&lt;="&amp;A114)+1),""))</f>
        <v/>
      </c>
      <c r="B115" s="5">
        <f>IF(A115="","",TEXT(A115,"ddd"))</f>
        <v/>
      </c>
      <c r="C115" s="28">
        <f>IF(A115="","",COUNTIF(TL_Date,A115))</f>
        <v/>
      </c>
      <c r="D115" s="28">
        <f>IF(A115="","",COUNTIFS(TL_Date,A115,TL_Net,"&gt;0"))</f>
        <v/>
      </c>
      <c r="E115" s="28">
        <f>IF(A115="","",COUNTIFS(TL_Date,A115,TL_Net,"&lt;0"))</f>
        <v/>
      </c>
      <c r="F115" s="39">
        <f>IF(A115="","",SUMIFS(TL_Gross,TL_Date,A115))</f>
        <v/>
      </c>
      <c r="G115" s="39">
        <f>IF(A115="","",SUMIFS(TL_Chg,TL_Date,A115))</f>
        <v/>
      </c>
      <c r="H115" s="39">
        <f>IF(A115="","",SUMIFS(TL_Net,TL_Date,A115))</f>
        <v/>
      </c>
      <c r="I115" s="39">
        <f>IF(A115="","",SUM($H$6:H115))</f>
        <v/>
      </c>
      <c r="J115" s="39">
        <f>IF(A115="","",Capital+I115)</f>
        <v/>
      </c>
      <c r="K115" s="39">
        <f>IF(A115="","",MAX(Capital,MAX($J$6:J115)))</f>
        <v/>
      </c>
      <c r="L115" s="39">
        <f>IF(A115="","",K115-J115)</f>
        <v/>
      </c>
      <c r="M115" s="58">
        <f>IF(A115="","",L115/K115)</f>
        <v/>
      </c>
      <c r="N115" s="57">
        <f>IF(A115="","",A115-WEEKDAY(A115,3))</f>
        <v/>
      </c>
      <c r="O115" s="39">
        <f>IF(A115="","",SUMIFS($H$6:H115,$N$6:N115,N115))</f>
        <v/>
      </c>
      <c r="P115" s="58">
        <f>IF(A115="","",IFERROR(COUNTIFS(TL_Date,A115,TL_Followed,"Y")/C115,0))</f>
        <v/>
      </c>
      <c r="Q115" s="28">
        <f>IF(A115="","",COUNTIFS(TL_Date,A115,TL_Followed,"N"))</f>
        <v/>
      </c>
      <c r="R115" s="28">
        <f>IF(A115="","",_xlfn.MAXIFS(TL_Lots,TL_Date,A115))</f>
        <v/>
      </c>
      <c r="S115" s="39">
        <f>IF(A115="","",SUMIFS(TL_GiveBack,TL_Date,A115))</f>
        <v/>
      </c>
      <c r="T115" s="28">
        <f>IF(A115="","",COUNTIFS(TL_Date,A115,TL_ExpBreach,"BREACH"))</f>
        <v/>
      </c>
      <c r="U115" s="5">
        <f>IF(A115="","",IF(H115&lt;=-DailyLossLimit,"BREACH","OK"))</f>
        <v/>
      </c>
      <c r="V115" s="5">
        <f>IF(A115="","",IF(C115&gt;MaxTradesDay,"BREACH","OK"))</f>
        <v/>
      </c>
      <c r="W115" s="5">
        <f>IF(A115="","",IF(O115&lt;=-WeeklyDDLimit,"BREACH","OK"))</f>
        <v/>
      </c>
      <c r="X115" s="5">
        <f>IF(A115="","",IF(OR(U115="BREACH",V115="BREACH",W115="BREACH",T115&gt;0,R115&gt;MaxLots),"LIMIT BROKEN","OK"))</f>
        <v/>
      </c>
    </row>
    <row r="116">
      <c r="A116" s="57">
        <f>IF(A115="","",IFERROR(SMALL(TL_Date,COUNTIF(TL_Date,"&lt;="&amp;A115)+1),""))</f>
        <v/>
      </c>
      <c r="B116" s="5">
        <f>IF(A116="","",TEXT(A116,"ddd"))</f>
        <v/>
      </c>
      <c r="C116" s="28">
        <f>IF(A116="","",COUNTIF(TL_Date,A116))</f>
        <v/>
      </c>
      <c r="D116" s="28">
        <f>IF(A116="","",COUNTIFS(TL_Date,A116,TL_Net,"&gt;0"))</f>
        <v/>
      </c>
      <c r="E116" s="28">
        <f>IF(A116="","",COUNTIFS(TL_Date,A116,TL_Net,"&lt;0"))</f>
        <v/>
      </c>
      <c r="F116" s="39">
        <f>IF(A116="","",SUMIFS(TL_Gross,TL_Date,A116))</f>
        <v/>
      </c>
      <c r="G116" s="39">
        <f>IF(A116="","",SUMIFS(TL_Chg,TL_Date,A116))</f>
        <v/>
      </c>
      <c r="H116" s="39">
        <f>IF(A116="","",SUMIFS(TL_Net,TL_Date,A116))</f>
        <v/>
      </c>
      <c r="I116" s="39">
        <f>IF(A116="","",SUM($H$6:H116))</f>
        <v/>
      </c>
      <c r="J116" s="39">
        <f>IF(A116="","",Capital+I116)</f>
        <v/>
      </c>
      <c r="K116" s="39">
        <f>IF(A116="","",MAX(Capital,MAX($J$6:J116)))</f>
        <v/>
      </c>
      <c r="L116" s="39">
        <f>IF(A116="","",K116-J116)</f>
        <v/>
      </c>
      <c r="M116" s="58">
        <f>IF(A116="","",L116/K116)</f>
        <v/>
      </c>
      <c r="N116" s="57">
        <f>IF(A116="","",A116-WEEKDAY(A116,3))</f>
        <v/>
      </c>
      <c r="O116" s="39">
        <f>IF(A116="","",SUMIFS($H$6:H116,$N$6:N116,N116))</f>
        <v/>
      </c>
      <c r="P116" s="58">
        <f>IF(A116="","",IFERROR(COUNTIFS(TL_Date,A116,TL_Followed,"Y")/C116,0))</f>
        <v/>
      </c>
      <c r="Q116" s="28">
        <f>IF(A116="","",COUNTIFS(TL_Date,A116,TL_Followed,"N"))</f>
        <v/>
      </c>
      <c r="R116" s="28">
        <f>IF(A116="","",_xlfn.MAXIFS(TL_Lots,TL_Date,A116))</f>
        <v/>
      </c>
      <c r="S116" s="39">
        <f>IF(A116="","",SUMIFS(TL_GiveBack,TL_Date,A116))</f>
        <v/>
      </c>
      <c r="T116" s="28">
        <f>IF(A116="","",COUNTIFS(TL_Date,A116,TL_ExpBreach,"BREACH"))</f>
        <v/>
      </c>
      <c r="U116" s="5">
        <f>IF(A116="","",IF(H116&lt;=-DailyLossLimit,"BREACH","OK"))</f>
        <v/>
      </c>
      <c r="V116" s="5">
        <f>IF(A116="","",IF(C116&gt;MaxTradesDay,"BREACH","OK"))</f>
        <v/>
      </c>
      <c r="W116" s="5">
        <f>IF(A116="","",IF(O116&lt;=-WeeklyDDLimit,"BREACH","OK"))</f>
        <v/>
      </c>
      <c r="X116" s="5">
        <f>IF(A116="","",IF(OR(U116="BREACH",V116="BREACH",W116="BREACH",T116&gt;0,R116&gt;MaxLots),"LIMIT BROKEN","OK"))</f>
        <v/>
      </c>
    </row>
    <row r="117">
      <c r="A117" s="57">
        <f>IF(A116="","",IFERROR(SMALL(TL_Date,COUNTIF(TL_Date,"&lt;="&amp;A116)+1),""))</f>
        <v/>
      </c>
      <c r="B117" s="5">
        <f>IF(A117="","",TEXT(A117,"ddd"))</f>
        <v/>
      </c>
      <c r="C117" s="28">
        <f>IF(A117="","",COUNTIF(TL_Date,A117))</f>
        <v/>
      </c>
      <c r="D117" s="28">
        <f>IF(A117="","",COUNTIFS(TL_Date,A117,TL_Net,"&gt;0"))</f>
        <v/>
      </c>
      <c r="E117" s="28">
        <f>IF(A117="","",COUNTIFS(TL_Date,A117,TL_Net,"&lt;0"))</f>
        <v/>
      </c>
      <c r="F117" s="39">
        <f>IF(A117="","",SUMIFS(TL_Gross,TL_Date,A117))</f>
        <v/>
      </c>
      <c r="G117" s="39">
        <f>IF(A117="","",SUMIFS(TL_Chg,TL_Date,A117))</f>
        <v/>
      </c>
      <c r="H117" s="39">
        <f>IF(A117="","",SUMIFS(TL_Net,TL_Date,A117))</f>
        <v/>
      </c>
      <c r="I117" s="39">
        <f>IF(A117="","",SUM($H$6:H117))</f>
        <v/>
      </c>
      <c r="J117" s="39">
        <f>IF(A117="","",Capital+I117)</f>
        <v/>
      </c>
      <c r="K117" s="39">
        <f>IF(A117="","",MAX(Capital,MAX($J$6:J117)))</f>
        <v/>
      </c>
      <c r="L117" s="39">
        <f>IF(A117="","",K117-J117)</f>
        <v/>
      </c>
      <c r="M117" s="58">
        <f>IF(A117="","",L117/K117)</f>
        <v/>
      </c>
      <c r="N117" s="57">
        <f>IF(A117="","",A117-WEEKDAY(A117,3))</f>
        <v/>
      </c>
      <c r="O117" s="39">
        <f>IF(A117="","",SUMIFS($H$6:H117,$N$6:N117,N117))</f>
        <v/>
      </c>
      <c r="P117" s="58">
        <f>IF(A117="","",IFERROR(COUNTIFS(TL_Date,A117,TL_Followed,"Y")/C117,0))</f>
        <v/>
      </c>
      <c r="Q117" s="28">
        <f>IF(A117="","",COUNTIFS(TL_Date,A117,TL_Followed,"N"))</f>
        <v/>
      </c>
      <c r="R117" s="28">
        <f>IF(A117="","",_xlfn.MAXIFS(TL_Lots,TL_Date,A117))</f>
        <v/>
      </c>
      <c r="S117" s="39">
        <f>IF(A117="","",SUMIFS(TL_GiveBack,TL_Date,A117))</f>
        <v/>
      </c>
      <c r="T117" s="28">
        <f>IF(A117="","",COUNTIFS(TL_Date,A117,TL_ExpBreach,"BREACH"))</f>
        <v/>
      </c>
      <c r="U117" s="5">
        <f>IF(A117="","",IF(H117&lt;=-DailyLossLimit,"BREACH","OK"))</f>
        <v/>
      </c>
      <c r="V117" s="5">
        <f>IF(A117="","",IF(C117&gt;MaxTradesDay,"BREACH","OK"))</f>
        <v/>
      </c>
      <c r="W117" s="5">
        <f>IF(A117="","",IF(O117&lt;=-WeeklyDDLimit,"BREACH","OK"))</f>
        <v/>
      </c>
      <c r="X117" s="5">
        <f>IF(A117="","",IF(OR(U117="BREACH",V117="BREACH",W117="BREACH",T117&gt;0,R117&gt;MaxLots),"LIMIT BROKEN","OK"))</f>
        <v/>
      </c>
    </row>
    <row r="118">
      <c r="A118" s="57">
        <f>IF(A117="","",IFERROR(SMALL(TL_Date,COUNTIF(TL_Date,"&lt;="&amp;A117)+1),""))</f>
        <v/>
      </c>
      <c r="B118" s="5">
        <f>IF(A118="","",TEXT(A118,"ddd"))</f>
        <v/>
      </c>
      <c r="C118" s="28">
        <f>IF(A118="","",COUNTIF(TL_Date,A118))</f>
        <v/>
      </c>
      <c r="D118" s="28">
        <f>IF(A118="","",COUNTIFS(TL_Date,A118,TL_Net,"&gt;0"))</f>
        <v/>
      </c>
      <c r="E118" s="28">
        <f>IF(A118="","",COUNTIFS(TL_Date,A118,TL_Net,"&lt;0"))</f>
        <v/>
      </c>
      <c r="F118" s="39">
        <f>IF(A118="","",SUMIFS(TL_Gross,TL_Date,A118))</f>
        <v/>
      </c>
      <c r="G118" s="39">
        <f>IF(A118="","",SUMIFS(TL_Chg,TL_Date,A118))</f>
        <v/>
      </c>
      <c r="H118" s="39">
        <f>IF(A118="","",SUMIFS(TL_Net,TL_Date,A118))</f>
        <v/>
      </c>
      <c r="I118" s="39">
        <f>IF(A118="","",SUM($H$6:H118))</f>
        <v/>
      </c>
      <c r="J118" s="39">
        <f>IF(A118="","",Capital+I118)</f>
        <v/>
      </c>
      <c r="K118" s="39">
        <f>IF(A118="","",MAX(Capital,MAX($J$6:J118)))</f>
        <v/>
      </c>
      <c r="L118" s="39">
        <f>IF(A118="","",K118-J118)</f>
        <v/>
      </c>
      <c r="M118" s="58">
        <f>IF(A118="","",L118/K118)</f>
        <v/>
      </c>
      <c r="N118" s="57">
        <f>IF(A118="","",A118-WEEKDAY(A118,3))</f>
        <v/>
      </c>
      <c r="O118" s="39">
        <f>IF(A118="","",SUMIFS($H$6:H118,$N$6:N118,N118))</f>
        <v/>
      </c>
      <c r="P118" s="58">
        <f>IF(A118="","",IFERROR(COUNTIFS(TL_Date,A118,TL_Followed,"Y")/C118,0))</f>
        <v/>
      </c>
      <c r="Q118" s="28">
        <f>IF(A118="","",COUNTIFS(TL_Date,A118,TL_Followed,"N"))</f>
        <v/>
      </c>
      <c r="R118" s="28">
        <f>IF(A118="","",_xlfn.MAXIFS(TL_Lots,TL_Date,A118))</f>
        <v/>
      </c>
      <c r="S118" s="39">
        <f>IF(A118="","",SUMIFS(TL_GiveBack,TL_Date,A118))</f>
        <v/>
      </c>
      <c r="T118" s="28">
        <f>IF(A118="","",COUNTIFS(TL_Date,A118,TL_ExpBreach,"BREACH"))</f>
        <v/>
      </c>
      <c r="U118" s="5">
        <f>IF(A118="","",IF(H118&lt;=-DailyLossLimit,"BREACH","OK"))</f>
        <v/>
      </c>
      <c r="V118" s="5">
        <f>IF(A118="","",IF(C118&gt;MaxTradesDay,"BREACH","OK"))</f>
        <v/>
      </c>
      <c r="W118" s="5">
        <f>IF(A118="","",IF(O118&lt;=-WeeklyDDLimit,"BREACH","OK"))</f>
        <v/>
      </c>
      <c r="X118" s="5">
        <f>IF(A118="","",IF(OR(U118="BREACH",V118="BREACH",W118="BREACH",T118&gt;0,R118&gt;MaxLots),"LIMIT BROKEN","OK"))</f>
        <v/>
      </c>
    </row>
    <row r="119">
      <c r="A119" s="57">
        <f>IF(A118="","",IFERROR(SMALL(TL_Date,COUNTIF(TL_Date,"&lt;="&amp;A118)+1),""))</f>
        <v/>
      </c>
      <c r="B119" s="5">
        <f>IF(A119="","",TEXT(A119,"ddd"))</f>
        <v/>
      </c>
      <c r="C119" s="28">
        <f>IF(A119="","",COUNTIF(TL_Date,A119))</f>
        <v/>
      </c>
      <c r="D119" s="28">
        <f>IF(A119="","",COUNTIFS(TL_Date,A119,TL_Net,"&gt;0"))</f>
        <v/>
      </c>
      <c r="E119" s="28">
        <f>IF(A119="","",COUNTIFS(TL_Date,A119,TL_Net,"&lt;0"))</f>
        <v/>
      </c>
      <c r="F119" s="39">
        <f>IF(A119="","",SUMIFS(TL_Gross,TL_Date,A119))</f>
        <v/>
      </c>
      <c r="G119" s="39">
        <f>IF(A119="","",SUMIFS(TL_Chg,TL_Date,A119))</f>
        <v/>
      </c>
      <c r="H119" s="39">
        <f>IF(A119="","",SUMIFS(TL_Net,TL_Date,A119))</f>
        <v/>
      </c>
      <c r="I119" s="39">
        <f>IF(A119="","",SUM($H$6:H119))</f>
        <v/>
      </c>
      <c r="J119" s="39">
        <f>IF(A119="","",Capital+I119)</f>
        <v/>
      </c>
      <c r="K119" s="39">
        <f>IF(A119="","",MAX(Capital,MAX($J$6:J119)))</f>
        <v/>
      </c>
      <c r="L119" s="39">
        <f>IF(A119="","",K119-J119)</f>
        <v/>
      </c>
      <c r="M119" s="58">
        <f>IF(A119="","",L119/K119)</f>
        <v/>
      </c>
      <c r="N119" s="57">
        <f>IF(A119="","",A119-WEEKDAY(A119,3))</f>
        <v/>
      </c>
      <c r="O119" s="39">
        <f>IF(A119="","",SUMIFS($H$6:H119,$N$6:N119,N119))</f>
        <v/>
      </c>
      <c r="P119" s="58">
        <f>IF(A119="","",IFERROR(COUNTIFS(TL_Date,A119,TL_Followed,"Y")/C119,0))</f>
        <v/>
      </c>
      <c r="Q119" s="28">
        <f>IF(A119="","",COUNTIFS(TL_Date,A119,TL_Followed,"N"))</f>
        <v/>
      </c>
      <c r="R119" s="28">
        <f>IF(A119="","",_xlfn.MAXIFS(TL_Lots,TL_Date,A119))</f>
        <v/>
      </c>
      <c r="S119" s="39">
        <f>IF(A119="","",SUMIFS(TL_GiveBack,TL_Date,A119))</f>
        <v/>
      </c>
      <c r="T119" s="28">
        <f>IF(A119="","",COUNTIFS(TL_Date,A119,TL_ExpBreach,"BREACH"))</f>
        <v/>
      </c>
      <c r="U119" s="5">
        <f>IF(A119="","",IF(H119&lt;=-DailyLossLimit,"BREACH","OK"))</f>
        <v/>
      </c>
      <c r="V119" s="5">
        <f>IF(A119="","",IF(C119&gt;MaxTradesDay,"BREACH","OK"))</f>
        <v/>
      </c>
      <c r="W119" s="5">
        <f>IF(A119="","",IF(O119&lt;=-WeeklyDDLimit,"BREACH","OK"))</f>
        <v/>
      </c>
      <c r="X119" s="5">
        <f>IF(A119="","",IF(OR(U119="BREACH",V119="BREACH",W119="BREACH",T119&gt;0,R119&gt;MaxLots),"LIMIT BROKEN","OK"))</f>
        <v/>
      </c>
    </row>
    <row r="120">
      <c r="A120" s="57">
        <f>IF(A119="","",IFERROR(SMALL(TL_Date,COUNTIF(TL_Date,"&lt;="&amp;A119)+1),""))</f>
        <v/>
      </c>
      <c r="B120" s="5">
        <f>IF(A120="","",TEXT(A120,"ddd"))</f>
        <v/>
      </c>
      <c r="C120" s="28">
        <f>IF(A120="","",COUNTIF(TL_Date,A120))</f>
        <v/>
      </c>
      <c r="D120" s="28">
        <f>IF(A120="","",COUNTIFS(TL_Date,A120,TL_Net,"&gt;0"))</f>
        <v/>
      </c>
      <c r="E120" s="28">
        <f>IF(A120="","",COUNTIFS(TL_Date,A120,TL_Net,"&lt;0"))</f>
        <v/>
      </c>
      <c r="F120" s="39">
        <f>IF(A120="","",SUMIFS(TL_Gross,TL_Date,A120))</f>
        <v/>
      </c>
      <c r="G120" s="39">
        <f>IF(A120="","",SUMIFS(TL_Chg,TL_Date,A120))</f>
        <v/>
      </c>
      <c r="H120" s="39">
        <f>IF(A120="","",SUMIFS(TL_Net,TL_Date,A120))</f>
        <v/>
      </c>
      <c r="I120" s="39">
        <f>IF(A120="","",SUM($H$6:H120))</f>
        <v/>
      </c>
      <c r="J120" s="39">
        <f>IF(A120="","",Capital+I120)</f>
        <v/>
      </c>
      <c r="K120" s="39">
        <f>IF(A120="","",MAX(Capital,MAX($J$6:J120)))</f>
        <v/>
      </c>
      <c r="L120" s="39">
        <f>IF(A120="","",K120-J120)</f>
        <v/>
      </c>
      <c r="M120" s="58">
        <f>IF(A120="","",L120/K120)</f>
        <v/>
      </c>
      <c r="N120" s="57">
        <f>IF(A120="","",A120-WEEKDAY(A120,3))</f>
        <v/>
      </c>
      <c r="O120" s="39">
        <f>IF(A120="","",SUMIFS($H$6:H120,$N$6:N120,N120))</f>
        <v/>
      </c>
      <c r="P120" s="58">
        <f>IF(A120="","",IFERROR(COUNTIFS(TL_Date,A120,TL_Followed,"Y")/C120,0))</f>
        <v/>
      </c>
      <c r="Q120" s="28">
        <f>IF(A120="","",COUNTIFS(TL_Date,A120,TL_Followed,"N"))</f>
        <v/>
      </c>
      <c r="R120" s="28">
        <f>IF(A120="","",_xlfn.MAXIFS(TL_Lots,TL_Date,A120))</f>
        <v/>
      </c>
      <c r="S120" s="39">
        <f>IF(A120="","",SUMIFS(TL_GiveBack,TL_Date,A120))</f>
        <v/>
      </c>
      <c r="T120" s="28">
        <f>IF(A120="","",COUNTIFS(TL_Date,A120,TL_ExpBreach,"BREACH"))</f>
        <v/>
      </c>
      <c r="U120" s="5">
        <f>IF(A120="","",IF(H120&lt;=-DailyLossLimit,"BREACH","OK"))</f>
        <v/>
      </c>
      <c r="V120" s="5">
        <f>IF(A120="","",IF(C120&gt;MaxTradesDay,"BREACH","OK"))</f>
        <v/>
      </c>
      <c r="W120" s="5">
        <f>IF(A120="","",IF(O120&lt;=-WeeklyDDLimit,"BREACH","OK"))</f>
        <v/>
      </c>
      <c r="X120" s="5">
        <f>IF(A120="","",IF(OR(U120="BREACH",V120="BREACH",W120="BREACH",T120&gt;0,R120&gt;MaxLots),"LIMIT BROKEN","OK"))</f>
        <v/>
      </c>
    </row>
    <row r="121">
      <c r="A121" s="57">
        <f>IF(A120="","",IFERROR(SMALL(TL_Date,COUNTIF(TL_Date,"&lt;="&amp;A120)+1),""))</f>
        <v/>
      </c>
      <c r="B121" s="5">
        <f>IF(A121="","",TEXT(A121,"ddd"))</f>
        <v/>
      </c>
      <c r="C121" s="28">
        <f>IF(A121="","",COUNTIF(TL_Date,A121))</f>
        <v/>
      </c>
      <c r="D121" s="28">
        <f>IF(A121="","",COUNTIFS(TL_Date,A121,TL_Net,"&gt;0"))</f>
        <v/>
      </c>
      <c r="E121" s="28">
        <f>IF(A121="","",COUNTIFS(TL_Date,A121,TL_Net,"&lt;0"))</f>
        <v/>
      </c>
      <c r="F121" s="39">
        <f>IF(A121="","",SUMIFS(TL_Gross,TL_Date,A121))</f>
        <v/>
      </c>
      <c r="G121" s="39">
        <f>IF(A121="","",SUMIFS(TL_Chg,TL_Date,A121))</f>
        <v/>
      </c>
      <c r="H121" s="39">
        <f>IF(A121="","",SUMIFS(TL_Net,TL_Date,A121))</f>
        <v/>
      </c>
      <c r="I121" s="39">
        <f>IF(A121="","",SUM($H$6:H121))</f>
        <v/>
      </c>
      <c r="J121" s="39">
        <f>IF(A121="","",Capital+I121)</f>
        <v/>
      </c>
      <c r="K121" s="39">
        <f>IF(A121="","",MAX(Capital,MAX($J$6:J121)))</f>
        <v/>
      </c>
      <c r="L121" s="39">
        <f>IF(A121="","",K121-J121)</f>
        <v/>
      </c>
      <c r="M121" s="58">
        <f>IF(A121="","",L121/K121)</f>
        <v/>
      </c>
      <c r="N121" s="57">
        <f>IF(A121="","",A121-WEEKDAY(A121,3))</f>
        <v/>
      </c>
      <c r="O121" s="39">
        <f>IF(A121="","",SUMIFS($H$6:H121,$N$6:N121,N121))</f>
        <v/>
      </c>
      <c r="P121" s="58">
        <f>IF(A121="","",IFERROR(COUNTIFS(TL_Date,A121,TL_Followed,"Y")/C121,0))</f>
        <v/>
      </c>
      <c r="Q121" s="28">
        <f>IF(A121="","",COUNTIFS(TL_Date,A121,TL_Followed,"N"))</f>
        <v/>
      </c>
      <c r="R121" s="28">
        <f>IF(A121="","",_xlfn.MAXIFS(TL_Lots,TL_Date,A121))</f>
        <v/>
      </c>
      <c r="S121" s="39">
        <f>IF(A121="","",SUMIFS(TL_GiveBack,TL_Date,A121))</f>
        <v/>
      </c>
      <c r="T121" s="28">
        <f>IF(A121="","",COUNTIFS(TL_Date,A121,TL_ExpBreach,"BREACH"))</f>
        <v/>
      </c>
      <c r="U121" s="5">
        <f>IF(A121="","",IF(H121&lt;=-DailyLossLimit,"BREACH","OK"))</f>
        <v/>
      </c>
      <c r="V121" s="5">
        <f>IF(A121="","",IF(C121&gt;MaxTradesDay,"BREACH","OK"))</f>
        <v/>
      </c>
      <c r="W121" s="5">
        <f>IF(A121="","",IF(O121&lt;=-WeeklyDDLimit,"BREACH","OK"))</f>
        <v/>
      </c>
      <c r="X121" s="5">
        <f>IF(A121="","",IF(OR(U121="BREACH",V121="BREACH",W121="BREACH",T121&gt;0,R121&gt;MaxLots),"LIMIT BROKEN","OK"))</f>
        <v/>
      </c>
    </row>
    <row r="122">
      <c r="A122" s="57">
        <f>IF(A121="","",IFERROR(SMALL(TL_Date,COUNTIF(TL_Date,"&lt;="&amp;A121)+1),""))</f>
        <v/>
      </c>
      <c r="B122" s="5">
        <f>IF(A122="","",TEXT(A122,"ddd"))</f>
        <v/>
      </c>
      <c r="C122" s="28">
        <f>IF(A122="","",COUNTIF(TL_Date,A122))</f>
        <v/>
      </c>
      <c r="D122" s="28">
        <f>IF(A122="","",COUNTIFS(TL_Date,A122,TL_Net,"&gt;0"))</f>
        <v/>
      </c>
      <c r="E122" s="28">
        <f>IF(A122="","",COUNTIFS(TL_Date,A122,TL_Net,"&lt;0"))</f>
        <v/>
      </c>
      <c r="F122" s="39">
        <f>IF(A122="","",SUMIFS(TL_Gross,TL_Date,A122))</f>
        <v/>
      </c>
      <c r="G122" s="39">
        <f>IF(A122="","",SUMIFS(TL_Chg,TL_Date,A122))</f>
        <v/>
      </c>
      <c r="H122" s="39">
        <f>IF(A122="","",SUMIFS(TL_Net,TL_Date,A122))</f>
        <v/>
      </c>
      <c r="I122" s="39">
        <f>IF(A122="","",SUM($H$6:H122))</f>
        <v/>
      </c>
      <c r="J122" s="39">
        <f>IF(A122="","",Capital+I122)</f>
        <v/>
      </c>
      <c r="K122" s="39">
        <f>IF(A122="","",MAX(Capital,MAX($J$6:J122)))</f>
        <v/>
      </c>
      <c r="L122" s="39">
        <f>IF(A122="","",K122-J122)</f>
        <v/>
      </c>
      <c r="M122" s="58">
        <f>IF(A122="","",L122/K122)</f>
        <v/>
      </c>
      <c r="N122" s="57">
        <f>IF(A122="","",A122-WEEKDAY(A122,3))</f>
        <v/>
      </c>
      <c r="O122" s="39">
        <f>IF(A122="","",SUMIFS($H$6:H122,$N$6:N122,N122))</f>
        <v/>
      </c>
      <c r="P122" s="58">
        <f>IF(A122="","",IFERROR(COUNTIFS(TL_Date,A122,TL_Followed,"Y")/C122,0))</f>
        <v/>
      </c>
      <c r="Q122" s="28">
        <f>IF(A122="","",COUNTIFS(TL_Date,A122,TL_Followed,"N"))</f>
        <v/>
      </c>
      <c r="R122" s="28">
        <f>IF(A122="","",_xlfn.MAXIFS(TL_Lots,TL_Date,A122))</f>
        <v/>
      </c>
      <c r="S122" s="39">
        <f>IF(A122="","",SUMIFS(TL_GiveBack,TL_Date,A122))</f>
        <v/>
      </c>
      <c r="T122" s="28">
        <f>IF(A122="","",COUNTIFS(TL_Date,A122,TL_ExpBreach,"BREACH"))</f>
        <v/>
      </c>
      <c r="U122" s="5">
        <f>IF(A122="","",IF(H122&lt;=-DailyLossLimit,"BREACH","OK"))</f>
        <v/>
      </c>
      <c r="V122" s="5">
        <f>IF(A122="","",IF(C122&gt;MaxTradesDay,"BREACH","OK"))</f>
        <v/>
      </c>
      <c r="W122" s="5">
        <f>IF(A122="","",IF(O122&lt;=-WeeklyDDLimit,"BREACH","OK"))</f>
        <v/>
      </c>
      <c r="X122" s="5">
        <f>IF(A122="","",IF(OR(U122="BREACH",V122="BREACH",W122="BREACH",T122&gt;0,R122&gt;MaxLots),"LIMIT BROKEN","OK"))</f>
        <v/>
      </c>
    </row>
    <row r="123">
      <c r="A123" s="57">
        <f>IF(A122="","",IFERROR(SMALL(TL_Date,COUNTIF(TL_Date,"&lt;="&amp;A122)+1),""))</f>
        <v/>
      </c>
      <c r="B123" s="5">
        <f>IF(A123="","",TEXT(A123,"ddd"))</f>
        <v/>
      </c>
      <c r="C123" s="28">
        <f>IF(A123="","",COUNTIF(TL_Date,A123))</f>
        <v/>
      </c>
      <c r="D123" s="28">
        <f>IF(A123="","",COUNTIFS(TL_Date,A123,TL_Net,"&gt;0"))</f>
        <v/>
      </c>
      <c r="E123" s="28">
        <f>IF(A123="","",COUNTIFS(TL_Date,A123,TL_Net,"&lt;0"))</f>
        <v/>
      </c>
      <c r="F123" s="39">
        <f>IF(A123="","",SUMIFS(TL_Gross,TL_Date,A123))</f>
        <v/>
      </c>
      <c r="G123" s="39">
        <f>IF(A123="","",SUMIFS(TL_Chg,TL_Date,A123))</f>
        <v/>
      </c>
      <c r="H123" s="39">
        <f>IF(A123="","",SUMIFS(TL_Net,TL_Date,A123))</f>
        <v/>
      </c>
      <c r="I123" s="39">
        <f>IF(A123="","",SUM($H$6:H123))</f>
        <v/>
      </c>
      <c r="J123" s="39">
        <f>IF(A123="","",Capital+I123)</f>
        <v/>
      </c>
      <c r="K123" s="39">
        <f>IF(A123="","",MAX(Capital,MAX($J$6:J123)))</f>
        <v/>
      </c>
      <c r="L123" s="39">
        <f>IF(A123="","",K123-J123)</f>
        <v/>
      </c>
      <c r="M123" s="58">
        <f>IF(A123="","",L123/K123)</f>
        <v/>
      </c>
      <c r="N123" s="57">
        <f>IF(A123="","",A123-WEEKDAY(A123,3))</f>
        <v/>
      </c>
      <c r="O123" s="39">
        <f>IF(A123="","",SUMIFS($H$6:H123,$N$6:N123,N123))</f>
        <v/>
      </c>
      <c r="P123" s="58">
        <f>IF(A123="","",IFERROR(COUNTIFS(TL_Date,A123,TL_Followed,"Y")/C123,0))</f>
        <v/>
      </c>
      <c r="Q123" s="28">
        <f>IF(A123="","",COUNTIFS(TL_Date,A123,TL_Followed,"N"))</f>
        <v/>
      </c>
      <c r="R123" s="28">
        <f>IF(A123="","",_xlfn.MAXIFS(TL_Lots,TL_Date,A123))</f>
        <v/>
      </c>
      <c r="S123" s="39">
        <f>IF(A123="","",SUMIFS(TL_GiveBack,TL_Date,A123))</f>
        <v/>
      </c>
      <c r="T123" s="28">
        <f>IF(A123="","",COUNTIFS(TL_Date,A123,TL_ExpBreach,"BREACH"))</f>
        <v/>
      </c>
      <c r="U123" s="5">
        <f>IF(A123="","",IF(H123&lt;=-DailyLossLimit,"BREACH","OK"))</f>
        <v/>
      </c>
      <c r="V123" s="5">
        <f>IF(A123="","",IF(C123&gt;MaxTradesDay,"BREACH","OK"))</f>
        <v/>
      </c>
      <c r="W123" s="5">
        <f>IF(A123="","",IF(O123&lt;=-WeeklyDDLimit,"BREACH","OK"))</f>
        <v/>
      </c>
      <c r="X123" s="5">
        <f>IF(A123="","",IF(OR(U123="BREACH",V123="BREACH",W123="BREACH",T123&gt;0,R123&gt;MaxLots),"LIMIT BROKEN","OK"))</f>
        <v/>
      </c>
    </row>
    <row r="124">
      <c r="A124" s="57">
        <f>IF(A123="","",IFERROR(SMALL(TL_Date,COUNTIF(TL_Date,"&lt;="&amp;A123)+1),""))</f>
        <v/>
      </c>
      <c r="B124" s="5">
        <f>IF(A124="","",TEXT(A124,"ddd"))</f>
        <v/>
      </c>
      <c r="C124" s="28">
        <f>IF(A124="","",COUNTIF(TL_Date,A124))</f>
        <v/>
      </c>
      <c r="D124" s="28">
        <f>IF(A124="","",COUNTIFS(TL_Date,A124,TL_Net,"&gt;0"))</f>
        <v/>
      </c>
      <c r="E124" s="28">
        <f>IF(A124="","",COUNTIFS(TL_Date,A124,TL_Net,"&lt;0"))</f>
        <v/>
      </c>
      <c r="F124" s="39">
        <f>IF(A124="","",SUMIFS(TL_Gross,TL_Date,A124))</f>
        <v/>
      </c>
      <c r="G124" s="39">
        <f>IF(A124="","",SUMIFS(TL_Chg,TL_Date,A124))</f>
        <v/>
      </c>
      <c r="H124" s="39">
        <f>IF(A124="","",SUMIFS(TL_Net,TL_Date,A124))</f>
        <v/>
      </c>
      <c r="I124" s="39">
        <f>IF(A124="","",SUM($H$6:H124))</f>
        <v/>
      </c>
      <c r="J124" s="39">
        <f>IF(A124="","",Capital+I124)</f>
        <v/>
      </c>
      <c r="K124" s="39">
        <f>IF(A124="","",MAX(Capital,MAX($J$6:J124)))</f>
        <v/>
      </c>
      <c r="L124" s="39">
        <f>IF(A124="","",K124-J124)</f>
        <v/>
      </c>
      <c r="M124" s="58">
        <f>IF(A124="","",L124/K124)</f>
        <v/>
      </c>
      <c r="N124" s="57">
        <f>IF(A124="","",A124-WEEKDAY(A124,3))</f>
        <v/>
      </c>
      <c r="O124" s="39">
        <f>IF(A124="","",SUMIFS($H$6:H124,$N$6:N124,N124))</f>
        <v/>
      </c>
      <c r="P124" s="58">
        <f>IF(A124="","",IFERROR(COUNTIFS(TL_Date,A124,TL_Followed,"Y")/C124,0))</f>
        <v/>
      </c>
      <c r="Q124" s="28">
        <f>IF(A124="","",COUNTIFS(TL_Date,A124,TL_Followed,"N"))</f>
        <v/>
      </c>
      <c r="R124" s="28">
        <f>IF(A124="","",_xlfn.MAXIFS(TL_Lots,TL_Date,A124))</f>
        <v/>
      </c>
      <c r="S124" s="39">
        <f>IF(A124="","",SUMIFS(TL_GiveBack,TL_Date,A124))</f>
        <v/>
      </c>
      <c r="T124" s="28">
        <f>IF(A124="","",COUNTIFS(TL_Date,A124,TL_ExpBreach,"BREACH"))</f>
        <v/>
      </c>
      <c r="U124" s="5">
        <f>IF(A124="","",IF(H124&lt;=-DailyLossLimit,"BREACH","OK"))</f>
        <v/>
      </c>
      <c r="V124" s="5">
        <f>IF(A124="","",IF(C124&gt;MaxTradesDay,"BREACH","OK"))</f>
        <v/>
      </c>
      <c r="W124" s="5">
        <f>IF(A124="","",IF(O124&lt;=-WeeklyDDLimit,"BREACH","OK"))</f>
        <v/>
      </c>
      <c r="X124" s="5">
        <f>IF(A124="","",IF(OR(U124="BREACH",V124="BREACH",W124="BREACH",T124&gt;0,R124&gt;MaxLots),"LIMIT BROKEN","OK"))</f>
        <v/>
      </c>
    </row>
    <row r="125">
      <c r="A125" s="57">
        <f>IF(A124="","",IFERROR(SMALL(TL_Date,COUNTIF(TL_Date,"&lt;="&amp;A124)+1),""))</f>
        <v/>
      </c>
      <c r="B125" s="5">
        <f>IF(A125="","",TEXT(A125,"ddd"))</f>
        <v/>
      </c>
      <c r="C125" s="28">
        <f>IF(A125="","",COUNTIF(TL_Date,A125))</f>
        <v/>
      </c>
      <c r="D125" s="28">
        <f>IF(A125="","",COUNTIFS(TL_Date,A125,TL_Net,"&gt;0"))</f>
        <v/>
      </c>
      <c r="E125" s="28">
        <f>IF(A125="","",COUNTIFS(TL_Date,A125,TL_Net,"&lt;0"))</f>
        <v/>
      </c>
      <c r="F125" s="39">
        <f>IF(A125="","",SUMIFS(TL_Gross,TL_Date,A125))</f>
        <v/>
      </c>
      <c r="G125" s="39">
        <f>IF(A125="","",SUMIFS(TL_Chg,TL_Date,A125))</f>
        <v/>
      </c>
      <c r="H125" s="39">
        <f>IF(A125="","",SUMIFS(TL_Net,TL_Date,A125))</f>
        <v/>
      </c>
      <c r="I125" s="39">
        <f>IF(A125="","",SUM($H$6:H125))</f>
        <v/>
      </c>
      <c r="J125" s="39">
        <f>IF(A125="","",Capital+I125)</f>
        <v/>
      </c>
      <c r="K125" s="39">
        <f>IF(A125="","",MAX(Capital,MAX($J$6:J125)))</f>
        <v/>
      </c>
      <c r="L125" s="39">
        <f>IF(A125="","",K125-J125)</f>
        <v/>
      </c>
      <c r="M125" s="58">
        <f>IF(A125="","",L125/K125)</f>
        <v/>
      </c>
      <c r="N125" s="57">
        <f>IF(A125="","",A125-WEEKDAY(A125,3))</f>
        <v/>
      </c>
      <c r="O125" s="39">
        <f>IF(A125="","",SUMIFS($H$6:H125,$N$6:N125,N125))</f>
        <v/>
      </c>
      <c r="P125" s="58">
        <f>IF(A125="","",IFERROR(COUNTIFS(TL_Date,A125,TL_Followed,"Y")/C125,0))</f>
        <v/>
      </c>
      <c r="Q125" s="28">
        <f>IF(A125="","",COUNTIFS(TL_Date,A125,TL_Followed,"N"))</f>
        <v/>
      </c>
      <c r="R125" s="28">
        <f>IF(A125="","",_xlfn.MAXIFS(TL_Lots,TL_Date,A125))</f>
        <v/>
      </c>
      <c r="S125" s="39">
        <f>IF(A125="","",SUMIFS(TL_GiveBack,TL_Date,A125))</f>
        <v/>
      </c>
      <c r="T125" s="28">
        <f>IF(A125="","",COUNTIFS(TL_Date,A125,TL_ExpBreach,"BREACH"))</f>
        <v/>
      </c>
      <c r="U125" s="5">
        <f>IF(A125="","",IF(H125&lt;=-DailyLossLimit,"BREACH","OK"))</f>
        <v/>
      </c>
      <c r="V125" s="5">
        <f>IF(A125="","",IF(C125&gt;MaxTradesDay,"BREACH","OK"))</f>
        <v/>
      </c>
      <c r="W125" s="5">
        <f>IF(A125="","",IF(O125&lt;=-WeeklyDDLimit,"BREACH","OK"))</f>
        <v/>
      </c>
      <c r="X125" s="5">
        <f>IF(A125="","",IF(OR(U125="BREACH",V125="BREACH",W125="BREACH",T125&gt;0,R125&gt;MaxLots),"LIMIT BROKEN","OK"))</f>
        <v/>
      </c>
    </row>
    <row r="126">
      <c r="A126" s="57">
        <f>IF(A125="","",IFERROR(SMALL(TL_Date,COUNTIF(TL_Date,"&lt;="&amp;A125)+1),""))</f>
        <v/>
      </c>
      <c r="B126" s="5">
        <f>IF(A126="","",TEXT(A126,"ddd"))</f>
        <v/>
      </c>
      <c r="C126" s="28">
        <f>IF(A126="","",COUNTIF(TL_Date,A126))</f>
        <v/>
      </c>
      <c r="D126" s="28">
        <f>IF(A126="","",COUNTIFS(TL_Date,A126,TL_Net,"&gt;0"))</f>
        <v/>
      </c>
      <c r="E126" s="28">
        <f>IF(A126="","",COUNTIFS(TL_Date,A126,TL_Net,"&lt;0"))</f>
        <v/>
      </c>
      <c r="F126" s="39">
        <f>IF(A126="","",SUMIFS(TL_Gross,TL_Date,A126))</f>
        <v/>
      </c>
      <c r="G126" s="39">
        <f>IF(A126="","",SUMIFS(TL_Chg,TL_Date,A126))</f>
        <v/>
      </c>
      <c r="H126" s="39">
        <f>IF(A126="","",SUMIFS(TL_Net,TL_Date,A126))</f>
        <v/>
      </c>
      <c r="I126" s="39">
        <f>IF(A126="","",SUM($H$6:H126))</f>
        <v/>
      </c>
      <c r="J126" s="39">
        <f>IF(A126="","",Capital+I126)</f>
        <v/>
      </c>
      <c r="K126" s="39">
        <f>IF(A126="","",MAX(Capital,MAX($J$6:J126)))</f>
        <v/>
      </c>
      <c r="L126" s="39">
        <f>IF(A126="","",K126-J126)</f>
        <v/>
      </c>
      <c r="M126" s="58">
        <f>IF(A126="","",L126/K126)</f>
        <v/>
      </c>
      <c r="N126" s="57">
        <f>IF(A126="","",A126-WEEKDAY(A126,3))</f>
        <v/>
      </c>
      <c r="O126" s="39">
        <f>IF(A126="","",SUMIFS($H$6:H126,$N$6:N126,N126))</f>
        <v/>
      </c>
      <c r="P126" s="58">
        <f>IF(A126="","",IFERROR(COUNTIFS(TL_Date,A126,TL_Followed,"Y")/C126,0))</f>
        <v/>
      </c>
      <c r="Q126" s="28">
        <f>IF(A126="","",COUNTIFS(TL_Date,A126,TL_Followed,"N"))</f>
        <v/>
      </c>
      <c r="R126" s="28">
        <f>IF(A126="","",_xlfn.MAXIFS(TL_Lots,TL_Date,A126))</f>
        <v/>
      </c>
      <c r="S126" s="39">
        <f>IF(A126="","",SUMIFS(TL_GiveBack,TL_Date,A126))</f>
        <v/>
      </c>
      <c r="T126" s="28">
        <f>IF(A126="","",COUNTIFS(TL_Date,A126,TL_ExpBreach,"BREACH"))</f>
        <v/>
      </c>
      <c r="U126" s="5">
        <f>IF(A126="","",IF(H126&lt;=-DailyLossLimit,"BREACH","OK"))</f>
        <v/>
      </c>
      <c r="V126" s="5">
        <f>IF(A126="","",IF(C126&gt;MaxTradesDay,"BREACH","OK"))</f>
        <v/>
      </c>
      <c r="W126" s="5">
        <f>IF(A126="","",IF(O126&lt;=-WeeklyDDLimit,"BREACH","OK"))</f>
        <v/>
      </c>
      <c r="X126" s="5">
        <f>IF(A126="","",IF(OR(U126="BREACH",V126="BREACH",W126="BREACH",T126&gt;0,R126&gt;MaxLots),"LIMIT BROKEN","OK"))</f>
        <v/>
      </c>
    </row>
    <row r="127">
      <c r="A127" s="57">
        <f>IF(A126="","",IFERROR(SMALL(TL_Date,COUNTIF(TL_Date,"&lt;="&amp;A126)+1),""))</f>
        <v/>
      </c>
      <c r="B127" s="5">
        <f>IF(A127="","",TEXT(A127,"ddd"))</f>
        <v/>
      </c>
      <c r="C127" s="28">
        <f>IF(A127="","",COUNTIF(TL_Date,A127))</f>
        <v/>
      </c>
      <c r="D127" s="28">
        <f>IF(A127="","",COUNTIFS(TL_Date,A127,TL_Net,"&gt;0"))</f>
        <v/>
      </c>
      <c r="E127" s="28">
        <f>IF(A127="","",COUNTIFS(TL_Date,A127,TL_Net,"&lt;0"))</f>
        <v/>
      </c>
      <c r="F127" s="39">
        <f>IF(A127="","",SUMIFS(TL_Gross,TL_Date,A127))</f>
        <v/>
      </c>
      <c r="G127" s="39">
        <f>IF(A127="","",SUMIFS(TL_Chg,TL_Date,A127))</f>
        <v/>
      </c>
      <c r="H127" s="39">
        <f>IF(A127="","",SUMIFS(TL_Net,TL_Date,A127))</f>
        <v/>
      </c>
      <c r="I127" s="39">
        <f>IF(A127="","",SUM($H$6:H127))</f>
        <v/>
      </c>
      <c r="J127" s="39">
        <f>IF(A127="","",Capital+I127)</f>
        <v/>
      </c>
      <c r="K127" s="39">
        <f>IF(A127="","",MAX(Capital,MAX($J$6:J127)))</f>
        <v/>
      </c>
      <c r="L127" s="39">
        <f>IF(A127="","",K127-J127)</f>
        <v/>
      </c>
      <c r="M127" s="58">
        <f>IF(A127="","",L127/K127)</f>
        <v/>
      </c>
      <c r="N127" s="57">
        <f>IF(A127="","",A127-WEEKDAY(A127,3))</f>
        <v/>
      </c>
      <c r="O127" s="39">
        <f>IF(A127="","",SUMIFS($H$6:H127,$N$6:N127,N127))</f>
        <v/>
      </c>
      <c r="P127" s="58">
        <f>IF(A127="","",IFERROR(COUNTIFS(TL_Date,A127,TL_Followed,"Y")/C127,0))</f>
        <v/>
      </c>
      <c r="Q127" s="28">
        <f>IF(A127="","",COUNTIFS(TL_Date,A127,TL_Followed,"N"))</f>
        <v/>
      </c>
      <c r="R127" s="28">
        <f>IF(A127="","",_xlfn.MAXIFS(TL_Lots,TL_Date,A127))</f>
        <v/>
      </c>
      <c r="S127" s="39">
        <f>IF(A127="","",SUMIFS(TL_GiveBack,TL_Date,A127))</f>
        <v/>
      </c>
      <c r="T127" s="28">
        <f>IF(A127="","",COUNTIFS(TL_Date,A127,TL_ExpBreach,"BREACH"))</f>
        <v/>
      </c>
      <c r="U127" s="5">
        <f>IF(A127="","",IF(H127&lt;=-DailyLossLimit,"BREACH","OK"))</f>
        <v/>
      </c>
      <c r="V127" s="5">
        <f>IF(A127="","",IF(C127&gt;MaxTradesDay,"BREACH","OK"))</f>
        <v/>
      </c>
      <c r="W127" s="5">
        <f>IF(A127="","",IF(O127&lt;=-WeeklyDDLimit,"BREACH","OK"))</f>
        <v/>
      </c>
      <c r="X127" s="5">
        <f>IF(A127="","",IF(OR(U127="BREACH",V127="BREACH",W127="BREACH",T127&gt;0,R127&gt;MaxLots),"LIMIT BROKEN","OK"))</f>
        <v/>
      </c>
    </row>
    <row r="128">
      <c r="A128" s="57">
        <f>IF(A127="","",IFERROR(SMALL(TL_Date,COUNTIF(TL_Date,"&lt;="&amp;A127)+1),""))</f>
        <v/>
      </c>
      <c r="B128" s="5">
        <f>IF(A128="","",TEXT(A128,"ddd"))</f>
        <v/>
      </c>
      <c r="C128" s="28">
        <f>IF(A128="","",COUNTIF(TL_Date,A128))</f>
        <v/>
      </c>
      <c r="D128" s="28">
        <f>IF(A128="","",COUNTIFS(TL_Date,A128,TL_Net,"&gt;0"))</f>
        <v/>
      </c>
      <c r="E128" s="28">
        <f>IF(A128="","",COUNTIFS(TL_Date,A128,TL_Net,"&lt;0"))</f>
        <v/>
      </c>
      <c r="F128" s="39">
        <f>IF(A128="","",SUMIFS(TL_Gross,TL_Date,A128))</f>
        <v/>
      </c>
      <c r="G128" s="39">
        <f>IF(A128="","",SUMIFS(TL_Chg,TL_Date,A128))</f>
        <v/>
      </c>
      <c r="H128" s="39">
        <f>IF(A128="","",SUMIFS(TL_Net,TL_Date,A128))</f>
        <v/>
      </c>
      <c r="I128" s="39">
        <f>IF(A128="","",SUM($H$6:H128))</f>
        <v/>
      </c>
      <c r="J128" s="39">
        <f>IF(A128="","",Capital+I128)</f>
        <v/>
      </c>
      <c r="K128" s="39">
        <f>IF(A128="","",MAX(Capital,MAX($J$6:J128)))</f>
        <v/>
      </c>
      <c r="L128" s="39">
        <f>IF(A128="","",K128-J128)</f>
        <v/>
      </c>
      <c r="M128" s="58">
        <f>IF(A128="","",L128/K128)</f>
        <v/>
      </c>
      <c r="N128" s="57">
        <f>IF(A128="","",A128-WEEKDAY(A128,3))</f>
        <v/>
      </c>
      <c r="O128" s="39">
        <f>IF(A128="","",SUMIFS($H$6:H128,$N$6:N128,N128))</f>
        <v/>
      </c>
      <c r="P128" s="58">
        <f>IF(A128="","",IFERROR(COUNTIFS(TL_Date,A128,TL_Followed,"Y")/C128,0))</f>
        <v/>
      </c>
      <c r="Q128" s="28">
        <f>IF(A128="","",COUNTIFS(TL_Date,A128,TL_Followed,"N"))</f>
        <v/>
      </c>
      <c r="R128" s="28">
        <f>IF(A128="","",_xlfn.MAXIFS(TL_Lots,TL_Date,A128))</f>
        <v/>
      </c>
      <c r="S128" s="39">
        <f>IF(A128="","",SUMIFS(TL_GiveBack,TL_Date,A128))</f>
        <v/>
      </c>
      <c r="T128" s="28">
        <f>IF(A128="","",COUNTIFS(TL_Date,A128,TL_ExpBreach,"BREACH"))</f>
        <v/>
      </c>
      <c r="U128" s="5">
        <f>IF(A128="","",IF(H128&lt;=-DailyLossLimit,"BREACH","OK"))</f>
        <v/>
      </c>
      <c r="V128" s="5">
        <f>IF(A128="","",IF(C128&gt;MaxTradesDay,"BREACH","OK"))</f>
        <v/>
      </c>
      <c r="W128" s="5">
        <f>IF(A128="","",IF(O128&lt;=-WeeklyDDLimit,"BREACH","OK"))</f>
        <v/>
      </c>
      <c r="X128" s="5">
        <f>IF(A128="","",IF(OR(U128="BREACH",V128="BREACH",W128="BREACH",T128&gt;0,R128&gt;MaxLots),"LIMIT BROKEN","OK"))</f>
        <v/>
      </c>
    </row>
    <row r="129">
      <c r="A129" s="57">
        <f>IF(A128="","",IFERROR(SMALL(TL_Date,COUNTIF(TL_Date,"&lt;="&amp;A128)+1),""))</f>
        <v/>
      </c>
      <c r="B129" s="5">
        <f>IF(A129="","",TEXT(A129,"ddd"))</f>
        <v/>
      </c>
      <c r="C129" s="28">
        <f>IF(A129="","",COUNTIF(TL_Date,A129))</f>
        <v/>
      </c>
      <c r="D129" s="28">
        <f>IF(A129="","",COUNTIFS(TL_Date,A129,TL_Net,"&gt;0"))</f>
        <v/>
      </c>
      <c r="E129" s="28">
        <f>IF(A129="","",COUNTIFS(TL_Date,A129,TL_Net,"&lt;0"))</f>
        <v/>
      </c>
      <c r="F129" s="39">
        <f>IF(A129="","",SUMIFS(TL_Gross,TL_Date,A129))</f>
        <v/>
      </c>
      <c r="G129" s="39">
        <f>IF(A129="","",SUMIFS(TL_Chg,TL_Date,A129))</f>
        <v/>
      </c>
      <c r="H129" s="39">
        <f>IF(A129="","",SUMIFS(TL_Net,TL_Date,A129))</f>
        <v/>
      </c>
      <c r="I129" s="39">
        <f>IF(A129="","",SUM($H$6:H129))</f>
        <v/>
      </c>
      <c r="J129" s="39">
        <f>IF(A129="","",Capital+I129)</f>
        <v/>
      </c>
      <c r="K129" s="39">
        <f>IF(A129="","",MAX(Capital,MAX($J$6:J129)))</f>
        <v/>
      </c>
      <c r="L129" s="39">
        <f>IF(A129="","",K129-J129)</f>
        <v/>
      </c>
      <c r="M129" s="58">
        <f>IF(A129="","",L129/K129)</f>
        <v/>
      </c>
      <c r="N129" s="57">
        <f>IF(A129="","",A129-WEEKDAY(A129,3))</f>
        <v/>
      </c>
      <c r="O129" s="39">
        <f>IF(A129="","",SUMIFS($H$6:H129,$N$6:N129,N129))</f>
        <v/>
      </c>
      <c r="P129" s="58">
        <f>IF(A129="","",IFERROR(COUNTIFS(TL_Date,A129,TL_Followed,"Y")/C129,0))</f>
        <v/>
      </c>
      <c r="Q129" s="28">
        <f>IF(A129="","",COUNTIFS(TL_Date,A129,TL_Followed,"N"))</f>
        <v/>
      </c>
      <c r="R129" s="28">
        <f>IF(A129="","",_xlfn.MAXIFS(TL_Lots,TL_Date,A129))</f>
        <v/>
      </c>
      <c r="S129" s="39">
        <f>IF(A129="","",SUMIFS(TL_GiveBack,TL_Date,A129))</f>
        <v/>
      </c>
      <c r="T129" s="28">
        <f>IF(A129="","",COUNTIFS(TL_Date,A129,TL_ExpBreach,"BREACH"))</f>
        <v/>
      </c>
      <c r="U129" s="5">
        <f>IF(A129="","",IF(H129&lt;=-DailyLossLimit,"BREACH","OK"))</f>
        <v/>
      </c>
      <c r="V129" s="5">
        <f>IF(A129="","",IF(C129&gt;MaxTradesDay,"BREACH","OK"))</f>
        <v/>
      </c>
      <c r="W129" s="5">
        <f>IF(A129="","",IF(O129&lt;=-WeeklyDDLimit,"BREACH","OK"))</f>
        <v/>
      </c>
      <c r="X129" s="5">
        <f>IF(A129="","",IF(OR(U129="BREACH",V129="BREACH",W129="BREACH",T129&gt;0,R129&gt;MaxLots),"LIMIT BROKEN","OK"))</f>
        <v/>
      </c>
    </row>
    <row r="130">
      <c r="A130" s="57">
        <f>IF(A129="","",IFERROR(SMALL(TL_Date,COUNTIF(TL_Date,"&lt;="&amp;A129)+1),""))</f>
        <v/>
      </c>
      <c r="B130" s="5">
        <f>IF(A130="","",TEXT(A130,"ddd"))</f>
        <v/>
      </c>
      <c r="C130" s="28">
        <f>IF(A130="","",COUNTIF(TL_Date,A130))</f>
        <v/>
      </c>
      <c r="D130" s="28">
        <f>IF(A130="","",COUNTIFS(TL_Date,A130,TL_Net,"&gt;0"))</f>
        <v/>
      </c>
      <c r="E130" s="28">
        <f>IF(A130="","",COUNTIFS(TL_Date,A130,TL_Net,"&lt;0"))</f>
        <v/>
      </c>
      <c r="F130" s="39">
        <f>IF(A130="","",SUMIFS(TL_Gross,TL_Date,A130))</f>
        <v/>
      </c>
      <c r="G130" s="39">
        <f>IF(A130="","",SUMIFS(TL_Chg,TL_Date,A130))</f>
        <v/>
      </c>
      <c r="H130" s="39">
        <f>IF(A130="","",SUMIFS(TL_Net,TL_Date,A130))</f>
        <v/>
      </c>
      <c r="I130" s="39">
        <f>IF(A130="","",SUM($H$6:H130))</f>
        <v/>
      </c>
      <c r="J130" s="39">
        <f>IF(A130="","",Capital+I130)</f>
        <v/>
      </c>
      <c r="K130" s="39">
        <f>IF(A130="","",MAX(Capital,MAX($J$6:J130)))</f>
        <v/>
      </c>
      <c r="L130" s="39">
        <f>IF(A130="","",K130-J130)</f>
        <v/>
      </c>
      <c r="M130" s="58">
        <f>IF(A130="","",L130/K130)</f>
        <v/>
      </c>
      <c r="N130" s="57">
        <f>IF(A130="","",A130-WEEKDAY(A130,3))</f>
        <v/>
      </c>
      <c r="O130" s="39">
        <f>IF(A130="","",SUMIFS($H$6:H130,$N$6:N130,N130))</f>
        <v/>
      </c>
      <c r="P130" s="58">
        <f>IF(A130="","",IFERROR(COUNTIFS(TL_Date,A130,TL_Followed,"Y")/C130,0))</f>
        <v/>
      </c>
      <c r="Q130" s="28">
        <f>IF(A130="","",COUNTIFS(TL_Date,A130,TL_Followed,"N"))</f>
        <v/>
      </c>
      <c r="R130" s="28">
        <f>IF(A130="","",_xlfn.MAXIFS(TL_Lots,TL_Date,A130))</f>
        <v/>
      </c>
      <c r="S130" s="39">
        <f>IF(A130="","",SUMIFS(TL_GiveBack,TL_Date,A130))</f>
        <v/>
      </c>
      <c r="T130" s="28">
        <f>IF(A130="","",COUNTIFS(TL_Date,A130,TL_ExpBreach,"BREACH"))</f>
        <v/>
      </c>
      <c r="U130" s="5">
        <f>IF(A130="","",IF(H130&lt;=-DailyLossLimit,"BREACH","OK"))</f>
        <v/>
      </c>
      <c r="V130" s="5">
        <f>IF(A130="","",IF(C130&gt;MaxTradesDay,"BREACH","OK"))</f>
        <v/>
      </c>
      <c r="W130" s="5">
        <f>IF(A130="","",IF(O130&lt;=-WeeklyDDLimit,"BREACH","OK"))</f>
        <v/>
      </c>
      <c r="X130" s="5">
        <f>IF(A130="","",IF(OR(U130="BREACH",V130="BREACH",W130="BREACH",T130&gt;0,R130&gt;MaxLots),"LIMIT BROKEN","OK"))</f>
        <v/>
      </c>
    </row>
    <row r="131">
      <c r="A131" s="57">
        <f>IF(A130="","",IFERROR(SMALL(TL_Date,COUNTIF(TL_Date,"&lt;="&amp;A130)+1),""))</f>
        <v/>
      </c>
      <c r="B131" s="5">
        <f>IF(A131="","",TEXT(A131,"ddd"))</f>
        <v/>
      </c>
      <c r="C131" s="28">
        <f>IF(A131="","",COUNTIF(TL_Date,A131))</f>
        <v/>
      </c>
      <c r="D131" s="28">
        <f>IF(A131="","",COUNTIFS(TL_Date,A131,TL_Net,"&gt;0"))</f>
        <v/>
      </c>
      <c r="E131" s="28">
        <f>IF(A131="","",COUNTIFS(TL_Date,A131,TL_Net,"&lt;0"))</f>
        <v/>
      </c>
      <c r="F131" s="39">
        <f>IF(A131="","",SUMIFS(TL_Gross,TL_Date,A131))</f>
        <v/>
      </c>
      <c r="G131" s="39">
        <f>IF(A131="","",SUMIFS(TL_Chg,TL_Date,A131))</f>
        <v/>
      </c>
      <c r="H131" s="39">
        <f>IF(A131="","",SUMIFS(TL_Net,TL_Date,A131))</f>
        <v/>
      </c>
      <c r="I131" s="39">
        <f>IF(A131="","",SUM($H$6:H131))</f>
        <v/>
      </c>
      <c r="J131" s="39">
        <f>IF(A131="","",Capital+I131)</f>
        <v/>
      </c>
      <c r="K131" s="39">
        <f>IF(A131="","",MAX(Capital,MAX($J$6:J131)))</f>
        <v/>
      </c>
      <c r="L131" s="39">
        <f>IF(A131="","",K131-J131)</f>
        <v/>
      </c>
      <c r="M131" s="58">
        <f>IF(A131="","",L131/K131)</f>
        <v/>
      </c>
      <c r="N131" s="57">
        <f>IF(A131="","",A131-WEEKDAY(A131,3))</f>
        <v/>
      </c>
      <c r="O131" s="39">
        <f>IF(A131="","",SUMIFS($H$6:H131,$N$6:N131,N131))</f>
        <v/>
      </c>
      <c r="P131" s="58">
        <f>IF(A131="","",IFERROR(COUNTIFS(TL_Date,A131,TL_Followed,"Y")/C131,0))</f>
        <v/>
      </c>
      <c r="Q131" s="28">
        <f>IF(A131="","",COUNTIFS(TL_Date,A131,TL_Followed,"N"))</f>
        <v/>
      </c>
      <c r="R131" s="28">
        <f>IF(A131="","",_xlfn.MAXIFS(TL_Lots,TL_Date,A131))</f>
        <v/>
      </c>
      <c r="S131" s="39">
        <f>IF(A131="","",SUMIFS(TL_GiveBack,TL_Date,A131))</f>
        <v/>
      </c>
      <c r="T131" s="28">
        <f>IF(A131="","",COUNTIFS(TL_Date,A131,TL_ExpBreach,"BREACH"))</f>
        <v/>
      </c>
      <c r="U131" s="5">
        <f>IF(A131="","",IF(H131&lt;=-DailyLossLimit,"BREACH","OK"))</f>
        <v/>
      </c>
      <c r="V131" s="5">
        <f>IF(A131="","",IF(C131&gt;MaxTradesDay,"BREACH","OK"))</f>
        <v/>
      </c>
      <c r="W131" s="5">
        <f>IF(A131="","",IF(O131&lt;=-WeeklyDDLimit,"BREACH","OK"))</f>
        <v/>
      </c>
      <c r="X131" s="5">
        <f>IF(A131="","",IF(OR(U131="BREACH",V131="BREACH",W131="BREACH",T131&gt;0,R131&gt;MaxLots),"LIMIT BROKEN","OK"))</f>
        <v/>
      </c>
    </row>
    <row r="132">
      <c r="A132" s="57">
        <f>IF(A131="","",IFERROR(SMALL(TL_Date,COUNTIF(TL_Date,"&lt;="&amp;A131)+1),""))</f>
        <v/>
      </c>
      <c r="B132" s="5">
        <f>IF(A132="","",TEXT(A132,"ddd"))</f>
        <v/>
      </c>
      <c r="C132" s="28">
        <f>IF(A132="","",COUNTIF(TL_Date,A132))</f>
        <v/>
      </c>
      <c r="D132" s="28">
        <f>IF(A132="","",COUNTIFS(TL_Date,A132,TL_Net,"&gt;0"))</f>
        <v/>
      </c>
      <c r="E132" s="28">
        <f>IF(A132="","",COUNTIFS(TL_Date,A132,TL_Net,"&lt;0"))</f>
        <v/>
      </c>
      <c r="F132" s="39">
        <f>IF(A132="","",SUMIFS(TL_Gross,TL_Date,A132))</f>
        <v/>
      </c>
      <c r="G132" s="39">
        <f>IF(A132="","",SUMIFS(TL_Chg,TL_Date,A132))</f>
        <v/>
      </c>
      <c r="H132" s="39">
        <f>IF(A132="","",SUMIFS(TL_Net,TL_Date,A132))</f>
        <v/>
      </c>
      <c r="I132" s="39">
        <f>IF(A132="","",SUM($H$6:H132))</f>
        <v/>
      </c>
      <c r="J132" s="39">
        <f>IF(A132="","",Capital+I132)</f>
        <v/>
      </c>
      <c r="K132" s="39">
        <f>IF(A132="","",MAX(Capital,MAX($J$6:J132)))</f>
        <v/>
      </c>
      <c r="L132" s="39">
        <f>IF(A132="","",K132-J132)</f>
        <v/>
      </c>
      <c r="M132" s="58">
        <f>IF(A132="","",L132/K132)</f>
        <v/>
      </c>
      <c r="N132" s="57">
        <f>IF(A132="","",A132-WEEKDAY(A132,3))</f>
        <v/>
      </c>
      <c r="O132" s="39">
        <f>IF(A132="","",SUMIFS($H$6:H132,$N$6:N132,N132))</f>
        <v/>
      </c>
      <c r="P132" s="58">
        <f>IF(A132="","",IFERROR(COUNTIFS(TL_Date,A132,TL_Followed,"Y")/C132,0))</f>
        <v/>
      </c>
      <c r="Q132" s="28">
        <f>IF(A132="","",COUNTIFS(TL_Date,A132,TL_Followed,"N"))</f>
        <v/>
      </c>
      <c r="R132" s="28">
        <f>IF(A132="","",_xlfn.MAXIFS(TL_Lots,TL_Date,A132))</f>
        <v/>
      </c>
      <c r="S132" s="39">
        <f>IF(A132="","",SUMIFS(TL_GiveBack,TL_Date,A132))</f>
        <v/>
      </c>
      <c r="T132" s="28">
        <f>IF(A132="","",COUNTIFS(TL_Date,A132,TL_ExpBreach,"BREACH"))</f>
        <v/>
      </c>
      <c r="U132" s="5">
        <f>IF(A132="","",IF(H132&lt;=-DailyLossLimit,"BREACH","OK"))</f>
        <v/>
      </c>
      <c r="V132" s="5">
        <f>IF(A132="","",IF(C132&gt;MaxTradesDay,"BREACH","OK"))</f>
        <v/>
      </c>
      <c r="W132" s="5">
        <f>IF(A132="","",IF(O132&lt;=-WeeklyDDLimit,"BREACH","OK"))</f>
        <v/>
      </c>
      <c r="X132" s="5">
        <f>IF(A132="","",IF(OR(U132="BREACH",V132="BREACH",W132="BREACH",T132&gt;0,R132&gt;MaxLots),"LIMIT BROKEN","OK"))</f>
        <v/>
      </c>
    </row>
    <row r="133">
      <c r="A133" s="57">
        <f>IF(A132="","",IFERROR(SMALL(TL_Date,COUNTIF(TL_Date,"&lt;="&amp;A132)+1),""))</f>
        <v/>
      </c>
      <c r="B133" s="5">
        <f>IF(A133="","",TEXT(A133,"ddd"))</f>
        <v/>
      </c>
      <c r="C133" s="28">
        <f>IF(A133="","",COUNTIF(TL_Date,A133))</f>
        <v/>
      </c>
      <c r="D133" s="28">
        <f>IF(A133="","",COUNTIFS(TL_Date,A133,TL_Net,"&gt;0"))</f>
        <v/>
      </c>
      <c r="E133" s="28">
        <f>IF(A133="","",COUNTIFS(TL_Date,A133,TL_Net,"&lt;0"))</f>
        <v/>
      </c>
      <c r="F133" s="39">
        <f>IF(A133="","",SUMIFS(TL_Gross,TL_Date,A133))</f>
        <v/>
      </c>
      <c r="G133" s="39">
        <f>IF(A133="","",SUMIFS(TL_Chg,TL_Date,A133))</f>
        <v/>
      </c>
      <c r="H133" s="39">
        <f>IF(A133="","",SUMIFS(TL_Net,TL_Date,A133))</f>
        <v/>
      </c>
      <c r="I133" s="39">
        <f>IF(A133="","",SUM($H$6:H133))</f>
        <v/>
      </c>
      <c r="J133" s="39">
        <f>IF(A133="","",Capital+I133)</f>
        <v/>
      </c>
      <c r="K133" s="39">
        <f>IF(A133="","",MAX(Capital,MAX($J$6:J133)))</f>
        <v/>
      </c>
      <c r="L133" s="39">
        <f>IF(A133="","",K133-J133)</f>
        <v/>
      </c>
      <c r="M133" s="58">
        <f>IF(A133="","",L133/K133)</f>
        <v/>
      </c>
      <c r="N133" s="57">
        <f>IF(A133="","",A133-WEEKDAY(A133,3))</f>
        <v/>
      </c>
      <c r="O133" s="39">
        <f>IF(A133="","",SUMIFS($H$6:H133,$N$6:N133,N133))</f>
        <v/>
      </c>
      <c r="P133" s="58">
        <f>IF(A133="","",IFERROR(COUNTIFS(TL_Date,A133,TL_Followed,"Y")/C133,0))</f>
        <v/>
      </c>
      <c r="Q133" s="28">
        <f>IF(A133="","",COUNTIFS(TL_Date,A133,TL_Followed,"N"))</f>
        <v/>
      </c>
      <c r="R133" s="28">
        <f>IF(A133="","",_xlfn.MAXIFS(TL_Lots,TL_Date,A133))</f>
        <v/>
      </c>
      <c r="S133" s="39">
        <f>IF(A133="","",SUMIFS(TL_GiveBack,TL_Date,A133))</f>
        <v/>
      </c>
      <c r="T133" s="28">
        <f>IF(A133="","",COUNTIFS(TL_Date,A133,TL_ExpBreach,"BREACH"))</f>
        <v/>
      </c>
      <c r="U133" s="5">
        <f>IF(A133="","",IF(H133&lt;=-DailyLossLimit,"BREACH","OK"))</f>
        <v/>
      </c>
      <c r="V133" s="5">
        <f>IF(A133="","",IF(C133&gt;MaxTradesDay,"BREACH","OK"))</f>
        <v/>
      </c>
      <c r="W133" s="5">
        <f>IF(A133="","",IF(O133&lt;=-WeeklyDDLimit,"BREACH","OK"))</f>
        <v/>
      </c>
      <c r="X133" s="5">
        <f>IF(A133="","",IF(OR(U133="BREACH",V133="BREACH",W133="BREACH",T133&gt;0,R133&gt;MaxLots),"LIMIT BROKEN","OK"))</f>
        <v/>
      </c>
    </row>
    <row r="134">
      <c r="A134" s="57">
        <f>IF(A133="","",IFERROR(SMALL(TL_Date,COUNTIF(TL_Date,"&lt;="&amp;A133)+1),""))</f>
        <v/>
      </c>
      <c r="B134" s="5">
        <f>IF(A134="","",TEXT(A134,"ddd"))</f>
        <v/>
      </c>
      <c r="C134" s="28">
        <f>IF(A134="","",COUNTIF(TL_Date,A134))</f>
        <v/>
      </c>
      <c r="D134" s="28">
        <f>IF(A134="","",COUNTIFS(TL_Date,A134,TL_Net,"&gt;0"))</f>
        <v/>
      </c>
      <c r="E134" s="28">
        <f>IF(A134="","",COUNTIFS(TL_Date,A134,TL_Net,"&lt;0"))</f>
        <v/>
      </c>
      <c r="F134" s="39">
        <f>IF(A134="","",SUMIFS(TL_Gross,TL_Date,A134))</f>
        <v/>
      </c>
      <c r="G134" s="39">
        <f>IF(A134="","",SUMIFS(TL_Chg,TL_Date,A134))</f>
        <v/>
      </c>
      <c r="H134" s="39">
        <f>IF(A134="","",SUMIFS(TL_Net,TL_Date,A134))</f>
        <v/>
      </c>
      <c r="I134" s="39">
        <f>IF(A134="","",SUM($H$6:H134))</f>
        <v/>
      </c>
      <c r="J134" s="39">
        <f>IF(A134="","",Capital+I134)</f>
        <v/>
      </c>
      <c r="K134" s="39">
        <f>IF(A134="","",MAX(Capital,MAX($J$6:J134)))</f>
        <v/>
      </c>
      <c r="L134" s="39">
        <f>IF(A134="","",K134-J134)</f>
        <v/>
      </c>
      <c r="M134" s="58">
        <f>IF(A134="","",L134/K134)</f>
        <v/>
      </c>
      <c r="N134" s="57">
        <f>IF(A134="","",A134-WEEKDAY(A134,3))</f>
        <v/>
      </c>
      <c r="O134" s="39">
        <f>IF(A134="","",SUMIFS($H$6:H134,$N$6:N134,N134))</f>
        <v/>
      </c>
      <c r="P134" s="58">
        <f>IF(A134="","",IFERROR(COUNTIFS(TL_Date,A134,TL_Followed,"Y")/C134,0))</f>
        <v/>
      </c>
      <c r="Q134" s="28">
        <f>IF(A134="","",COUNTIFS(TL_Date,A134,TL_Followed,"N"))</f>
        <v/>
      </c>
      <c r="R134" s="28">
        <f>IF(A134="","",_xlfn.MAXIFS(TL_Lots,TL_Date,A134))</f>
        <v/>
      </c>
      <c r="S134" s="39">
        <f>IF(A134="","",SUMIFS(TL_GiveBack,TL_Date,A134))</f>
        <v/>
      </c>
      <c r="T134" s="28">
        <f>IF(A134="","",COUNTIFS(TL_Date,A134,TL_ExpBreach,"BREACH"))</f>
        <v/>
      </c>
      <c r="U134" s="5">
        <f>IF(A134="","",IF(H134&lt;=-DailyLossLimit,"BREACH","OK"))</f>
        <v/>
      </c>
      <c r="V134" s="5">
        <f>IF(A134="","",IF(C134&gt;MaxTradesDay,"BREACH","OK"))</f>
        <v/>
      </c>
      <c r="W134" s="5">
        <f>IF(A134="","",IF(O134&lt;=-WeeklyDDLimit,"BREACH","OK"))</f>
        <v/>
      </c>
      <c r="X134" s="5">
        <f>IF(A134="","",IF(OR(U134="BREACH",V134="BREACH",W134="BREACH",T134&gt;0,R134&gt;MaxLots),"LIMIT BROKEN","OK"))</f>
        <v/>
      </c>
    </row>
    <row r="135">
      <c r="A135" s="57">
        <f>IF(A134="","",IFERROR(SMALL(TL_Date,COUNTIF(TL_Date,"&lt;="&amp;A134)+1),""))</f>
        <v/>
      </c>
      <c r="B135" s="5">
        <f>IF(A135="","",TEXT(A135,"ddd"))</f>
        <v/>
      </c>
      <c r="C135" s="28">
        <f>IF(A135="","",COUNTIF(TL_Date,A135))</f>
        <v/>
      </c>
      <c r="D135" s="28">
        <f>IF(A135="","",COUNTIFS(TL_Date,A135,TL_Net,"&gt;0"))</f>
        <v/>
      </c>
      <c r="E135" s="28">
        <f>IF(A135="","",COUNTIFS(TL_Date,A135,TL_Net,"&lt;0"))</f>
        <v/>
      </c>
      <c r="F135" s="39">
        <f>IF(A135="","",SUMIFS(TL_Gross,TL_Date,A135))</f>
        <v/>
      </c>
      <c r="G135" s="39">
        <f>IF(A135="","",SUMIFS(TL_Chg,TL_Date,A135))</f>
        <v/>
      </c>
      <c r="H135" s="39">
        <f>IF(A135="","",SUMIFS(TL_Net,TL_Date,A135))</f>
        <v/>
      </c>
      <c r="I135" s="39">
        <f>IF(A135="","",SUM($H$6:H135))</f>
        <v/>
      </c>
      <c r="J135" s="39">
        <f>IF(A135="","",Capital+I135)</f>
        <v/>
      </c>
      <c r="K135" s="39">
        <f>IF(A135="","",MAX(Capital,MAX($J$6:J135)))</f>
        <v/>
      </c>
      <c r="L135" s="39">
        <f>IF(A135="","",K135-J135)</f>
        <v/>
      </c>
      <c r="M135" s="58">
        <f>IF(A135="","",L135/K135)</f>
        <v/>
      </c>
      <c r="N135" s="57">
        <f>IF(A135="","",A135-WEEKDAY(A135,3))</f>
        <v/>
      </c>
      <c r="O135" s="39">
        <f>IF(A135="","",SUMIFS($H$6:H135,$N$6:N135,N135))</f>
        <v/>
      </c>
      <c r="P135" s="58">
        <f>IF(A135="","",IFERROR(COUNTIFS(TL_Date,A135,TL_Followed,"Y")/C135,0))</f>
        <v/>
      </c>
      <c r="Q135" s="28">
        <f>IF(A135="","",COUNTIFS(TL_Date,A135,TL_Followed,"N"))</f>
        <v/>
      </c>
      <c r="R135" s="28">
        <f>IF(A135="","",_xlfn.MAXIFS(TL_Lots,TL_Date,A135))</f>
        <v/>
      </c>
      <c r="S135" s="39">
        <f>IF(A135="","",SUMIFS(TL_GiveBack,TL_Date,A135))</f>
        <v/>
      </c>
      <c r="T135" s="28">
        <f>IF(A135="","",COUNTIFS(TL_Date,A135,TL_ExpBreach,"BREACH"))</f>
        <v/>
      </c>
      <c r="U135" s="5">
        <f>IF(A135="","",IF(H135&lt;=-DailyLossLimit,"BREACH","OK"))</f>
        <v/>
      </c>
      <c r="V135" s="5">
        <f>IF(A135="","",IF(C135&gt;MaxTradesDay,"BREACH","OK"))</f>
        <v/>
      </c>
      <c r="W135" s="5">
        <f>IF(A135="","",IF(O135&lt;=-WeeklyDDLimit,"BREACH","OK"))</f>
        <v/>
      </c>
      <c r="X135" s="5">
        <f>IF(A135="","",IF(OR(U135="BREACH",V135="BREACH",W135="BREACH",T135&gt;0,R135&gt;MaxLots),"LIMIT BROKEN","OK"))</f>
        <v/>
      </c>
    </row>
    <row r="136">
      <c r="A136" s="57">
        <f>IF(A135="","",IFERROR(SMALL(TL_Date,COUNTIF(TL_Date,"&lt;="&amp;A135)+1),""))</f>
        <v/>
      </c>
      <c r="B136" s="5">
        <f>IF(A136="","",TEXT(A136,"ddd"))</f>
        <v/>
      </c>
      <c r="C136" s="28">
        <f>IF(A136="","",COUNTIF(TL_Date,A136))</f>
        <v/>
      </c>
      <c r="D136" s="28">
        <f>IF(A136="","",COUNTIFS(TL_Date,A136,TL_Net,"&gt;0"))</f>
        <v/>
      </c>
      <c r="E136" s="28">
        <f>IF(A136="","",COUNTIFS(TL_Date,A136,TL_Net,"&lt;0"))</f>
        <v/>
      </c>
      <c r="F136" s="39">
        <f>IF(A136="","",SUMIFS(TL_Gross,TL_Date,A136))</f>
        <v/>
      </c>
      <c r="G136" s="39">
        <f>IF(A136="","",SUMIFS(TL_Chg,TL_Date,A136))</f>
        <v/>
      </c>
      <c r="H136" s="39">
        <f>IF(A136="","",SUMIFS(TL_Net,TL_Date,A136))</f>
        <v/>
      </c>
      <c r="I136" s="39">
        <f>IF(A136="","",SUM($H$6:H136))</f>
        <v/>
      </c>
      <c r="J136" s="39">
        <f>IF(A136="","",Capital+I136)</f>
        <v/>
      </c>
      <c r="K136" s="39">
        <f>IF(A136="","",MAX(Capital,MAX($J$6:J136)))</f>
        <v/>
      </c>
      <c r="L136" s="39">
        <f>IF(A136="","",K136-J136)</f>
        <v/>
      </c>
      <c r="M136" s="58">
        <f>IF(A136="","",L136/K136)</f>
        <v/>
      </c>
      <c r="N136" s="57">
        <f>IF(A136="","",A136-WEEKDAY(A136,3))</f>
        <v/>
      </c>
      <c r="O136" s="39">
        <f>IF(A136="","",SUMIFS($H$6:H136,$N$6:N136,N136))</f>
        <v/>
      </c>
      <c r="P136" s="58">
        <f>IF(A136="","",IFERROR(COUNTIFS(TL_Date,A136,TL_Followed,"Y")/C136,0))</f>
        <v/>
      </c>
      <c r="Q136" s="28">
        <f>IF(A136="","",COUNTIFS(TL_Date,A136,TL_Followed,"N"))</f>
        <v/>
      </c>
      <c r="R136" s="28">
        <f>IF(A136="","",_xlfn.MAXIFS(TL_Lots,TL_Date,A136))</f>
        <v/>
      </c>
      <c r="S136" s="39">
        <f>IF(A136="","",SUMIFS(TL_GiveBack,TL_Date,A136))</f>
        <v/>
      </c>
      <c r="T136" s="28">
        <f>IF(A136="","",COUNTIFS(TL_Date,A136,TL_ExpBreach,"BREACH"))</f>
        <v/>
      </c>
      <c r="U136" s="5">
        <f>IF(A136="","",IF(H136&lt;=-DailyLossLimit,"BREACH","OK"))</f>
        <v/>
      </c>
      <c r="V136" s="5">
        <f>IF(A136="","",IF(C136&gt;MaxTradesDay,"BREACH","OK"))</f>
        <v/>
      </c>
      <c r="W136" s="5">
        <f>IF(A136="","",IF(O136&lt;=-WeeklyDDLimit,"BREACH","OK"))</f>
        <v/>
      </c>
      <c r="X136" s="5">
        <f>IF(A136="","",IF(OR(U136="BREACH",V136="BREACH",W136="BREACH",T136&gt;0,R136&gt;MaxLots),"LIMIT BROKEN","OK"))</f>
        <v/>
      </c>
    </row>
    <row r="137">
      <c r="A137" s="57">
        <f>IF(A136="","",IFERROR(SMALL(TL_Date,COUNTIF(TL_Date,"&lt;="&amp;A136)+1),""))</f>
        <v/>
      </c>
      <c r="B137" s="5">
        <f>IF(A137="","",TEXT(A137,"ddd"))</f>
        <v/>
      </c>
      <c r="C137" s="28">
        <f>IF(A137="","",COUNTIF(TL_Date,A137))</f>
        <v/>
      </c>
      <c r="D137" s="28">
        <f>IF(A137="","",COUNTIFS(TL_Date,A137,TL_Net,"&gt;0"))</f>
        <v/>
      </c>
      <c r="E137" s="28">
        <f>IF(A137="","",COUNTIFS(TL_Date,A137,TL_Net,"&lt;0"))</f>
        <v/>
      </c>
      <c r="F137" s="39">
        <f>IF(A137="","",SUMIFS(TL_Gross,TL_Date,A137))</f>
        <v/>
      </c>
      <c r="G137" s="39">
        <f>IF(A137="","",SUMIFS(TL_Chg,TL_Date,A137))</f>
        <v/>
      </c>
      <c r="H137" s="39">
        <f>IF(A137="","",SUMIFS(TL_Net,TL_Date,A137))</f>
        <v/>
      </c>
      <c r="I137" s="39">
        <f>IF(A137="","",SUM($H$6:H137))</f>
        <v/>
      </c>
      <c r="J137" s="39">
        <f>IF(A137="","",Capital+I137)</f>
        <v/>
      </c>
      <c r="K137" s="39">
        <f>IF(A137="","",MAX(Capital,MAX($J$6:J137)))</f>
        <v/>
      </c>
      <c r="L137" s="39">
        <f>IF(A137="","",K137-J137)</f>
        <v/>
      </c>
      <c r="M137" s="58">
        <f>IF(A137="","",L137/K137)</f>
        <v/>
      </c>
      <c r="N137" s="57">
        <f>IF(A137="","",A137-WEEKDAY(A137,3))</f>
        <v/>
      </c>
      <c r="O137" s="39">
        <f>IF(A137="","",SUMIFS($H$6:H137,$N$6:N137,N137))</f>
        <v/>
      </c>
      <c r="P137" s="58">
        <f>IF(A137="","",IFERROR(COUNTIFS(TL_Date,A137,TL_Followed,"Y")/C137,0))</f>
        <v/>
      </c>
      <c r="Q137" s="28">
        <f>IF(A137="","",COUNTIFS(TL_Date,A137,TL_Followed,"N"))</f>
        <v/>
      </c>
      <c r="R137" s="28">
        <f>IF(A137="","",_xlfn.MAXIFS(TL_Lots,TL_Date,A137))</f>
        <v/>
      </c>
      <c r="S137" s="39">
        <f>IF(A137="","",SUMIFS(TL_GiveBack,TL_Date,A137))</f>
        <v/>
      </c>
      <c r="T137" s="28">
        <f>IF(A137="","",COUNTIFS(TL_Date,A137,TL_ExpBreach,"BREACH"))</f>
        <v/>
      </c>
      <c r="U137" s="5">
        <f>IF(A137="","",IF(H137&lt;=-DailyLossLimit,"BREACH","OK"))</f>
        <v/>
      </c>
      <c r="V137" s="5">
        <f>IF(A137="","",IF(C137&gt;MaxTradesDay,"BREACH","OK"))</f>
        <v/>
      </c>
      <c r="W137" s="5">
        <f>IF(A137="","",IF(O137&lt;=-WeeklyDDLimit,"BREACH","OK"))</f>
        <v/>
      </c>
      <c r="X137" s="5">
        <f>IF(A137="","",IF(OR(U137="BREACH",V137="BREACH",W137="BREACH",T137&gt;0,R137&gt;MaxLots),"LIMIT BROKEN","OK"))</f>
        <v/>
      </c>
    </row>
    <row r="138">
      <c r="A138" s="57">
        <f>IF(A137="","",IFERROR(SMALL(TL_Date,COUNTIF(TL_Date,"&lt;="&amp;A137)+1),""))</f>
        <v/>
      </c>
      <c r="B138" s="5">
        <f>IF(A138="","",TEXT(A138,"ddd"))</f>
        <v/>
      </c>
      <c r="C138" s="28">
        <f>IF(A138="","",COUNTIF(TL_Date,A138))</f>
        <v/>
      </c>
      <c r="D138" s="28">
        <f>IF(A138="","",COUNTIFS(TL_Date,A138,TL_Net,"&gt;0"))</f>
        <v/>
      </c>
      <c r="E138" s="28">
        <f>IF(A138="","",COUNTIFS(TL_Date,A138,TL_Net,"&lt;0"))</f>
        <v/>
      </c>
      <c r="F138" s="39">
        <f>IF(A138="","",SUMIFS(TL_Gross,TL_Date,A138))</f>
        <v/>
      </c>
      <c r="G138" s="39">
        <f>IF(A138="","",SUMIFS(TL_Chg,TL_Date,A138))</f>
        <v/>
      </c>
      <c r="H138" s="39">
        <f>IF(A138="","",SUMIFS(TL_Net,TL_Date,A138))</f>
        <v/>
      </c>
      <c r="I138" s="39">
        <f>IF(A138="","",SUM($H$6:H138))</f>
        <v/>
      </c>
      <c r="J138" s="39">
        <f>IF(A138="","",Capital+I138)</f>
        <v/>
      </c>
      <c r="K138" s="39">
        <f>IF(A138="","",MAX(Capital,MAX($J$6:J138)))</f>
        <v/>
      </c>
      <c r="L138" s="39">
        <f>IF(A138="","",K138-J138)</f>
        <v/>
      </c>
      <c r="M138" s="58">
        <f>IF(A138="","",L138/K138)</f>
        <v/>
      </c>
      <c r="N138" s="57">
        <f>IF(A138="","",A138-WEEKDAY(A138,3))</f>
        <v/>
      </c>
      <c r="O138" s="39">
        <f>IF(A138="","",SUMIFS($H$6:H138,$N$6:N138,N138))</f>
        <v/>
      </c>
      <c r="P138" s="58">
        <f>IF(A138="","",IFERROR(COUNTIFS(TL_Date,A138,TL_Followed,"Y")/C138,0))</f>
        <v/>
      </c>
      <c r="Q138" s="28">
        <f>IF(A138="","",COUNTIFS(TL_Date,A138,TL_Followed,"N"))</f>
        <v/>
      </c>
      <c r="R138" s="28">
        <f>IF(A138="","",_xlfn.MAXIFS(TL_Lots,TL_Date,A138))</f>
        <v/>
      </c>
      <c r="S138" s="39">
        <f>IF(A138="","",SUMIFS(TL_GiveBack,TL_Date,A138))</f>
        <v/>
      </c>
      <c r="T138" s="28">
        <f>IF(A138="","",COUNTIFS(TL_Date,A138,TL_ExpBreach,"BREACH"))</f>
        <v/>
      </c>
      <c r="U138" s="5">
        <f>IF(A138="","",IF(H138&lt;=-DailyLossLimit,"BREACH","OK"))</f>
        <v/>
      </c>
      <c r="V138" s="5">
        <f>IF(A138="","",IF(C138&gt;MaxTradesDay,"BREACH","OK"))</f>
        <v/>
      </c>
      <c r="W138" s="5">
        <f>IF(A138="","",IF(O138&lt;=-WeeklyDDLimit,"BREACH","OK"))</f>
        <v/>
      </c>
      <c r="X138" s="5">
        <f>IF(A138="","",IF(OR(U138="BREACH",V138="BREACH",W138="BREACH",T138&gt;0,R138&gt;MaxLots),"LIMIT BROKEN","OK"))</f>
        <v/>
      </c>
    </row>
    <row r="139">
      <c r="A139" s="57">
        <f>IF(A138="","",IFERROR(SMALL(TL_Date,COUNTIF(TL_Date,"&lt;="&amp;A138)+1),""))</f>
        <v/>
      </c>
      <c r="B139" s="5">
        <f>IF(A139="","",TEXT(A139,"ddd"))</f>
        <v/>
      </c>
      <c r="C139" s="28">
        <f>IF(A139="","",COUNTIF(TL_Date,A139))</f>
        <v/>
      </c>
      <c r="D139" s="28">
        <f>IF(A139="","",COUNTIFS(TL_Date,A139,TL_Net,"&gt;0"))</f>
        <v/>
      </c>
      <c r="E139" s="28">
        <f>IF(A139="","",COUNTIFS(TL_Date,A139,TL_Net,"&lt;0"))</f>
        <v/>
      </c>
      <c r="F139" s="39">
        <f>IF(A139="","",SUMIFS(TL_Gross,TL_Date,A139))</f>
        <v/>
      </c>
      <c r="G139" s="39">
        <f>IF(A139="","",SUMIFS(TL_Chg,TL_Date,A139))</f>
        <v/>
      </c>
      <c r="H139" s="39">
        <f>IF(A139="","",SUMIFS(TL_Net,TL_Date,A139))</f>
        <v/>
      </c>
      <c r="I139" s="39">
        <f>IF(A139="","",SUM($H$6:H139))</f>
        <v/>
      </c>
      <c r="J139" s="39">
        <f>IF(A139="","",Capital+I139)</f>
        <v/>
      </c>
      <c r="K139" s="39">
        <f>IF(A139="","",MAX(Capital,MAX($J$6:J139)))</f>
        <v/>
      </c>
      <c r="L139" s="39">
        <f>IF(A139="","",K139-J139)</f>
        <v/>
      </c>
      <c r="M139" s="58">
        <f>IF(A139="","",L139/K139)</f>
        <v/>
      </c>
      <c r="N139" s="57">
        <f>IF(A139="","",A139-WEEKDAY(A139,3))</f>
        <v/>
      </c>
      <c r="O139" s="39">
        <f>IF(A139="","",SUMIFS($H$6:H139,$N$6:N139,N139))</f>
        <v/>
      </c>
      <c r="P139" s="58">
        <f>IF(A139="","",IFERROR(COUNTIFS(TL_Date,A139,TL_Followed,"Y")/C139,0))</f>
        <v/>
      </c>
      <c r="Q139" s="28">
        <f>IF(A139="","",COUNTIFS(TL_Date,A139,TL_Followed,"N"))</f>
        <v/>
      </c>
      <c r="R139" s="28">
        <f>IF(A139="","",_xlfn.MAXIFS(TL_Lots,TL_Date,A139))</f>
        <v/>
      </c>
      <c r="S139" s="39">
        <f>IF(A139="","",SUMIFS(TL_GiveBack,TL_Date,A139))</f>
        <v/>
      </c>
      <c r="T139" s="28">
        <f>IF(A139="","",COUNTIFS(TL_Date,A139,TL_ExpBreach,"BREACH"))</f>
        <v/>
      </c>
      <c r="U139" s="5">
        <f>IF(A139="","",IF(H139&lt;=-DailyLossLimit,"BREACH","OK"))</f>
        <v/>
      </c>
      <c r="V139" s="5">
        <f>IF(A139="","",IF(C139&gt;MaxTradesDay,"BREACH","OK"))</f>
        <v/>
      </c>
      <c r="W139" s="5">
        <f>IF(A139="","",IF(O139&lt;=-WeeklyDDLimit,"BREACH","OK"))</f>
        <v/>
      </c>
      <c r="X139" s="5">
        <f>IF(A139="","",IF(OR(U139="BREACH",V139="BREACH",W139="BREACH",T139&gt;0,R139&gt;MaxLots),"LIMIT BROKEN","OK"))</f>
        <v/>
      </c>
    </row>
    <row r="140">
      <c r="A140" s="57">
        <f>IF(A139="","",IFERROR(SMALL(TL_Date,COUNTIF(TL_Date,"&lt;="&amp;A139)+1),""))</f>
        <v/>
      </c>
      <c r="B140" s="5">
        <f>IF(A140="","",TEXT(A140,"ddd"))</f>
        <v/>
      </c>
      <c r="C140" s="28">
        <f>IF(A140="","",COUNTIF(TL_Date,A140))</f>
        <v/>
      </c>
      <c r="D140" s="28">
        <f>IF(A140="","",COUNTIFS(TL_Date,A140,TL_Net,"&gt;0"))</f>
        <v/>
      </c>
      <c r="E140" s="28">
        <f>IF(A140="","",COUNTIFS(TL_Date,A140,TL_Net,"&lt;0"))</f>
        <v/>
      </c>
      <c r="F140" s="39">
        <f>IF(A140="","",SUMIFS(TL_Gross,TL_Date,A140))</f>
        <v/>
      </c>
      <c r="G140" s="39">
        <f>IF(A140="","",SUMIFS(TL_Chg,TL_Date,A140))</f>
        <v/>
      </c>
      <c r="H140" s="39">
        <f>IF(A140="","",SUMIFS(TL_Net,TL_Date,A140))</f>
        <v/>
      </c>
      <c r="I140" s="39">
        <f>IF(A140="","",SUM($H$6:H140))</f>
        <v/>
      </c>
      <c r="J140" s="39">
        <f>IF(A140="","",Capital+I140)</f>
        <v/>
      </c>
      <c r="K140" s="39">
        <f>IF(A140="","",MAX(Capital,MAX($J$6:J140)))</f>
        <v/>
      </c>
      <c r="L140" s="39">
        <f>IF(A140="","",K140-J140)</f>
        <v/>
      </c>
      <c r="M140" s="58">
        <f>IF(A140="","",L140/K140)</f>
        <v/>
      </c>
      <c r="N140" s="57">
        <f>IF(A140="","",A140-WEEKDAY(A140,3))</f>
        <v/>
      </c>
      <c r="O140" s="39">
        <f>IF(A140="","",SUMIFS($H$6:H140,$N$6:N140,N140))</f>
        <v/>
      </c>
      <c r="P140" s="58">
        <f>IF(A140="","",IFERROR(COUNTIFS(TL_Date,A140,TL_Followed,"Y")/C140,0))</f>
        <v/>
      </c>
      <c r="Q140" s="28">
        <f>IF(A140="","",COUNTIFS(TL_Date,A140,TL_Followed,"N"))</f>
        <v/>
      </c>
      <c r="R140" s="28">
        <f>IF(A140="","",_xlfn.MAXIFS(TL_Lots,TL_Date,A140))</f>
        <v/>
      </c>
      <c r="S140" s="39">
        <f>IF(A140="","",SUMIFS(TL_GiveBack,TL_Date,A140))</f>
        <v/>
      </c>
      <c r="T140" s="28">
        <f>IF(A140="","",COUNTIFS(TL_Date,A140,TL_ExpBreach,"BREACH"))</f>
        <v/>
      </c>
      <c r="U140" s="5">
        <f>IF(A140="","",IF(H140&lt;=-DailyLossLimit,"BREACH","OK"))</f>
        <v/>
      </c>
      <c r="V140" s="5">
        <f>IF(A140="","",IF(C140&gt;MaxTradesDay,"BREACH","OK"))</f>
        <v/>
      </c>
      <c r="W140" s="5">
        <f>IF(A140="","",IF(O140&lt;=-WeeklyDDLimit,"BREACH","OK"))</f>
        <v/>
      </c>
      <c r="X140" s="5">
        <f>IF(A140="","",IF(OR(U140="BREACH",V140="BREACH",W140="BREACH",T140&gt;0,R140&gt;MaxLots),"LIMIT BROKEN","OK"))</f>
        <v/>
      </c>
    </row>
    <row r="141">
      <c r="A141" s="57">
        <f>IF(A140="","",IFERROR(SMALL(TL_Date,COUNTIF(TL_Date,"&lt;="&amp;A140)+1),""))</f>
        <v/>
      </c>
      <c r="B141" s="5">
        <f>IF(A141="","",TEXT(A141,"ddd"))</f>
        <v/>
      </c>
      <c r="C141" s="28">
        <f>IF(A141="","",COUNTIF(TL_Date,A141))</f>
        <v/>
      </c>
      <c r="D141" s="28">
        <f>IF(A141="","",COUNTIFS(TL_Date,A141,TL_Net,"&gt;0"))</f>
        <v/>
      </c>
      <c r="E141" s="28">
        <f>IF(A141="","",COUNTIFS(TL_Date,A141,TL_Net,"&lt;0"))</f>
        <v/>
      </c>
      <c r="F141" s="39">
        <f>IF(A141="","",SUMIFS(TL_Gross,TL_Date,A141))</f>
        <v/>
      </c>
      <c r="G141" s="39">
        <f>IF(A141="","",SUMIFS(TL_Chg,TL_Date,A141))</f>
        <v/>
      </c>
      <c r="H141" s="39">
        <f>IF(A141="","",SUMIFS(TL_Net,TL_Date,A141))</f>
        <v/>
      </c>
      <c r="I141" s="39">
        <f>IF(A141="","",SUM($H$6:H141))</f>
        <v/>
      </c>
      <c r="J141" s="39">
        <f>IF(A141="","",Capital+I141)</f>
        <v/>
      </c>
      <c r="K141" s="39">
        <f>IF(A141="","",MAX(Capital,MAX($J$6:J141)))</f>
        <v/>
      </c>
      <c r="L141" s="39">
        <f>IF(A141="","",K141-J141)</f>
        <v/>
      </c>
      <c r="M141" s="58">
        <f>IF(A141="","",L141/K141)</f>
        <v/>
      </c>
      <c r="N141" s="57">
        <f>IF(A141="","",A141-WEEKDAY(A141,3))</f>
        <v/>
      </c>
      <c r="O141" s="39">
        <f>IF(A141="","",SUMIFS($H$6:H141,$N$6:N141,N141))</f>
        <v/>
      </c>
      <c r="P141" s="58">
        <f>IF(A141="","",IFERROR(COUNTIFS(TL_Date,A141,TL_Followed,"Y")/C141,0))</f>
        <v/>
      </c>
      <c r="Q141" s="28">
        <f>IF(A141="","",COUNTIFS(TL_Date,A141,TL_Followed,"N"))</f>
        <v/>
      </c>
      <c r="R141" s="28">
        <f>IF(A141="","",_xlfn.MAXIFS(TL_Lots,TL_Date,A141))</f>
        <v/>
      </c>
      <c r="S141" s="39">
        <f>IF(A141="","",SUMIFS(TL_GiveBack,TL_Date,A141))</f>
        <v/>
      </c>
      <c r="T141" s="28">
        <f>IF(A141="","",COUNTIFS(TL_Date,A141,TL_ExpBreach,"BREACH"))</f>
        <v/>
      </c>
      <c r="U141" s="5">
        <f>IF(A141="","",IF(H141&lt;=-DailyLossLimit,"BREACH","OK"))</f>
        <v/>
      </c>
      <c r="V141" s="5">
        <f>IF(A141="","",IF(C141&gt;MaxTradesDay,"BREACH","OK"))</f>
        <v/>
      </c>
      <c r="W141" s="5">
        <f>IF(A141="","",IF(O141&lt;=-WeeklyDDLimit,"BREACH","OK"))</f>
        <v/>
      </c>
      <c r="X141" s="5">
        <f>IF(A141="","",IF(OR(U141="BREACH",V141="BREACH",W141="BREACH",T141&gt;0,R141&gt;MaxLots),"LIMIT BROKEN","OK"))</f>
        <v/>
      </c>
    </row>
    <row r="142">
      <c r="A142" s="57">
        <f>IF(A141="","",IFERROR(SMALL(TL_Date,COUNTIF(TL_Date,"&lt;="&amp;A141)+1),""))</f>
        <v/>
      </c>
      <c r="B142" s="5">
        <f>IF(A142="","",TEXT(A142,"ddd"))</f>
        <v/>
      </c>
      <c r="C142" s="28">
        <f>IF(A142="","",COUNTIF(TL_Date,A142))</f>
        <v/>
      </c>
      <c r="D142" s="28">
        <f>IF(A142="","",COUNTIFS(TL_Date,A142,TL_Net,"&gt;0"))</f>
        <v/>
      </c>
      <c r="E142" s="28">
        <f>IF(A142="","",COUNTIFS(TL_Date,A142,TL_Net,"&lt;0"))</f>
        <v/>
      </c>
      <c r="F142" s="39">
        <f>IF(A142="","",SUMIFS(TL_Gross,TL_Date,A142))</f>
        <v/>
      </c>
      <c r="G142" s="39">
        <f>IF(A142="","",SUMIFS(TL_Chg,TL_Date,A142))</f>
        <v/>
      </c>
      <c r="H142" s="39">
        <f>IF(A142="","",SUMIFS(TL_Net,TL_Date,A142))</f>
        <v/>
      </c>
      <c r="I142" s="39">
        <f>IF(A142="","",SUM($H$6:H142))</f>
        <v/>
      </c>
      <c r="J142" s="39">
        <f>IF(A142="","",Capital+I142)</f>
        <v/>
      </c>
      <c r="K142" s="39">
        <f>IF(A142="","",MAX(Capital,MAX($J$6:J142)))</f>
        <v/>
      </c>
      <c r="L142" s="39">
        <f>IF(A142="","",K142-J142)</f>
        <v/>
      </c>
      <c r="M142" s="58">
        <f>IF(A142="","",L142/K142)</f>
        <v/>
      </c>
      <c r="N142" s="57">
        <f>IF(A142="","",A142-WEEKDAY(A142,3))</f>
        <v/>
      </c>
      <c r="O142" s="39">
        <f>IF(A142="","",SUMIFS($H$6:H142,$N$6:N142,N142))</f>
        <v/>
      </c>
      <c r="P142" s="58">
        <f>IF(A142="","",IFERROR(COUNTIFS(TL_Date,A142,TL_Followed,"Y")/C142,0))</f>
        <v/>
      </c>
      <c r="Q142" s="28">
        <f>IF(A142="","",COUNTIFS(TL_Date,A142,TL_Followed,"N"))</f>
        <v/>
      </c>
      <c r="R142" s="28">
        <f>IF(A142="","",_xlfn.MAXIFS(TL_Lots,TL_Date,A142))</f>
        <v/>
      </c>
      <c r="S142" s="39">
        <f>IF(A142="","",SUMIFS(TL_GiveBack,TL_Date,A142))</f>
        <v/>
      </c>
      <c r="T142" s="28">
        <f>IF(A142="","",COUNTIFS(TL_Date,A142,TL_ExpBreach,"BREACH"))</f>
        <v/>
      </c>
      <c r="U142" s="5">
        <f>IF(A142="","",IF(H142&lt;=-DailyLossLimit,"BREACH","OK"))</f>
        <v/>
      </c>
      <c r="V142" s="5">
        <f>IF(A142="","",IF(C142&gt;MaxTradesDay,"BREACH","OK"))</f>
        <v/>
      </c>
      <c r="W142" s="5">
        <f>IF(A142="","",IF(O142&lt;=-WeeklyDDLimit,"BREACH","OK"))</f>
        <v/>
      </c>
      <c r="X142" s="5">
        <f>IF(A142="","",IF(OR(U142="BREACH",V142="BREACH",W142="BREACH",T142&gt;0,R142&gt;MaxLots),"LIMIT BROKEN","OK"))</f>
        <v/>
      </c>
    </row>
    <row r="143">
      <c r="A143" s="57">
        <f>IF(A142="","",IFERROR(SMALL(TL_Date,COUNTIF(TL_Date,"&lt;="&amp;A142)+1),""))</f>
        <v/>
      </c>
      <c r="B143" s="5">
        <f>IF(A143="","",TEXT(A143,"ddd"))</f>
        <v/>
      </c>
      <c r="C143" s="28">
        <f>IF(A143="","",COUNTIF(TL_Date,A143))</f>
        <v/>
      </c>
      <c r="D143" s="28">
        <f>IF(A143="","",COUNTIFS(TL_Date,A143,TL_Net,"&gt;0"))</f>
        <v/>
      </c>
      <c r="E143" s="28">
        <f>IF(A143="","",COUNTIFS(TL_Date,A143,TL_Net,"&lt;0"))</f>
        <v/>
      </c>
      <c r="F143" s="39">
        <f>IF(A143="","",SUMIFS(TL_Gross,TL_Date,A143))</f>
        <v/>
      </c>
      <c r="G143" s="39">
        <f>IF(A143="","",SUMIFS(TL_Chg,TL_Date,A143))</f>
        <v/>
      </c>
      <c r="H143" s="39">
        <f>IF(A143="","",SUMIFS(TL_Net,TL_Date,A143))</f>
        <v/>
      </c>
      <c r="I143" s="39">
        <f>IF(A143="","",SUM($H$6:H143))</f>
        <v/>
      </c>
      <c r="J143" s="39">
        <f>IF(A143="","",Capital+I143)</f>
        <v/>
      </c>
      <c r="K143" s="39">
        <f>IF(A143="","",MAX(Capital,MAX($J$6:J143)))</f>
        <v/>
      </c>
      <c r="L143" s="39">
        <f>IF(A143="","",K143-J143)</f>
        <v/>
      </c>
      <c r="M143" s="58">
        <f>IF(A143="","",L143/K143)</f>
        <v/>
      </c>
      <c r="N143" s="57">
        <f>IF(A143="","",A143-WEEKDAY(A143,3))</f>
        <v/>
      </c>
      <c r="O143" s="39">
        <f>IF(A143="","",SUMIFS($H$6:H143,$N$6:N143,N143))</f>
        <v/>
      </c>
      <c r="P143" s="58">
        <f>IF(A143="","",IFERROR(COUNTIFS(TL_Date,A143,TL_Followed,"Y")/C143,0))</f>
        <v/>
      </c>
      <c r="Q143" s="28">
        <f>IF(A143="","",COUNTIFS(TL_Date,A143,TL_Followed,"N"))</f>
        <v/>
      </c>
      <c r="R143" s="28">
        <f>IF(A143="","",_xlfn.MAXIFS(TL_Lots,TL_Date,A143))</f>
        <v/>
      </c>
      <c r="S143" s="39">
        <f>IF(A143="","",SUMIFS(TL_GiveBack,TL_Date,A143))</f>
        <v/>
      </c>
      <c r="T143" s="28">
        <f>IF(A143="","",COUNTIFS(TL_Date,A143,TL_ExpBreach,"BREACH"))</f>
        <v/>
      </c>
      <c r="U143" s="5">
        <f>IF(A143="","",IF(H143&lt;=-DailyLossLimit,"BREACH","OK"))</f>
        <v/>
      </c>
      <c r="V143" s="5">
        <f>IF(A143="","",IF(C143&gt;MaxTradesDay,"BREACH","OK"))</f>
        <v/>
      </c>
      <c r="W143" s="5">
        <f>IF(A143="","",IF(O143&lt;=-WeeklyDDLimit,"BREACH","OK"))</f>
        <v/>
      </c>
      <c r="X143" s="5">
        <f>IF(A143="","",IF(OR(U143="BREACH",V143="BREACH",W143="BREACH",T143&gt;0,R143&gt;MaxLots),"LIMIT BROKEN","OK"))</f>
        <v/>
      </c>
    </row>
    <row r="144">
      <c r="A144" s="57">
        <f>IF(A143="","",IFERROR(SMALL(TL_Date,COUNTIF(TL_Date,"&lt;="&amp;A143)+1),""))</f>
        <v/>
      </c>
      <c r="B144" s="5">
        <f>IF(A144="","",TEXT(A144,"ddd"))</f>
        <v/>
      </c>
      <c r="C144" s="28">
        <f>IF(A144="","",COUNTIF(TL_Date,A144))</f>
        <v/>
      </c>
      <c r="D144" s="28">
        <f>IF(A144="","",COUNTIFS(TL_Date,A144,TL_Net,"&gt;0"))</f>
        <v/>
      </c>
      <c r="E144" s="28">
        <f>IF(A144="","",COUNTIFS(TL_Date,A144,TL_Net,"&lt;0"))</f>
        <v/>
      </c>
      <c r="F144" s="39">
        <f>IF(A144="","",SUMIFS(TL_Gross,TL_Date,A144))</f>
        <v/>
      </c>
      <c r="G144" s="39">
        <f>IF(A144="","",SUMIFS(TL_Chg,TL_Date,A144))</f>
        <v/>
      </c>
      <c r="H144" s="39">
        <f>IF(A144="","",SUMIFS(TL_Net,TL_Date,A144))</f>
        <v/>
      </c>
      <c r="I144" s="39">
        <f>IF(A144="","",SUM($H$6:H144))</f>
        <v/>
      </c>
      <c r="J144" s="39">
        <f>IF(A144="","",Capital+I144)</f>
        <v/>
      </c>
      <c r="K144" s="39">
        <f>IF(A144="","",MAX(Capital,MAX($J$6:J144)))</f>
        <v/>
      </c>
      <c r="L144" s="39">
        <f>IF(A144="","",K144-J144)</f>
        <v/>
      </c>
      <c r="M144" s="58">
        <f>IF(A144="","",L144/K144)</f>
        <v/>
      </c>
      <c r="N144" s="57">
        <f>IF(A144="","",A144-WEEKDAY(A144,3))</f>
        <v/>
      </c>
      <c r="O144" s="39">
        <f>IF(A144="","",SUMIFS($H$6:H144,$N$6:N144,N144))</f>
        <v/>
      </c>
      <c r="P144" s="58">
        <f>IF(A144="","",IFERROR(COUNTIFS(TL_Date,A144,TL_Followed,"Y")/C144,0))</f>
        <v/>
      </c>
      <c r="Q144" s="28">
        <f>IF(A144="","",COUNTIFS(TL_Date,A144,TL_Followed,"N"))</f>
        <v/>
      </c>
      <c r="R144" s="28">
        <f>IF(A144="","",_xlfn.MAXIFS(TL_Lots,TL_Date,A144))</f>
        <v/>
      </c>
      <c r="S144" s="39">
        <f>IF(A144="","",SUMIFS(TL_GiveBack,TL_Date,A144))</f>
        <v/>
      </c>
      <c r="T144" s="28">
        <f>IF(A144="","",COUNTIFS(TL_Date,A144,TL_ExpBreach,"BREACH"))</f>
        <v/>
      </c>
      <c r="U144" s="5">
        <f>IF(A144="","",IF(H144&lt;=-DailyLossLimit,"BREACH","OK"))</f>
        <v/>
      </c>
      <c r="V144" s="5">
        <f>IF(A144="","",IF(C144&gt;MaxTradesDay,"BREACH","OK"))</f>
        <v/>
      </c>
      <c r="W144" s="5">
        <f>IF(A144="","",IF(O144&lt;=-WeeklyDDLimit,"BREACH","OK"))</f>
        <v/>
      </c>
      <c r="X144" s="5">
        <f>IF(A144="","",IF(OR(U144="BREACH",V144="BREACH",W144="BREACH",T144&gt;0,R144&gt;MaxLots),"LIMIT BROKEN","OK"))</f>
        <v/>
      </c>
    </row>
    <row r="145">
      <c r="A145" s="57">
        <f>IF(A144="","",IFERROR(SMALL(TL_Date,COUNTIF(TL_Date,"&lt;="&amp;A144)+1),""))</f>
        <v/>
      </c>
      <c r="B145" s="5">
        <f>IF(A145="","",TEXT(A145,"ddd"))</f>
        <v/>
      </c>
      <c r="C145" s="28">
        <f>IF(A145="","",COUNTIF(TL_Date,A145))</f>
        <v/>
      </c>
      <c r="D145" s="28">
        <f>IF(A145="","",COUNTIFS(TL_Date,A145,TL_Net,"&gt;0"))</f>
        <v/>
      </c>
      <c r="E145" s="28">
        <f>IF(A145="","",COUNTIFS(TL_Date,A145,TL_Net,"&lt;0"))</f>
        <v/>
      </c>
      <c r="F145" s="39">
        <f>IF(A145="","",SUMIFS(TL_Gross,TL_Date,A145))</f>
        <v/>
      </c>
      <c r="G145" s="39">
        <f>IF(A145="","",SUMIFS(TL_Chg,TL_Date,A145))</f>
        <v/>
      </c>
      <c r="H145" s="39">
        <f>IF(A145="","",SUMIFS(TL_Net,TL_Date,A145))</f>
        <v/>
      </c>
      <c r="I145" s="39">
        <f>IF(A145="","",SUM($H$6:H145))</f>
        <v/>
      </c>
      <c r="J145" s="39">
        <f>IF(A145="","",Capital+I145)</f>
        <v/>
      </c>
      <c r="K145" s="39">
        <f>IF(A145="","",MAX(Capital,MAX($J$6:J145)))</f>
        <v/>
      </c>
      <c r="L145" s="39">
        <f>IF(A145="","",K145-J145)</f>
        <v/>
      </c>
      <c r="M145" s="58">
        <f>IF(A145="","",L145/K145)</f>
        <v/>
      </c>
      <c r="N145" s="57">
        <f>IF(A145="","",A145-WEEKDAY(A145,3))</f>
        <v/>
      </c>
      <c r="O145" s="39">
        <f>IF(A145="","",SUMIFS($H$6:H145,$N$6:N145,N145))</f>
        <v/>
      </c>
      <c r="P145" s="58">
        <f>IF(A145="","",IFERROR(COUNTIFS(TL_Date,A145,TL_Followed,"Y")/C145,0))</f>
        <v/>
      </c>
      <c r="Q145" s="28">
        <f>IF(A145="","",COUNTIFS(TL_Date,A145,TL_Followed,"N"))</f>
        <v/>
      </c>
      <c r="R145" s="28">
        <f>IF(A145="","",_xlfn.MAXIFS(TL_Lots,TL_Date,A145))</f>
        <v/>
      </c>
      <c r="S145" s="39">
        <f>IF(A145="","",SUMIFS(TL_GiveBack,TL_Date,A145))</f>
        <v/>
      </c>
      <c r="T145" s="28">
        <f>IF(A145="","",COUNTIFS(TL_Date,A145,TL_ExpBreach,"BREACH"))</f>
        <v/>
      </c>
      <c r="U145" s="5">
        <f>IF(A145="","",IF(H145&lt;=-DailyLossLimit,"BREACH","OK"))</f>
        <v/>
      </c>
      <c r="V145" s="5">
        <f>IF(A145="","",IF(C145&gt;MaxTradesDay,"BREACH","OK"))</f>
        <v/>
      </c>
      <c r="W145" s="5">
        <f>IF(A145="","",IF(O145&lt;=-WeeklyDDLimit,"BREACH","OK"))</f>
        <v/>
      </c>
      <c r="X145" s="5">
        <f>IF(A145="","",IF(OR(U145="BREACH",V145="BREACH",W145="BREACH",T145&gt;0,R145&gt;MaxLots),"LIMIT BROKEN","OK"))</f>
        <v/>
      </c>
    </row>
    <row r="146">
      <c r="A146" s="57">
        <f>IF(A145="","",IFERROR(SMALL(TL_Date,COUNTIF(TL_Date,"&lt;="&amp;A145)+1),""))</f>
        <v/>
      </c>
      <c r="B146" s="5">
        <f>IF(A146="","",TEXT(A146,"ddd"))</f>
        <v/>
      </c>
      <c r="C146" s="28">
        <f>IF(A146="","",COUNTIF(TL_Date,A146))</f>
        <v/>
      </c>
      <c r="D146" s="28">
        <f>IF(A146="","",COUNTIFS(TL_Date,A146,TL_Net,"&gt;0"))</f>
        <v/>
      </c>
      <c r="E146" s="28">
        <f>IF(A146="","",COUNTIFS(TL_Date,A146,TL_Net,"&lt;0"))</f>
        <v/>
      </c>
      <c r="F146" s="39">
        <f>IF(A146="","",SUMIFS(TL_Gross,TL_Date,A146))</f>
        <v/>
      </c>
      <c r="G146" s="39">
        <f>IF(A146="","",SUMIFS(TL_Chg,TL_Date,A146))</f>
        <v/>
      </c>
      <c r="H146" s="39">
        <f>IF(A146="","",SUMIFS(TL_Net,TL_Date,A146))</f>
        <v/>
      </c>
      <c r="I146" s="39">
        <f>IF(A146="","",SUM($H$6:H146))</f>
        <v/>
      </c>
      <c r="J146" s="39">
        <f>IF(A146="","",Capital+I146)</f>
        <v/>
      </c>
      <c r="K146" s="39">
        <f>IF(A146="","",MAX(Capital,MAX($J$6:J146)))</f>
        <v/>
      </c>
      <c r="L146" s="39">
        <f>IF(A146="","",K146-J146)</f>
        <v/>
      </c>
      <c r="M146" s="58">
        <f>IF(A146="","",L146/K146)</f>
        <v/>
      </c>
      <c r="N146" s="57">
        <f>IF(A146="","",A146-WEEKDAY(A146,3))</f>
        <v/>
      </c>
      <c r="O146" s="39">
        <f>IF(A146="","",SUMIFS($H$6:H146,$N$6:N146,N146))</f>
        <v/>
      </c>
      <c r="P146" s="58">
        <f>IF(A146="","",IFERROR(COUNTIFS(TL_Date,A146,TL_Followed,"Y")/C146,0))</f>
        <v/>
      </c>
      <c r="Q146" s="28">
        <f>IF(A146="","",COUNTIFS(TL_Date,A146,TL_Followed,"N"))</f>
        <v/>
      </c>
      <c r="R146" s="28">
        <f>IF(A146="","",_xlfn.MAXIFS(TL_Lots,TL_Date,A146))</f>
        <v/>
      </c>
      <c r="S146" s="39">
        <f>IF(A146="","",SUMIFS(TL_GiveBack,TL_Date,A146))</f>
        <v/>
      </c>
      <c r="T146" s="28">
        <f>IF(A146="","",COUNTIFS(TL_Date,A146,TL_ExpBreach,"BREACH"))</f>
        <v/>
      </c>
      <c r="U146" s="5">
        <f>IF(A146="","",IF(H146&lt;=-DailyLossLimit,"BREACH","OK"))</f>
        <v/>
      </c>
      <c r="V146" s="5">
        <f>IF(A146="","",IF(C146&gt;MaxTradesDay,"BREACH","OK"))</f>
        <v/>
      </c>
      <c r="W146" s="5">
        <f>IF(A146="","",IF(O146&lt;=-WeeklyDDLimit,"BREACH","OK"))</f>
        <v/>
      </c>
      <c r="X146" s="5">
        <f>IF(A146="","",IF(OR(U146="BREACH",V146="BREACH",W146="BREACH",T146&gt;0,R146&gt;MaxLots),"LIMIT BROKEN","OK"))</f>
        <v/>
      </c>
    </row>
    <row r="147">
      <c r="A147" s="57">
        <f>IF(A146="","",IFERROR(SMALL(TL_Date,COUNTIF(TL_Date,"&lt;="&amp;A146)+1),""))</f>
        <v/>
      </c>
      <c r="B147" s="5">
        <f>IF(A147="","",TEXT(A147,"ddd"))</f>
        <v/>
      </c>
      <c r="C147" s="28">
        <f>IF(A147="","",COUNTIF(TL_Date,A147))</f>
        <v/>
      </c>
      <c r="D147" s="28">
        <f>IF(A147="","",COUNTIFS(TL_Date,A147,TL_Net,"&gt;0"))</f>
        <v/>
      </c>
      <c r="E147" s="28">
        <f>IF(A147="","",COUNTIFS(TL_Date,A147,TL_Net,"&lt;0"))</f>
        <v/>
      </c>
      <c r="F147" s="39">
        <f>IF(A147="","",SUMIFS(TL_Gross,TL_Date,A147))</f>
        <v/>
      </c>
      <c r="G147" s="39">
        <f>IF(A147="","",SUMIFS(TL_Chg,TL_Date,A147))</f>
        <v/>
      </c>
      <c r="H147" s="39">
        <f>IF(A147="","",SUMIFS(TL_Net,TL_Date,A147))</f>
        <v/>
      </c>
      <c r="I147" s="39">
        <f>IF(A147="","",SUM($H$6:H147))</f>
        <v/>
      </c>
      <c r="J147" s="39">
        <f>IF(A147="","",Capital+I147)</f>
        <v/>
      </c>
      <c r="K147" s="39">
        <f>IF(A147="","",MAX(Capital,MAX($J$6:J147)))</f>
        <v/>
      </c>
      <c r="L147" s="39">
        <f>IF(A147="","",K147-J147)</f>
        <v/>
      </c>
      <c r="M147" s="58">
        <f>IF(A147="","",L147/K147)</f>
        <v/>
      </c>
      <c r="N147" s="57">
        <f>IF(A147="","",A147-WEEKDAY(A147,3))</f>
        <v/>
      </c>
      <c r="O147" s="39">
        <f>IF(A147="","",SUMIFS($H$6:H147,$N$6:N147,N147))</f>
        <v/>
      </c>
      <c r="P147" s="58">
        <f>IF(A147="","",IFERROR(COUNTIFS(TL_Date,A147,TL_Followed,"Y")/C147,0))</f>
        <v/>
      </c>
      <c r="Q147" s="28">
        <f>IF(A147="","",COUNTIFS(TL_Date,A147,TL_Followed,"N"))</f>
        <v/>
      </c>
      <c r="R147" s="28">
        <f>IF(A147="","",_xlfn.MAXIFS(TL_Lots,TL_Date,A147))</f>
        <v/>
      </c>
      <c r="S147" s="39">
        <f>IF(A147="","",SUMIFS(TL_GiveBack,TL_Date,A147))</f>
        <v/>
      </c>
      <c r="T147" s="28">
        <f>IF(A147="","",COUNTIFS(TL_Date,A147,TL_ExpBreach,"BREACH"))</f>
        <v/>
      </c>
      <c r="U147" s="5">
        <f>IF(A147="","",IF(H147&lt;=-DailyLossLimit,"BREACH","OK"))</f>
        <v/>
      </c>
      <c r="V147" s="5">
        <f>IF(A147="","",IF(C147&gt;MaxTradesDay,"BREACH","OK"))</f>
        <v/>
      </c>
      <c r="W147" s="5">
        <f>IF(A147="","",IF(O147&lt;=-WeeklyDDLimit,"BREACH","OK"))</f>
        <v/>
      </c>
      <c r="X147" s="5">
        <f>IF(A147="","",IF(OR(U147="BREACH",V147="BREACH",W147="BREACH",T147&gt;0,R147&gt;MaxLots),"LIMIT BROKEN","OK"))</f>
        <v/>
      </c>
    </row>
    <row r="148">
      <c r="A148" s="57">
        <f>IF(A147="","",IFERROR(SMALL(TL_Date,COUNTIF(TL_Date,"&lt;="&amp;A147)+1),""))</f>
        <v/>
      </c>
      <c r="B148" s="5">
        <f>IF(A148="","",TEXT(A148,"ddd"))</f>
        <v/>
      </c>
      <c r="C148" s="28">
        <f>IF(A148="","",COUNTIF(TL_Date,A148))</f>
        <v/>
      </c>
      <c r="D148" s="28">
        <f>IF(A148="","",COUNTIFS(TL_Date,A148,TL_Net,"&gt;0"))</f>
        <v/>
      </c>
      <c r="E148" s="28">
        <f>IF(A148="","",COUNTIFS(TL_Date,A148,TL_Net,"&lt;0"))</f>
        <v/>
      </c>
      <c r="F148" s="39">
        <f>IF(A148="","",SUMIFS(TL_Gross,TL_Date,A148))</f>
        <v/>
      </c>
      <c r="G148" s="39">
        <f>IF(A148="","",SUMIFS(TL_Chg,TL_Date,A148))</f>
        <v/>
      </c>
      <c r="H148" s="39">
        <f>IF(A148="","",SUMIFS(TL_Net,TL_Date,A148))</f>
        <v/>
      </c>
      <c r="I148" s="39">
        <f>IF(A148="","",SUM($H$6:H148))</f>
        <v/>
      </c>
      <c r="J148" s="39">
        <f>IF(A148="","",Capital+I148)</f>
        <v/>
      </c>
      <c r="K148" s="39">
        <f>IF(A148="","",MAX(Capital,MAX($J$6:J148)))</f>
        <v/>
      </c>
      <c r="L148" s="39">
        <f>IF(A148="","",K148-J148)</f>
        <v/>
      </c>
      <c r="M148" s="58">
        <f>IF(A148="","",L148/K148)</f>
        <v/>
      </c>
      <c r="N148" s="57">
        <f>IF(A148="","",A148-WEEKDAY(A148,3))</f>
        <v/>
      </c>
      <c r="O148" s="39">
        <f>IF(A148="","",SUMIFS($H$6:H148,$N$6:N148,N148))</f>
        <v/>
      </c>
      <c r="P148" s="58">
        <f>IF(A148="","",IFERROR(COUNTIFS(TL_Date,A148,TL_Followed,"Y")/C148,0))</f>
        <v/>
      </c>
      <c r="Q148" s="28">
        <f>IF(A148="","",COUNTIFS(TL_Date,A148,TL_Followed,"N"))</f>
        <v/>
      </c>
      <c r="R148" s="28">
        <f>IF(A148="","",_xlfn.MAXIFS(TL_Lots,TL_Date,A148))</f>
        <v/>
      </c>
      <c r="S148" s="39">
        <f>IF(A148="","",SUMIFS(TL_GiveBack,TL_Date,A148))</f>
        <v/>
      </c>
      <c r="T148" s="28">
        <f>IF(A148="","",COUNTIFS(TL_Date,A148,TL_ExpBreach,"BREACH"))</f>
        <v/>
      </c>
      <c r="U148" s="5">
        <f>IF(A148="","",IF(H148&lt;=-DailyLossLimit,"BREACH","OK"))</f>
        <v/>
      </c>
      <c r="V148" s="5">
        <f>IF(A148="","",IF(C148&gt;MaxTradesDay,"BREACH","OK"))</f>
        <v/>
      </c>
      <c r="W148" s="5">
        <f>IF(A148="","",IF(O148&lt;=-WeeklyDDLimit,"BREACH","OK"))</f>
        <v/>
      </c>
      <c r="X148" s="5">
        <f>IF(A148="","",IF(OR(U148="BREACH",V148="BREACH",W148="BREACH",T148&gt;0,R148&gt;MaxLots),"LIMIT BROKEN","OK"))</f>
        <v/>
      </c>
    </row>
    <row r="149">
      <c r="A149" s="57">
        <f>IF(A148="","",IFERROR(SMALL(TL_Date,COUNTIF(TL_Date,"&lt;="&amp;A148)+1),""))</f>
        <v/>
      </c>
      <c r="B149" s="5">
        <f>IF(A149="","",TEXT(A149,"ddd"))</f>
        <v/>
      </c>
      <c r="C149" s="28">
        <f>IF(A149="","",COUNTIF(TL_Date,A149))</f>
        <v/>
      </c>
      <c r="D149" s="28">
        <f>IF(A149="","",COUNTIFS(TL_Date,A149,TL_Net,"&gt;0"))</f>
        <v/>
      </c>
      <c r="E149" s="28">
        <f>IF(A149="","",COUNTIFS(TL_Date,A149,TL_Net,"&lt;0"))</f>
        <v/>
      </c>
      <c r="F149" s="39">
        <f>IF(A149="","",SUMIFS(TL_Gross,TL_Date,A149))</f>
        <v/>
      </c>
      <c r="G149" s="39">
        <f>IF(A149="","",SUMIFS(TL_Chg,TL_Date,A149))</f>
        <v/>
      </c>
      <c r="H149" s="39">
        <f>IF(A149="","",SUMIFS(TL_Net,TL_Date,A149))</f>
        <v/>
      </c>
      <c r="I149" s="39">
        <f>IF(A149="","",SUM($H$6:H149))</f>
        <v/>
      </c>
      <c r="J149" s="39">
        <f>IF(A149="","",Capital+I149)</f>
        <v/>
      </c>
      <c r="K149" s="39">
        <f>IF(A149="","",MAX(Capital,MAX($J$6:J149)))</f>
        <v/>
      </c>
      <c r="L149" s="39">
        <f>IF(A149="","",K149-J149)</f>
        <v/>
      </c>
      <c r="M149" s="58">
        <f>IF(A149="","",L149/K149)</f>
        <v/>
      </c>
      <c r="N149" s="57">
        <f>IF(A149="","",A149-WEEKDAY(A149,3))</f>
        <v/>
      </c>
      <c r="O149" s="39">
        <f>IF(A149="","",SUMIFS($H$6:H149,$N$6:N149,N149))</f>
        <v/>
      </c>
      <c r="P149" s="58">
        <f>IF(A149="","",IFERROR(COUNTIFS(TL_Date,A149,TL_Followed,"Y")/C149,0))</f>
        <v/>
      </c>
      <c r="Q149" s="28">
        <f>IF(A149="","",COUNTIFS(TL_Date,A149,TL_Followed,"N"))</f>
        <v/>
      </c>
      <c r="R149" s="28">
        <f>IF(A149="","",_xlfn.MAXIFS(TL_Lots,TL_Date,A149))</f>
        <v/>
      </c>
      <c r="S149" s="39">
        <f>IF(A149="","",SUMIFS(TL_GiveBack,TL_Date,A149))</f>
        <v/>
      </c>
      <c r="T149" s="28">
        <f>IF(A149="","",COUNTIFS(TL_Date,A149,TL_ExpBreach,"BREACH"))</f>
        <v/>
      </c>
      <c r="U149" s="5">
        <f>IF(A149="","",IF(H149&lt;=-DailyLossLimit,"BREACH","OK"))</f>
        <v/>
      </c>
      <c r="V149" s="5">
        <f>IF(A149="","",IF(C149&gt;MaxTradesDay,"BREACH","OK"))</f>
        <v/>
      </c>
      <c r="W149" s="5">
        <f>IF(A149="","",IF(O149&lt;=-WeeklyDDLimit,"BREACH","OK"))</f>
        <v/>
      </c>
      <c r="X149" s="5">
        <f>IF(A149="","",IF(OR(U149="BREACH",V149="BREACH",W149="BREACH",T149&gt;0,R149&gt;MaxLots),"LIMIT BROKEN","OK"))</f>
        <v/>
      </c>
    </row>
    <row r="150">
      <c r="A150" s="57">
        <f>IF(A149="","",IFERROR(SMALL(TL_Date,COUNTIF(TL_Date,"&lt;="&amp;A149)+1),""))</f>
        <v/>
      </c>
      <c r="B150" s="5">
        <f>IF(A150="","",TEXT(A150,"ddd"))</f>
        <v/>
      </c>
      <c r="C150" s="28">
        <f>IF(A150="","",COUNTIF(TL_Date,A150))</f>
        <v/>
      </c>
      <c r="D150" s="28">
        <f>IF(A150="","",COUNTIFS(TL_Date,A150,TL_Net,"&gt;0"))</f>
        <v/>
      </c>
      <c r="E150" s="28">
        <f>IF(A150="","",COUNTIFS(TL_Date,A150,TL_Net,"&lt;0"))</f>
        <v/>
      </c>
      <c r="F150" s="39">
        <f>IF(A150="","",SUMIFS(TL_Gross,TL_Date,A150))</f>
        <v/>
      </c>
      <c r="G150" s="39">
        <f>IF(A150="","",SUMIFS(TL_Chg,TL_Date,A150))</f>
        <v/>
      </c>
      <c r="H150" s="39">
        <f>IF(A150="","",SUMIFS(TL_Net,TL_Date,A150))</f>
        <v/>
      </c>
      <c r="I150" s="39">
        <f>IF(A150="","",SUM($H$6:H150))</f>
        <v/>
      </c>
      <c r="J150" s="39">
        <f>IF(A150="","",Capital+I150)</f>
        <v/>
      </c>
      <c r="K150" s="39">
        <f>IF(A150="","",MAX(Capital,MAX($J$6:J150)))</f>
        <v/>
      </c>
      <c r="L150" s="39">
        <f>IF(A150="","",K150-J150)</f>
        <v/>
      </c>
      <c r="M150" s="58">
        <f>IF(A150="","",L150/K150)</f>
        <v/>
      </c>
      <c r="N150" s="57">
        <f>IF(A150="","",A150-WEEKDAY(A150,3))</f>
        <v/>
      </c>
      <c r="O150" s="39">
        <f>IF(A150="","",SUMIFS($H$6:H150,$N$6:N150,N150))</f>
        <v/>
      </c>
      <c r="P150" s="58">
        <f>IF(A150="","",IFERROR(COUNTIFS(TL_Date,A150,TL_Followed,"Y")/C150,0))</f>
        <v/>
      </c>
      <c r="Q150" s="28">
        <f>IF(A150="","",COUNTIFS(TL_Date,A150,TL_Followed,"N"))</f>
        <v/>
      </c>
      <c r="R150" s="28">
        <f>IF(A150="","",_xlfn.MAXIFS(TL_Lots,TL_Date,A150))</f>
        <v/>
      </c>
      <c r="S150" s="39">
        <f>IF(A150="","",SUMIFS(TL_GiveBack,TL_Date,A150))</f>
        <v/>
      </c>
      <c r="T150" s="28">
        <f>IF(A150="","",COUNTIFS(TL_Date,A150,TL_ExpBreach,"BREACH"))</f>
        <v/>
      </c>
      <c r="U150" s="5">
        <f>IF(A150="","",IF(H150&lt;=-DailyLossLimit,"BREACH","OK"))</f>
        <v/>
      </c>
      <c r="V150" s="5">
        <f>IF(A150="","",IF(C150&gt;MaxTradesDay,"BREACH","OK"))</f>
        <v/>
      </c>
      <c r="W150" s="5">
        <f>IF(A150="","",IF(O150&lt;=-WeeklyDDLimit,"BREACH","OK"))</f>
        <v/>
      </c>
      <c r="X150" s="5">
        <f>IF(A150="","",IF(OR(U150="BREACH",V150="BREACH",W150="BREACH",T150&gt;0,R150&gt;MaxLots),"LIMIT BROKEN","OK"))</f>
        <v/>
      </c>
    </row>
    <row r="151">
      <c r="A151" s="57">
        <f>IF(A150="","",IFERROR(SMALL(TL_Date,COUNTIF(TL_Date,"&lt;="&amp;A150)+1),""))</f>
        <v/>
      </c>
      <c r="B151" s="5">
        <f>IF(A151="","",TEXT(A151,"ddd"))</f>
        <v/>
      </c>
      <c r="C151" s="28">
        <f>IF(A151="","",COUNTIF(TL_Date,A151))</f>
        <v/>
      </c>
      <c r="D151" s="28">
        <f>IF(A151="","",COUNTIFS(TL_Date,A151,TL_Net,"&gt;0"))</f>
        <v/>
      </c>
      <c r="E151" s="28">
        <f>IF(A151="","",COUNTIFS(TL_Date,A151,TL_Net,"&lt;0"))</f>
        <v/>
      </c>
      <c r="F151" s="39">
        <f>IF(A151="","",SUMIFS(TL_Gross,TL_Date,A151))</f>
        <v/>
      </c>
      <c r="G151" s="39">
        <f>IF(A151="","",SUMIFS(TL_Chg,TL_Date,A151))</f>
        <v/>
      </c>
      <c r="H151" s="39">
        <f>IF(A151="","",SUMIFS(TL_Net,TL_Date,A151))</f>
        <v/>
      </c>
      <c r="I151" s="39">
        <f>IF(A151="","",SUM($H$6:H151))</f>
        <v/>
      </c>
      <c r="J151" s="39">
        <f>IF(A151="","",Capital+I151)</f>
        <v/>
      </c>
      <c r="K151" s="39">
        <f>IF(A151="","",MAX(Capital,MAX($J$6:J151)))</f>
        <v/>
      </c>
      <c r="L151" s="39">
        <f>IF(A151="","",K151-J151)</f>
        <v/>
      </c>
      <c r="M151" s="58">
        <f>IF(A151="","",L151/K151)</f>
        <v/>
      </c>
      <c r="N151" s="57">
        <f>IF(A151="","",A151-WEEKDAY(A151,3))</f>
        <v/>
      </c>
      <c r="O151" s="39">
        <f>IF(A151="","",SUMIFS($H$6:H151,$N$6:N151,N151))</f>
        <v/>
      </c>
      <c r="P151" s="58">
        <f>IF(A151="","",IFERROR(COUNTIFS(TL_Date,A151,TL_Followed,"Y")/C151,0))</f>
        <v/>
      </c>
      <c r="Q151" s="28">
        <f>IF(A151="","",COUNTIFS(TL_Date,A151,TL_Followed,"N"))</f>
        <v/>
      </c>
      <c r="R151" s="28">
        <f>IF(A151="","",_xlfn.MAXIFS(TL_Lots,TL_Date,A151))</f>
        <v/>
      </c>
      <c r="S151" s="39">
        <f>IF(A151="","",SUMIFS(TL_GiveBack,TL_Date,A151))</f>
        <v/>
      </c>
      <c r="T151" s="28">
        <f>IF(A151="","",COUNTIFS(TL_Date,A151,TL_ExpBreach,"BREACH"))</f>
        <v/>
      </c>
      <c r="U151" s="5">
        <f>IF(A151="","",IF(H151&lt;=-DailyLossLimit,"BREACH","OK"))</f>
        <v/>
      </c>
      <c r="V151" s="5">
        <f>IF(A151="","",IF(C151&gt;MaxTradesDay,"BREACH","OK"))</f>
        <v/>
      </c>
      <c r="W151" s="5">
        <f>IF(A151="","",IF(O151&lt;=-WeeklyDDLimit,"BREACH","OK"))</f>
        <v/>
      </c>
      <c r="X151" s="5">
        <f>IF(A151="","",IF(OR(U151="BREACH",V151="BREACH",W151="BREACH",T151&gt;0,R151&gt;MaxLots),"LIMIT BROKEN","OK"))</f>
        <v/>
      </c>
    </row>
    <row r="152">
      <c r="A152" s="57">
        <f>IF(A151="","",IFERROR(SMALL(TL_Date,COUNTIF(TL_Date,"&lt;="&amp;A151)+1),""))</f>
        <v/>
      </c>
      <c r="B152" s="5">
        <f>IF(A152="","",TEXT(A152,"ddd"))</f>
        <v/>
      </c>
      <c r="C152" s="28">
        <f>IF(A152="","",COUNTIF(TL_Date,A152))</f>
        <v/>
      </c>
      <c r="D152" s="28">
        <f>IF(A152="","",COUNTIFS(TL_Date,A152,TL_Net,"&gt;0"))</f>
        <v/>
      </c>
      <c r="E152" s="28">
        <f>IF(A152="","",COUNTIFS(TL_Date,A152,TL_Net,"&lt;0"))</f>
        <v/>
      </c>
      <c r="F152" s="39">
        <f>IF(A152="","",SUMIFS(TL_Gross,TL_Date,A152))</f>
        <v/>
      </c>
      <c r="G152" s="39">
        <f>IF(A152="","",SUMIFS(TL_Chg,TL_Date,A152))</f>
        <v/>
      </c>
      <c r="H152" s="39">
        <f>IF(A152="","",SUMIFS(TL_Net,TL_Date,A152))</f>
        <v/>
      </c>
      <c r="I152" s="39">
        <f>IF(A152="","",SUM($H$6:H152))</f>
        <v/>
      </c>
      <c r="J152" s="39">
        <f>IF(A152="","",Capital+I152)</f>
        <v/>
      </c>
      <c r="K152" s="39">
        <f>IF(A152="","",MAX(Capital,MAX($J$6:J152)))</f>
        <v/>
      </c>
      <c r="L152" s="39">
        <f>IF(A152="","",K152-J152)</f>
        <v/>
      </c>
      <c r="M152" s="58">
        <f>IF(A152="","",L152/K152)</f>
        <v/>
      </c>
      <c r="N152" s="57">
        <f>IF(A152="","",A152-WEEKDAY(A152,3))</f>
        <v/>
      </c>
      <c r="O152" s="39">
        <f>IF(A152="","",SUMIFS($H$6:H152,$N$6:N152,N152))</f>
        <v/>
      </c>
      <c r="P152" s="58">
        <f>IF(A152="","",IFERROR(COUNTIFS(TL_Date,A152,TL_Followed,"Y")/C152,0))</f>
        <v/>
      </c>
      <c r="Q152" s="28">
        <f>IF(A152="","",COUNTIFS(TL_Date,A152,TL_Followed,"N"))</f>
        <v/>
      </c>
      <c r="R152" s="28">
        <f>IF(A152="","",_xlfn.MAXIFS(TL_Lots,TL_Date,A152))</f>
        <v/>
      </c>
      <c r="S152" s="39">
        <f>IF(A152="","",SUMIFS(TL_GiveBack,TL_Date,A152))</f>
        <v/>
      </c>
      <c r="T152" s="28">
        <f>IF(A152="","",COUNTIFS(TL_Date,A152,TL_ExpBreach,"BREACH"))</f>
        <v/>
      </c>
      <c r="U152" s="5">
        <f>IF(A152="","",IF(H152&lt;=-DailyLossLimit,"BREACH","OK"))</f>
        <v/>
      </c>
      <c r="V152" s="5">
        <f>IF(A152="","",IF(C152&gt;MaxTradesDay,"BREACH","OK"))</f>
        <v/>
      </c>
      <c r="W152" s="5">
        <f>IF(A152="","",IF(O152&lt;=-WeeklyDDLimit,"BREACH","OK"))</f>
        <v/>
      </c>
      <c r="X152" s="5">
        <f>IF(A152="","",IF(OR(U152="BREACH",V152="BREACH",W152="BREACH",T152&gt;0,R152&gt;MaxLots),"LIMIT BROKEN","OK"))</f>
        <v/>
      </c>
    </row>
    <row r="153">
      <c r="A153" s="57">
        <f>IF(A152="","",IFERROR(SMALL(TL_Date,COUNTIF(TL_Date,"&lt;="&amp;A152)+1),""))</f>
        <v/>
      </c>
      <c r="B153" s="5">
        <f>IF(A153="","",TEXT(A153,"ddd"))</f>
        <v/>
      </c>
      <c r="C153" s="28">
        <f>IF(A153="","",COUNTIF(TL_Date,A153))</f>
        <v/>
      </c>
      <c r="D153" s="28">
        <f>IF(A153="","",COUNTIFS(TL_Date,A153,TL_Net,"&gt;0"))</f>
        <v/>
      </c>
      <c r="E153" s="28">
        <f>IF(A153="","",COUNTIFS(TL_Date,A153,TL_Net,"&lt;0"))</f>
        <v/>
      </c>
      <c r="F153" s="39">
        <f>IF(A153="","",SUMIFS(TL_Gross,TL_Date,A153))</f>
        <v/>
      </c>
      <c r="G153" s="39">
        <f>IF(A153="","",SUMIFS(TL_Chg,TL_Date,A153))</f>
        <v/>
      </c>
      <c r="H153" s="39">
        <f>IF(A153="","",SUMIFS(TL_Net,TL_Date,A153))</f>
        <v/>
      </c>
      <c r="I153" s="39">
        <f>IF(A153="","",SUM($H$6:H153))</f>
        <v/>
      </c>
      <c r="J153" s="39">
        <f>IF(A153="","",Capital+I153)</f>
        <v/>
      </c>
      <c r="K153" s="39">
        <f>IF(A153="","",MAX(Capital,MAX($J$6:J153)))</f>
        <v/>
      </c>
      <c r="L153" s="39">
        <f>IF(A153="","",K153-J153)</f>
        <v/>
      </c>
      <c r="M153" s="58">
        <f>IF(A153="","",L153/K153)</f>
        <v/>
      </c>
      <c r="N153" s="57">
        <f>IF(A153="","",A153-WEEKDAY(A153,3))</f>
        <v/>
      </c>
      <c r="O153" s="39">
        <f>IF(A153="","",SUMIFS($H$6:H153,$N$6:N153,N153))</f>
        <v/>
      </c>
      <c r="P153" s="58">
        <f>IF(A153="","",IFERROR(COUNTIFS(TL_Date,A153,TL_Followed,"Y")/C153,0))</f>
        <v/>
      </c>
      <c r="Q153" s="28">
        <f>IF(A153="","",COUNTIFS(TL_Date,A153,TL_Followed,"N"))</f>
        <v/>
      </c>
      <c r="R153" s="28">
        <f>IF(A153="","",_xlfn.MAXIFS(TL_Lots,TL_Date,A153))</f>
        <v/>
      </c>
      <c r="S153" s="39">
        <f>IF(A153="","",SUMIFS(TL_GiveBack,TL_Date,A153))</f>
        <v/>
      </c>
      <c r="T153" s="28">
        <f>IF(A153="","",COUNTIFS(TL_Date,A153,TL_ExpBreach,"BREACH"))</f>
        <v/>
      </c>
      <c r="U153" s="5">
        <f>IF(A153="","",IF(H153&lt;=-DailyLossLimit,"BREACH","OK"))</f>
        <v/>
      </c>
      <c r="V153" s="5">
        <f>IF(A153="","",IF(C153&gt;MaxTradesDay,"BREACH","OK"))</f>
        <v/>
      </c>
      <c r="W153" s="5">
        <f>IF(A153="","",IF(O153&lt;=-WeeklyDDLimit,"BREACH","OK"))</f>
        <v/>
      </c>
      <c r="X153" s="5">
        <f>IF(A153="","",IF(OR(U153="BREACH",V153="BREACH",W153="BREACH",T153&gt;0,R153&gt;MaxLots),"LIMIT BROKEN","OK"))</f>
        <v/>
      </c>
    </row>
    <row r="154">
      <c r="A154" s="57">
        <f>IF(A153="","",IFERROR(SMALL(TL_Date,COUNTIF(TL_Date,"&lt;="&amp;A153)+1),""))</f>
        <v/>
      </c>
      <c r="B154" s="5">
        <f>IF(A154="","",TEXT(A154,"ddd"))</f>
        <v/>
      </c>
      <c r="C154" s="28">
        <f>IF(A154="","",COUNTIF(TL_Date,A154))</f>
        <v/>
      </c>
      <c r="D154" s="28">
        <f>IF(A154="","",COUNTIFS(TL_Date,A154,TL_Net,"&gt;0"))</f>
        <v/>
      </c>
      <c r="E154" s="28">
        <f>IF(A154="","",COUNTIFS(TL_Date,A154,TL_Net,"&lt;0"))</f>
        <v/>
      </c>
      <c r="F154" s="39">
        <f>IF(A154="","",SUMIFS(TL_Gross,TL_Date,A154))</f>
        <v/>
      </c>
      <c r="G154" s="39">
        <f>IF(A154="","",SUMIFS(TL_Chg,TL_Date,A154))</f>
        <v/>
      </c>
      <c r="H154" s="39">
        <f>IF(A154="","",SUMIFS(TL_Net,TL_Date,A154))</f>
        <v/>
      </c>
      <c r="I154" s="39">
        <f>IF(A154="","",SUM($H$6:H154))</f>
        <v/>
      </c>
      <c r="J154" s="39">
        <f>IF(A154="","",Capital+I154)</f>
        <v/>
      </c>
      <c r="K154" s="39">
        <f>IF(A154="","",MAX(Capital,MAX($J$6:J154)))</f>
        <v/>
      </c>
      <c r="L154" s="39">
        <f>IF(A154="","",K154-J154)</f>
        <v/>
      </c>
      <c r="M154" s="58">
        <f>IF(A154="","",L154/K154)</f>
        <v/>
      </c>
      <c r="N154" s="57">
        <f>IF(A154="","",A154-WEEKDAY(A154,3))</f>
        <v/>
      </c>
      <c r="O154" s="39">
        <f>IF(A154="","",SUMIFS($H$6:H154,$N$6:N154,N154))</f>
        <v/>
      </c>
      <c r="P154" s="58">
        <f>IF(A154="","",IFERROR(COUNTIFS(TL_Date,A154,TL_Followed,"Y")/C154,0))</f>
        <v/>
      </c>
      <c r="Q154" s="28">
        <f>IF(A154="","",COUNTIFS(TL_Date,A154,TL_Followed,"N"))</f>
        <v/>
      </c>
      <c r="R154" s="28">
        <f>IF(A154="","",_xlfn.MAXIFS(TL_Lots,TL_Date,A154))</f>
        <v/>
      </c>
      <c r="S154" s="39">
        <f>IF(A154="","",SUMIFS(TL_GiveBack,TL_Date,A154))</f>
        <v/>
      </c>
      <c r="T154" s="28">
        <f>IF(A154="","",COUNTIFS(TL_Date,A154,TL_ExpBreach,"BREACH"))</f>
        <v/>
      </c>
      <c r="U154" s="5">
        <f>IF(A154="","",IF(H154&lt;=-DailyLossLimit,"BREACH","OK"))</f>
        <v/>
      </c>
      <c r="V154" s="5">
        <f>IF(A154="","",IF(C154&gt;MaxTradesDay,"BREACH","OK"))</f>
        <v/>
      </c>
      <c r="W154" s="5">
        <f>IF(A154="","",IF(O154&lt;=-WeeklyDDLimit,"BREACH","OK"))</f>
        <v/>
      </c>
      <c r="X154" s="5">
        <f>IF(A154="","",IF(OR(U154="BREACH",V154="BREACH",W154="BREACH",T154&gt;0,R154&gt;MaxLots),"LIMIT BROKEN","OK"))</f>
        <v/>
      </c>
    </row>
    <row r="155">
      <c r="A155" s="57">
        <f>IF(A154="","",IFERROR(SMALL(TL_Date,COUNTIF(TL_Date,"&lt;="&amp;A154)+1),""))</f>
        <v/>
      </c>
      <c r="B155" s="5">
        <f>IF(A155="","",TEXT(A155,"ddd"))</f>
        <v/>
      </c>
      <c r="C155" s="28">
        <f>IF(A155="","",COUNTIF(TL_Date,A155))</f>
        <v/>
      </c>
      <c r="D155" s="28">
        <f>IF(A155="","",COUNTIFS(TL_Date,A155,TL_Net,"&gt;0"))</f>
        <v/>
      </c>
      <c r="E155" s="28">
        <f>IF(A155="","",COUNTIFS(TL_Date,A155,TL_Net,"&lt;0"))</f>
        <v/>
      </c>
      <c r="F155" s="39">
        <f>IF(A155="","",SUMIFS(TL_Gross,TL_Date,A155))</f>
        <v/>
      </c>
      <c r="G155" s="39">
        <f>IF(A155="","",SUMIFS(TL_Chg,TL_Date,A155))</f>
        <v/>
      </c>
      <c r="H155" s="39">
        <f>IF(A155="","",SUMIFS(TL_Net,TL_Date,A155))</f>
        <v/>
      </c>
      <c r="I155" s="39">
        <f>IF(A155="","",SUM($H$6:H155))</f>
        <v/>
      </c>
      <c r="J155" s="39">
        <f>IF(A155="","",Capital+I155)</f>
        <v/>
      </c>
      <c r="K155" s="39">
        <f>IF(A155="","",MAX(Capital,MAX($J$6:J155)))</f>
        <v/>
      </c>
      <c r="L155" s="39">
        <f>IF(A155="","",K155-J155)</f>
        <v/>
      </c>
      <c r="M155" s="58">
        <f>IF(A155="","",L155/K155)</f>
        <v/>
      </c>
      <c r="N155" s="57">
        <f>IF(A155="","",A155-WEEKDAY(A155,3))</f>
        <v/>
      </c>
      <c r="O155" s="39">
        <f>IF(A155="","",SUMIFS($H$6:H155,$N$6:N155,N155))</f>
        <v/>
      </c>
      <c r="P155" s="58">
        <f>IF(A155="","",IFERROR(COUNTIFS(TL_Date,A155,TL_Followed,"Y")/C155,0))</f>
        <v/>
      </c>
      <c r="Q155" s="28">
        <f>IF(A155="","",COUNTIFS(TL_Date,A155,TL_Followed,"N"))</f>
        <v/>
      </c>
      <c r="R155" s="28">
        <f>IF(A155="","",_xlfn.MAXIFS(TL_Lots,TL_Date,A155))</f>
        <v/>
      </c>
      <c r="S155" s="39">
        <f>IF(A155="","",SUMIFS(TL_GiveBack,TL_Date,A155))</f>
        <v/>
      </c>
      <c r="T155" s="28">
        <f>IF(A155="","",COUNTIFS(TL_Date,A155,TL_ExpBreach,"BREACH"))</f>
        <v/>
      </c>
      <c r="U155" s="5">
        <f>IF(A155="","",IF(H155&lt;=-DailyLossLimit,"BREACH","OK"))</f>
        <v/>
      </c>
      <c r="V155" s="5">
        <f>IF(A155="","",IF(C155&gt;MaxTradesDay,"BREACH","OK"))</f>
        <v/>
      </c>
      <c r="W155" s="5">
        <f>IF(A155="","",IF(O155&lt;=-WeeklyDDLimit,"BREACH","OK"))</f>
        <v/>
      </c>
      <c r="X155" s="5">
        <f>IF(A155="","",IF(OR(U155="BREACH",V155="BREACH",W155="BREACH",T155&gt;0,R155&gt;MaxLots),"LIMIT BROKEN","OK"))</f>
        <v/>
      </c>
    </row>
    <row r="156">
      <c r="A156" s="57">
        <f>IF(A155="","",IFERROR(SMALL(TL_Date,COUNTIF(TL_Date,"&lt;="&amp;A155)+1),""))</f>
        <v/>
      </c>
      <c r="B156" s="5">
        <f>IF(A156="","",TEXT(A156,"ddd"))</f>
        <v/>
      </c>
      <c r="C156" s="28">
        <f>IF(A156="","",COUNTIF(TL_Date,A156))</f>
        <v/>
      </c>
      <c r="D156" s="28">
        <f>IF(A156="","",COUNTIFS(TL_Date,A156,TL_Net,"&gt;0"))</f>
        <v/>
      </c>
      <c r="E156" s="28">
        <f>IF(A156="","",COUNTIFS(TL_Date,A156,TL_Net,"&lt;0"))</f>
        <v/>
      </c>
      <c r="F156" s="39">
        <f>IF(A156="","",SUMIFS(TL_Gross,TL_Date,A156))</f>
        <v/>
      </c>
      <c r="G156" s="39">
        <f>IF(A156="","",SUMIFS(TL_Chg,TL_Date,A156))</f>
        <v/>
      </c>
      <c r="H156" s="39">
        <f>IF(A156="","",SUMIFS(TL_Net,TL_Date,A156))</f>
        <v/>
      </c>
      <c r="I156" s="39">
        <f>IF(A156="","",SUM($H$6:H156))</f>
        <v/>
      </c>
      <c r="J156" s="39">
        <f>IF(A156="","",Capital+I156)</f>
        <v/>
      </c>
      <c r="K156" s="39">
        <f>IF(A156="","",MAX(Capital,MAX($J$6:J156)))</f>
        <v/>
      </c>
      <c r="L156" s="39">
        <f>IF(A156="","",K156-J156)</f>
        <v/>
      </c>
      <c r="M156" s="58">
        <f>IF(A156="","",L156/K156)</f>
        <v/>
      </c>
      <c r="N156" s="57">
        <f>IF(A156="","",A156-WEEKDAY(A156,3))</f>
        <v/>
      </c>
      <c r="O156" s="39">
        <f>IF(A156="","",SUMIFS($H$6:H156,$N$6:N156,N156))</f>
        <v/>
      </c>
      <c r="P156" s="58">
        <f>IF(A156="","",IFERROR(COUNTIFS(TL_Date,A156,TL_Followed,"Y")/C156,0))</f>
        <v/>
      </c>
      <c r="Q156" s="28">
        <f>IF(A156="","",COUNTIFS(TL_Date,A156,TL_Followed,"N"))</f>
        <v/>
      </c>
      <c r="R156" s="28">
        <f>IF(A156="","",_xlfn.MAXIFS(TL_Lots,TL_Date,A156))</f>
        <v/>
      </c>
      <c r="S156" s="39">
        <f>IF(A156="","",SUMIFS(TL_GiveBack,TL_Date,A156))</f>
        <v/>
      </c>
      <c r="T156" s="28">
        <f>IF(A156="","",COUNTIFS(TL_Date,A156,TL_ExpBreach,"BREACH"))</f>
        <v/>
      </c>
      <c r="U156" s="5">
        <f>IF(A156="","",IF(H156&lt;=-DailyLossLimit,"BREACH","OK"))</f>
        <v/>
      </c>
      <c r="V156" s="5">
        <f>IF(A156="","",IF(C156&gt;MaxTradesDay,"BREACH","OK"))</f>
        <v/>
      </c>
      <c r="W156" s="5">
        <f>IF(A156="","",IF(O156&lt;=-WeeklyDDLimit,"BREACH","OK"))</f>
        <v/>
      </c>
      <c r="X156" s="5">
        <f>IF(A156="","",IF(OR(U156="BREACH",V156="BREACH",W156="BREACH",T156&gt;0,R156&gt;MaxLots),"LIMIT BROKEN","OK"))</f>
        <v/>
      </c>
    </row>
    <row r="157">
      <c r="A157" s="57">
        <f>IF(A156="","",IFERROR(SMALL(TL_Date,COUNTIF(TL_Date,"&lt;="&amp;A156)+1),""))</f>
        <v/>
      </c>
      <c r="B157" s="5">
        <f>IF(A157="","",TEXT(A157,"ddd"))</f>
        <v/>
      </c>
      <c r="C157" s="28">
        <f>IF(A157="","",COUNTIF(TL_Date,A157))</f>
        <v/>
      </c>
      <c r="D157" s="28">
        <f>IF(A157="","",COUNTIFS(TL_Date,A157,TL_Net,"&gt;0"))</f>
        <v/>
      </c>
      <c r="E157" s="28">
        <f>IF(A157="","",COUNTIFS(TL_Date,A157,TL_Net,"&lt;0"))</f>
        <v/>
      </c>
      <c r="F157" s="39">
        <f>IF(A157="","",SUMIFS(TL_Gross,TL_Date,A157))</f>
        <v/>
      </c>
      <c r="G157" s="39">
        <f>IF(A157="","",SUMIFS(TL_Chg,TL_Date,A157))</f>
        <v/>
      </c>
      <c r="H157" s="39">
        <f>IF(A157="","",SUMIFS(TL_Net,TL_Date,A157))</f>
        <v/>
      </c>
      <c r="I157" s="39">
        <f>IF(A157="","",SUM($H$6:H157))</f>
        <v/>
      </c>
      <c r="J157" s="39">
        <f>IF(A157="","",Capital+I157)</f>
        <v/>
      </c>
      <c r="K157" s="39">
        <f>IF(A157="","",MAX(Capital,MAX($J$6:J157)))</f>
        <v/>
      </c>
      <c r="L157" s="39">
        <f>IF(A157="","",K157-J157)</f>
        <v/>
      </c>
      <c r="M157" s="58">
        <f>IF(A157="","",L157/K157)</f>
        <v/>
      </c>
      <c r="N157" s="57">
        <f>IF(A157="","",A157-WEEKDAY(A157,3))</f>
        <v/>
      </c>
      <c r="O157" s="39">
        <f>IF(A157="","",SUMIFS($H$6:H157,$N$6:N157,N157))</f>
        <v/>
      </c>
      <c r="P157" s="58">
        <f>IF(A157="","",IFERROR(COUNTIFS(TL_Date,A157,TL_Followed,"Y")/C157,0))</f>
        <v/>
      </c>
      <c r="Q157" s="28">
        <f>IF(A157="","",COUNTIFS(TL_Date,A157,TL_Followed,"N"))</f>
        <v/>
      </c>
      <c r="R157" s="28">
        <f>IF(A157="","",_xlfn.MAXIFS(TL_Lots,TL_Date,A157))</f>
        <v/>
      </c>
      <c r="S157" s="39">
        <f>IF(A157="","",SUMIFS(TL_GiveBack,TL_Date,A157))</f>
        <v/>
      </c>
      <c r="T157" s="28">
        <f>IF(A157="","",COUNTIFS(TL_Date,A157,TL_ExpBreach,"BREACH"))</f>
        <v/>
      </c>
      <c r="U157" s="5">
        <f>IF(A157="","",IF(H157&lt;=-DailyLossLimit,"BREACH","OK"))</f>
        <v/>
      </c>
      <c r="V157" s="5">
        <f>IF(A157="","",IF(C157&gt;MaxTradesDay,"BREACH","OK"))</f>
        <v/>
      </c>
      <c r="W157" s="5">
        <f>IF(A157="","",IF(O157&lt;=-WeeklyDDLimit,"BREACH","OK"))</f>
        <v/>
      </c>
      <c r="X157" s="5">
        <f>IF(A157="","",IF(OR(U157="BREACH",V157="BREACH",W157="BREACH",T157&gt;0,R157&gt;MaxLots),"LIMIT BROKEN","OK"))</f>
        <v/>
      </c>
    </row>
    <row r="158">
      <c r="A158" s="57">
        <f>IF(A157="","",IFERROR(SMALL(TL_Date,COUNTIF(TL_Date,"&lt;="&amp;A157)+1),""))</f>
        <v/>
      </c>
      <c r="B158" s="5">
        <f>IF(A158="","",TEXT(A158,"ddd"))</f>
        <v/>
      </c>
      <c r="C158" s="28">
        <f>IF(A158="","",COUNTIF(TL_Date,A158))</f>
        <v/>
      </c>
      <c r="D158" s="28">
        <f>IF(A158="","",COUNTIFS(TL_Date,A158,TL_Net,"&gt;0"))</f>
        <v/>
      </c>
      <c r="E158" s="28">
        <f>IF(A158="","",COUNTIFS(TL_Date,A158,TL_Net,"&lt;0"))</f>
        <v/>
      </c>
      <c r="F158" s="39">
        <f>IF(A158="","",SUMIFS(TL_Gross,TL_Date,A158))</f>
        <v/>
      </c>
      <c r="G158" s="39">
        <f>IF(A158="","",SUMIFS(TL_Chg,TL_Date,A158))</f>
        <v/>
      </c>
      <c r="H158" s="39">
        <f>IF(A158="","",SUMIFS(TL_Net,TL_Date,A158))</f>
        <v/>
      </c>
      <c r="I158" s="39">
        <f>IF(A158="","",SUM($H$6:H158))</f>
        <v/>
      </c>
      <c r="J158" s="39">
        <f>IF(A158="","",Capital+I158)</f>
        <v/>
      </c>
      <c r="K158" s="39">
        <f>IF(A158="","",MAX(Capital,MAX($J$6:J158)))</f>
        <v/>
      </c>
      <c r="L158" s="39">
        <f>IF(A158="","",K158-J158)</f>
        <v/>
      </c>
      <c r="M158" s="58">
        <f>IF(A158="","",L158/K158)</f>
        <v/>
      </c>
      <c r="N158" s="57">
        <f>IF(A158="","",A158-WEEKDAY(A158,3))</f>
        <v/>
      </c>
      <c r="O158" s="39">
        <f>IF(A158="","",SUMIFS($H$6:H158,$N$6:N158,N158))</f>
        <v/>
      </c>
      <c r="P158" s="58">
        <f>IF(A158="","",IFERROR(COUNTIFS(TL_Date,A158,TL_Followed,"Y")/C158,0))</f>
        <v/>
      </c>
      <c r="Q158" s="28">
        <f>IF(A158="","",COUNTIFS(TL_Date,A158,TL_Followed,"N"))</f>
        <v/>
      </c>
      <c r="R158" s="28">
        <f>IF(A158="","",_xlfn.MAXIFS(TL_Lots,TL_Date,A158))</f>
        <v/>
      </c>
      <c r="S158" s="39">
        <f>IF(A158="","",SUMIFS(TL_GiveBack,TL_Date,A158))</f>
        <v/>
      </c>
      <c r="T158" s="28">
        <f>IF(A158="","",COUNTIFS(TL_Date,A158,TL_ExpBreach,"BREACH"))</f>
        <v/>
      </c>
      <c r="U158" s="5">
        <f>IF(A158="","",IF(H158&lt;=-DailyLossLimit,"BREACH","OK"))</f>
        <v/>
      </c>
      <c r="V158" s="5">
        <f>IF(A158="","",IF(C158&gt;MaxTradesDay,"BREACH","OK"))</f>
        <v/>
      </c>
      <c r="W158" s="5">
        <f>IF(A158="","",IF(O158&lt;=-WeeklyDDLimit,"BREACH","OK"))</f>
        <v/>
      </c>
      <c r="X158" s="5">
        <f>IF(A158="","",IF(OR(U158="BREACH",V158="BREACH",W158="BREACH",T158&gt;0,R158&gt;MaxLots),"LIMIT BROKEN","OK"))</f>
        <v/>
      </c>
    </row>
    <row r="159">
      <c r="A159" s="57">
        <f>IF(A158="","",IFERROR(SMALL(TL_Date,COUNTIF(TL_Date,"&lt;="&amp;A158)+1),""))</f>
        <v/>
      </c>
      <c r="B159" s="5">
        <f>IF(A159="","",TEXT(A159,"ddd"))</f>
        <v/>
      </c>
      <c r="C159" s="28">
        <f>IF(A159="","",COUNTIF(TL_Date,A159))</f>
        <v/>
      </c>
      <c r="D159" s="28">
        <f>IF(A159="","",COUNTIFS(TL_Date,A159,TL_Net,"&gt;0"))</f>
        <v/>
      </c>
      <c r="E159" s="28">
        <f>IF(A159="","",COUNTIFS(TL_Date,A159,TL_Net,"&lt;0"))</f>
        <v/>
      </c>
      <c r="F159" s="39">
        <f>IF(A159="","",SUMIFS(TL_Gross,TL_Date,A159))</f>
        <v/>
      </c>
      <c r="G159" s="39">
        <f>IF(A159="","",SUMIFS(TL_Chg,TL_Date,A159))</f>
        <v/>
      </c>
      <c r="H159" s="39">
        <f>IF(A159="","",SUMIFS(TL_Net,TL_Date,A159))</f>
        <v/>
      </c>
      <c r="I159" s="39">
        <f>IF(A159="","",SUM($H$6:H159))</f>
        <v/>
      </c>
      <c r="J159" s="39">
        <f>IF(A159="","",Capital+I159)</f>
        <v/>
      </c>
      <c r="K159" s="39">
        <f>IF(A159="","",MAX(Capital,MAX($J$6:J159)))</f>
        <v/>
      </c>
      <c r="L159" s="39">
        <f>IF(A159="","",K159-J159)</f>
        <v/>
      </c>
      <c r="M159" s="58">
        <f>IF(A159="","",L159/K159)</f>
        <v/>
      </c>
      <c r="N159" s="57">
        <f>IF(A159="","",A159-WEEKDAY(A159,3))</f>
        <v/>
      </c>
      <c r="O159" s="39">
        <f>IF(A159="","",SUMIFS($H$6:H159,$N$6:N159,N159))</f>
        <v/>
      </c>
      <c r="P159" s="58">
        <f>IF(A159="","",IFERROR(COUNTIFS(TL_Date,A159,TL_Followed,"Y")/C159,0))</f>
        <v/>
      </c>
      <c r="Q159" s="28">
        <f>IF(A159="","",COUNTIFS(TL_Date,A159,TL_Followed,"N"))</f>
        <v/>
      </c>
      <c r="R159" s="28">
        <f>IF(A159="","",_xlfn.MAXIFS(TL_Lots,TL_Date,A159))</f>
        <v/>
      </c>
      <c r="S159" s="39">
        <f>IF(A159="","",SUMIFS(TL_GiveBack,TL_Date,A159))</f>
        <v/>
      </c>
      <c r="T159" s="28">
        <f>IF(A159="","",COUNTIFS(TL_Date,A159,TL_ExpBreach,"BREACH"))</f>
        <v/>
      </c>
      <c r="U159" s="5">
        <f>IF(A159="","",IF(H159&lt;=-DailyLossLimit,"BREACH","OK"))</f>
        <v/>
      </c>
      <c r="V159" s="5">
        <f>IF(A159="","",IF(C159&gt;MaxTradesDay,"BREACH","OK"))</f>
        <v/>
      </c>
      <c r="W159" s="5">
        <f>IF(A159="","",IF(O159&lt;=-WeeklyDDLimit,"BREACH","OK"))</f>
        <v/>
      </c>
      <c r="X159" s="5">
        <f>IF(A159="","",IF(OR(U159="BREACH",V159="BREACH",W159="BREACH",T159&gt;0,R159&gt;MaxLots),"LIMIT BROKEN","OK"))</f>
        <v/>
      </c>
    </row>
    <row r="160">
      <c r="A160" s="57">
        <f>IF(A159="","",IFERROR(SMALL(TL_Date,COUNTIF(TL_Date,"&lt;="&amp;A159)+1),""))</f>
        <v/>
      </c>
      <c r="B160" s="5">
        <f>IF(A160="","",TEXT(A160,"ddd"))</f>
        <v/>
      </c>
      <c r="C160" s="28">
        <f>IF(A160="","",COUNTIF(TL_Date,A160))</f>
        <v/>
      </c>
      <c r="D160" s="28">
        <f>IF(A160="","",COUNTIFS(TL_Date,A160,TL_Net,"&gt;0"))</f>
        <v/>
      </c>
      <c r="E160" s="28">
        <f>IF(A160="","",COUNTIFS(TL_Date,A160,TL_Net,"&lt;0"))</f>
        <v/>
      </c>
      <c r="F160" s="39">
        <f>IF(A160="","",SUMIFS(TL_Gross,TL_Date,A160))</f>
        <v/>
      </c>
      <c r="G160" s="39">
        <f>IF(A160="","",SUMIFS(TL_Chg,TL_Date,A160))</f>
        <v/>
      </c>
      <c r="H160" s="39">
        <f>IF(A160="","",SUMIFS(TL_Net,TL_Date,A160))</f>
        <v/>
      </c>
      <c r="I160" s="39">
        <f>IF(A160="","",SUM($H$6:H160))</f>
        <v/>
      </c>
      <c r="J160" s="39">
        <f>IF(A160="","",Capital+I160)</f>
        <v/>
      </c>
      <c r="K160" s="39">
        <f>IF(A160="","",MAX(Capital,MAX($J$6:J160)))</f>
        <v/>
      </c>
      <c r="L160" s="39">
        <f>IF(A160="","",K160-J160)</f>
        <v/>
      </c>
      <c r="M160" s="58">
        <f>IF(A160="","",L160/K160)</f>
        <v/>
      </c>
      <c r="N160" s="57">
        <f>IF(A160="","",A160-WEEKDAY(A160,3))</f>
        <v/>
      </c>
      <c r="O160" s="39">
        <f>IF(A160="","",SUMIFS($H$6:H160,$N$6:N160,N160))</f>
        <v/>
      </c>
      <c r="P160" s="58">
        <f>IF(A160="","",IFERROR(COUNTIFS(TL_Date,A160,TL_Followed,"Y")/C160,0))</f>
        <v/>
      </c>
      <c r="Q160" s="28">
        <f>IF(A160="","",COUNTIFS(TL_Date,A160,TL_Followed,"N"))</f>
        <v/>
      </c>
      <c r="R160" s="28">
        <f>IF(A160="","",_xlfn.MAXIFS(TL_Lots,TL_Date,A160))</f>
        <v/>
      </c>
      <c r="S160" s="39">
        <f>IF(A160="","",SUMIFS(TL_GiveBack,TL_Date,A160))</f>
        <v/>
      </c>
      <c r="T160" s="28">
        <f>IF(A160="","",COUNTIFS(TL_Date,A160,TL_ExpBreach,"BREACH"))</f>
        <v/>
      </c>
      <c r="U160" s="5">
        <f>IF(A160="","",IF(H160&lt;=-DailyLossLimit,"BREACH","OK"))</f>
        <v/>
      </c>
      <c r="V160" s="5">
        <f>IF(A160="","",IF(C160&gt;MaxTradesDay,"BREACH","OK"))</f>
        <v/>
      </c>
      <c r="W160" s="5">
        <f>IF(A160="","",IF(O160&lt;=-WeeklyDDLimit,"BREACH","OK"))</f>
        <v/>
      </c>
      <c r="X160" s="5">
        <f>IF(A160="","",IF(OR(U160="BREACH",V160="BREACH",W160="BREACH",T160&gt;0,R160&gt;MaxLots),"LIMIT BROKEN","OK"))</f>
        <v/>
      </c>
    </row>
    <row r="161">
      <c r="A161" s="57">
        <f>IF(A160="","",IFERROR(SMALL(TL_Date,COUNTIF(TL_Date,"&lt;="&amp;A160)+1),""))</f>
        <v/>
      </c>
      <c r="B161" s="5">
        <f>IF(A161="","",TEXT(A161,"ddd"))</f>
        <v/>
      </c>
      <c r="C161" s="28">
        <f>IF(A161="","",COUNTIF(TL_Date,A161))</f>
        <v/>
      </c>
      <c r="D161" s="28">
        <f>IF(A161="","",COUNTIFS(TL_Date,A161,TL_Net,"&gt;0"))</f>
        <v/>
      </c>
      <c r="E161" s="28">
        <f>IF(A161="","",COUNTIFS(TL_Date,A161,TL_Net,"&lt;0"))</f>
        <v/>
      </c>
      <c r="F161" s="39">
        <f>IF(A161="","",SUMIFS(TL_Gross,TL_Date,A161))</f>
        <v/>
      </c>
      <c r="G161" s="39">
        <f>IF(A161="","",SUMIFS(TL_Chg,TL_Date,A161))</f>
        <v/>
      </c>
      <c r="H161" s="39">
        <f>IF(A161="","",SUMIFS(TL_Net,TL_Date,A161))</f>
        <v/>
      </c>
      <c r="I161" s="39">
        <f>IF(A161="","",SUM($H$6:H161))</f>
        <v/>
      </c>
      <c r="J161" s="39">
        <f>IF(A161="","",Capital+I161)</f>
        <v/>
      </c>
      <c r="K161" s="39">
        <f>IF(A161="","",MAX(Capital,MAX($J$6:J161)))</f>
        <v/>
      </c>
      <c r="L161" s="39">
        <f>IF(A161="","",K161-J161)</f>
        <v/>
      </c>
      <c r="M161" s="58">
        <f>IF(A161="","",L161/K161)</f>
        <v/>
      </c>
      <c r="N161" s="57">
        <f>IF(A161="","",A161-WEEKDAY(A161,3))</f>
        <v/>
      </c>
      <c r="O161" s="39">
        <f>IF(A161="","",SUMIFS($H$6:H161,$N$6:N161,N161))</f>
        <v/>
      </c>
      <c r="P161" s="58">
        <f>IF(A161="","",IFERROR(COUNTIFS(TL_Date,A161,TL_Followed,"Y")/C161,0))</f>
        <v/>
      </c>
      <c r="Q161" s="28">
        <f>IF(A161="","",COUNTIFS(TL_Date,A161,TL_Followed,"N"))</f>
        <v/>
      </c>
      <c r="R161" s="28">
        <f>IF(A161="","",_xlfn.MAXIFS(TL_Lots,TL_Date,A161))</f>
        <v/>
      </c>
      <c r="S161" s="39">
        <f>IF(A161="","",SUMIFS(TL_GiveBack,TL_Date,A161))</f>
        <v/>
      </c>
      <c r="T161" s="28">
        <f>IF(A161="","",COUNTIFS(TL_Date,A161,TL_ExpBreach,"BREACH"))</f>
        <v/>
      </c>
      <c r="U161" s="5">
        <f>IF(A161="","",IF(H161&lt;=-DailyLossLimit,"BREACH","OK"))</f>
        <v/>
      </c>
      <c r="V161" s="5">
        <f>IF(A161="","",IF(C161&gt;MaxTradesDay,"BREACH","OK"))</f>
        <v/>
      </c>
      <c r="W161" s="5">
        <f>IF(A161="","",IF(O161&lt;=-WeeklyDDLimit,"BREACH","OK"))</f>
        <v/>
      </c>
      <c r="X161" s="5">
        <f>IF(A161="","",IF(OR(U161="BREACH",V161="BREACH",W161="BREACH",T161&gt;0,R161&gt;MaxLots),"LIMIT BROKEN","OK"))</f>
        <v/>
      </c>
    </row>
    <row r="162">
      <c r="A162" s="57">
        <f>IF(A161="","",IFERROR(SMALL(TL_Date,COUNTIF(TL_Date,"&lt;="&amp;A161)+1),""))</f>
        <v/>
      </c>
      <c r="B162" s="5">
        <f>IF(A162="","",TEXT(A162,"ddd"))</f>
        <v/>
      </c>
      <c r="C162" s="28">
        <f>IF(A162="","",COUNTIF(TL_Date,A162))</f>
        <v/>
      </c>
      <c r="D162" s="28">
        <f>IF(A162="","",COUNTIFS(TL_Date,A162,TL_Net,"&gt;0"))</f>
        <v/>
      </c>
      <c r="E162" s="28">
        <f>IF(A162="","",COUNTIFS(TL_Date,A162,TL_Net,"&lt;0"))</f>
        <v/>
      </c>
      <c r="F162" s="39">
        <f>IF(A162="","",SUMIFS(TL_Gross,TL_Date,A162))</f>
        <v/>
      </c>
      <c r="G162" s="39">
        <f>IF(A162="","",SUMIFS(TL_Chg,TL_Date,A162))</f>
        <v/>
      </c>
      <c r="H162" s="39">
        <f>IF(A162="","",SUMIFS(TL_Net,TL_Date,A162))</f>
        <v/>
      </c>
      <c r="I162" s="39">
        <f>IF(A162="","",SUM($H$6:H162))</f>
        <v/>
      </c>
      <c r="J162" s="39">
        <f>IF(A162="","",Capital+I162)</f>
        <v/>
      </c>
      <c r="K162" s="39">
        <f>IF(A162="","",MAX(Capital,MAX($J$6:J162)))</f>
        <v/>
      </c>
      <c r="L162" s="39">
        <f>IF(A162="","",K162-J162)</f>
        <v/>
      </c>
      <c r="M162" s="58">
        <f>IF(A162="","",L162/K162)</f>
        <v/>
      </c>
      <c r="N162" s="57">
        <f>IF(A162="","",A162-WEEKDAY(A162,3))</f>
        <v/>
      </c>
      <c r="O162" s="39">
        <f>IF(A162="","",SUMIFS($H$6:H162,$N$6:N162,N162))</f>
        <v/>
      </c>
      <c r="P162" s="58">
        <f>IF(A162="","",IFERROR(COUNTIFS(TL_Date,A162,TL_Followed,"Y")/C162,0))</f>
        <v/>
      </c>
      <c r="Q162" s="28">
        <f>IF(A162="","",COUNTIFS(TL_Date,A162,TL_Followed,"N"))</f>
        <v/>
      </c>
      <c r="R162" s="28">
        <f>IF(A162="","",_xlfn.MAXIFS(TL_Lots,TL_Date,A162))</f>
        <v/>
      </c>
      <c r="S162" s="39">
        <f>IF(A162="","",SUMIFS(TL_GiveBack,TL_Date,A162))</f>
        <v/>
      </c>
      <c r="T162" s="28">
        <f>IF(A162="","",COUNTIFS(TL_Date,A162,TL_ExpBreach,"BREACH"))</f>
        <v/>
      </c>
      <c r="U162" s="5">
        <f>IF(A162="","",IF(H162&lt;=-DailyLossLimit,"BREACH","OK"))</f>
        <v/>
      </c>
      <c r="V162" s="5">
        <f>IF(A162="","",IF(C162&gt;MaxTradesDay,"BREACH","OK"))</f>
        <v/>
      </c>
      <c r="W162" s="5">
        <f>IF(A162="","",IF(O162&lt;=-WeeklyDDLimit,"BREACH","OK"))</f>
        <v/>
      </c>
      <c r="X162" s="5">
        <f>IF(A162="","",IF(OR(U162="BREACH",V162="BREACH",W162="BREACH",T162&gt;0,R162&gt;MaxLots),"LIMIT BROKEN","OK"))</f>
        <v/>
      </c>
    </row>
    <row r="163">
      <c r="A163" s="57">
        <f>IF(A162="","",IFERROR(SMALL(TL_Date,COUNTIF(TL_Date,"&lt;="&amp;A162)+1),""))</f>
        <v/>
      </c>
      <c r="B163" s="5">
        <f>IF(A163="","",TEXT(A163,"ddd"))</f>
        <v/>
      </c>
      <c r="C163" s="28">
        <f>IF(A163="","",COUNTIF(TL_Date,A163))</f>
        <v/>
      </c>
      <c r="D163" s="28">
        <f>IF(A163="","",COUNTIFS(TL_Date,A163,TL_Net,"&gt;0"))</f>
        <v/>
      </c>
      <c r="E163" s="28">
        <f>IF(A163="","",COUNTIFS(TL_Date,A163,TL_Net,"&lt;0"))</f>
        <v/>
      </c>
      <c r="F163" s="39">
        <f>IF(A163="","",SUMIFS(TL_Gross,TL_Date,A163))</f>
        <v/>
      </c>
      <c r="G163" s="39">
        <f>IF(A163="","",SUMIFS(TL_Chg,TL_Date,A163))</f>
        <v/>
      </c>
      <c r="H163" s="39">
        <f>IF(A163="","",SUMIFS(TL_Net,TL_Date,A163))</f>
        <v/>
      </c>
      <c r="I163" s="39">
        <f>IF(A163="","",SUM($H$6:H163))</f>
        <v/>
      </c>
      <c r="J163" s="39">
        <f>IF(A163="","",Capital+I163)</f>
        <v/>
      </c>
      <c r="K163" s="39">
        <f>IF(A163="","",MAX(Capital,MAX($J$6:J163)))</f>
        <v/>
      </c>
      <c r="L163" s="39">
        <f>IF(A163="","",K163-J163)</f>
        <v/>
      </c>
      <c r="M163" s="58">
        <f>IF(A163="","",L163/K163)</f>
        <v/>
      </c>
      <c r="N163" s="57">
        <f>IF(A163="","",A163-WEEKDAY(A163,3))</f>
        <v/>
      </c>
      <c r="O163" s="39">
        <f>IF(A163="","",SUMIFS($H$6:H163,$N$6:N163,N163))</f>
        <v/>
      </c>
      <c r="P163" s="58">
        <f>IF(A163="","",IFERROR(COUNTIFS(TL_Date,A163,TL_Followed,"Y")/C163,0))</f>
        <v/>
      </c>
      <c r="Q163" s="28">
        <f>IF(A163="","",COUNTIFS(TL_Date,A163,TL_Followed,"N"))</f>
        <v/>
      </c>
      <c r="R163" s="28">
        <f>IF(A163="","",_xlfn.MAXIFS(TL_Lots,TL_Date,A163))</f>
        <v/>
      </c>
      <c r="S163" s="39">
        <f>IF(A163="","",SUMIFS(TL_GiveBack,TL_Date,A163))</f>
        <v/>
      </c>
      <c r="T163" s="28">
        <f>IF(A163="","",COUNTIFS(TL_Date,A163,TL_ExpBreach,"BREACH"))</f>
        <v/>
      </c>
      <c r="U163" s="5">
        <f>IF(A163="","",IF(H163&lt;=-DailyLossLimit,"BREACH","OK"))</f>
        <v/>
      </c>
      <c r="V163" s="5">
        <f>IF(A163="","",IF(C163&gt;MaxTradesDay,"BREACH","OK"))</f>
        <v/>
      </c>
      <c r="W163" s="5">
        <f>IF(A163="","",IF(O163&lt;=-WeeklyDDLimit,"BREACH","OK"))</f>
        <v/>
      </c>
      <c r="X163" s="5">
        <f>IF(A163="","",IF(OR(U163="BREACH",V163="BREACH",W163="BREACH",T163&gt;0,R163&gt;MaxLots),"LIMIT BROKEN","OK"))</f>
        <v/>
      </c>
    </row>
    <row r="164">
      <c r="A164" s="57">
        <f>IF(A163="","",IFERROR(SMALL(TL_Date,COUNTIF(TL_Date,"&lt;="&amp;A163)+1),""))</f>
        <v/>
      </c>
      <c r="B164" s="5">
        <f>IF(A164="","",TEXT(A164,"ddd"))</f>
        <v/>
      </c>
      <c r="C164" s="28">
        <f>IF(A164="","",COUNTIF(TL_Date,A164))</f>
        <v/>
      </c>
      <c r="D164" s="28">
        <f>IF(A164="","",COUNTIFS(TL_Date,A164,TL_Net,"&gt;0"))</f>
        <v/>
      </c>
      <c r="E164" s="28">
        <f>IF(A164="","",COUNTIFS(TL_Date,A164,TL_Net,"&lt;0"))</f>
        <v/>
      </c>
      <c r="F164" s="39">
        <f>IF(A164="","",SUMIFS(TL_Gross,TL_Date,A164))</f>
        <v/>
      </c>
      <c r="G164" s="39">
        <f>IF(A164="","",SUMIFS(TL_Chg,TL_Date,A164))</f>
        <v/>
      </c>
      <c r="H164" s="39">
        <f>IF(A164="","",SUMIFS(TL_Net,TL_Date,A164))</f>
        <v/>
      </c>
      <c r="I164" s="39">
        <f>IF(A164="","",SUM($H$6:H164))</f>
        <v/>
      </c>
      <c r="J164" s="39">
        <f>IF(A164="","",Capital+I164)</f>
        <v/>
      </c>
      <c r="K164" s="39">
        <f>IF(A164="","",MAX(Capital,MAX($J$6:J164)))</f>
        <v/>
      </c>
      <c r="L164" s="39">
        <f>IF(A164="","",K164-J164)</f>
        <v/>
      </c>
      <c r="M164" s="58">
        <f>IF(A164="","",L164/K164)</f>
        <v/>
      </c>
      <c r="N164" s="57">
        <f>IF(A164="","",A164-WEEKDAY(A164,3))</f>
        <v/>
      </c>
      <c r="O164" s="39">
        <f>IF(A164="","",SUMIFS($H$6:H164,$N$6:N164,N164))</f>
        <v/>
      </c>
      <c r="P164" s="58">
        <f>IF(A164="","",IFERROR(COUNTIFS(TL_Date,A164,TL_Followed,"Y")/C164,0))</f>
        <v/>
      </c>
      <c r="Q164" s="28">
        <f>IF(A164="","",COUNTIFS(TL_Date,A164,TL_Followed,"N"))</f>
        <v/>
      </c>
      <c r="R164" s="28">
        <f>IF(A164="","",_xlfn.MAXIFS(TL_Lots,TL_Date,A164))</f>
        <v/>
      </c>
      <c r="S164" s="39">
        <f>IF(A164="","",SUMIFS(TL_GiveBack,TL_Date,A164))</f>
        <v/>
      </c>
      <c r="T164" s="28">
        <f>IF(A164="","",COUNTIFS(TL_Date,A164,TL_ExpBreach,"BREACH"))</f>
        <v/>
      </c>
      <c r="U164" s="5">
        <f>IF(A164="","",IF(H164&lt;=-DailyLossLimit,"BREACH","OK"))</f>
        <v/>
      </c>
      <c r="V164" s="5">
        <f>IF(A164="","",IF(C164&gt;MaxTradesDay,"BREACH","OK"))</f>
        <v/>
      </c>
      <c r="W164" s="5">
        <f>IF(A164="","",IF(O164&lt;=-WeeklyDDLimit,"BREACH","OK"))</f>
        <v/>
      </c>
      <c r="X164" s="5">
        <f>IF(A164="","",IF(OR(U164="BREACH",V164="BREACH",W164="BREACH",T164&gt;0,R164&gt;MaxLots),"LIMIT BROKEN","OK"))</f>
        <v/>
      </c>
    </row>
    <row r="165">
      <c r="A165" s="57">
        <f>IF(A164="","",IFERROR(SMALL(TL_Date,COUNTIF(TL_Date,"&lt;="&amp;A164)+1),""))</f>
        <v/>
      </c>
      <c r="B165" s="5">
        <f>IF(A165="","",TEXT(A165,"ddd"))</f>
        <v/>
      </c>
      <c r="C165" s="28">
        <f>IF(A165="","",COUNTIF(TL_Date,A165))</f>
        <v/>
      </c>
      <c r="D165" s="28">
        <f>IF(A165="","",COUNTIFS(TL_Date,A165,TL_Net,"&gt;0"))</f>
        <v/>
      </c>
      <c r="E165" s="28">
        <f>IF(A165="","",COUNTIFS(TL_Date,A165,TL_Net,"&lt;0"))</f>
        <v/>
      </c>
      <c r="F165" s="39">
        <f>IF(A165="","",SUMIFS(TL_Gross,TL_Date,A165))</f>
        <v/>
      </c>
      <c r="G165" s="39">
        <f>IF(A165="","",SUMIFS(TL_Chg,TL_Date,A165))</f>
        <v/>
      </c>
      <c r="H165" s="39">
        <f>IF(A165="","",SUMIFS(TL_Net,TL_Date,A165))</f>
        <v/>
      </c>
      <c r="I165" s="39">
        <f>IF(A165="","",SUM($H$6:H165))</f>
        <v/>
      </c>
      <c r="J165" s="39">
        <f>IF(A165="","",Capital+I165)</f>
        <v/>
      </c>
      <c r="K165" s="39">
        <f>IF(A165="","",MAX(Capital,MAX($J$6:J165)))</f>
        <v/>
      </c>
      <c r="L165" s="39">
        <f>IF(A165="","",K165-J165)</f>
        <v/>
      </c>
      <c r="M165" s="58">
        <f>IF(A165="","",L165/K165)</f>
        <v/>
      </c>
      <c r="N165" s="57">
        <f>IF(A165="","",A165-WEEKDAY(A165,3))</f>
        <v/>
      </c>
      <c r="O165" s="39">
        <f>IF(A165="","",SUMIFS($H$6:H165,$N$6:N165,N165))</f>
        <v/>
      </c>
      <c r="P165" s="58">
        <f>IF(A165="","",IFERROR(COUNTIFS(TL_Date,A165,TL_Followed,"Y")/C165,0))</f>
        <v/>
      </c>
      <c r="Q165" s="28">
        <f>IF(A165="","",COUNTIFS(TL_Date,A165,TL_Followed,"N"))</f>
        <v/>
      </c>
      <c r="R165" s="28">
        <f>IF(A165="","",_xlfn.MAXIFS(TL_Lots,TL_Date,A165))</f>
        <v/>
      </c>
      <c r="S165" s="39">
        <f>IF(A165="","",SUMIFS(TL_GiveBack,TL_Date,A165))</f>
        <v/>
      </c>
      <c r="T165" s="28">
        <f>IF(A165="","",COUNTIFS(TL_Date,A165,TL_ExpBreach,"BREACH"))</f>
        <v/>
      </c>
      <c r="U165" s="5">
        <f>IF(A165="","",IF(H165&lt;=-DailyLossLimit,"BREACH","OK"))</f>
        <v/>
      </c>
      <c r="V165" s="5">
        <f>IF(A165="","",IF(C165&gt;MaxTradesDay,"BREACH","OK"))</f>
        <v/>
      </c>
      <c r="W165" s="5">
        <f>IF(A165="","",IF(O165&lt;=-WeeklyDDLimit,"BREACH","OK"))</f>
        <v/>
      </c>
      <c r="X165" s="5">
        <f>IF(A165="","",IF(OR(U165="BREACH",V165="BREACH",W165="BREACH",T165&gt;0,R165&gt;MaxLots),"LIMIT BROKEN","OK"))</f>
        <v/>
      </c>
    </row>
    <row r="166">
      <c r="A166" s="57">
        <f>IF(A165="","",IFERROR(SMALL(TL_Date,COUNTIF(TL_Date,"&lt;="&amp;A165)+1),""))</f>
        <v/>
      </c>
      <c r="B166" s="5">
        <f>IF(A166="","",TEXT(A166,"ddd"))</f>
        <v/>
      </c>
      <c r="C166" s="28">
        <f>IF(A166="","",COUNTIF(TL_Date,A166))</f>
        <v/>
      </c>
      <c r="D166" s="28">
        <f>IF(A166="","",COUNTIFS(TL_Date,A166,TL_Net,"&gt;0"))</f>
        <v/>
      </c>
      <c r="E166" s="28">
        <f>IF(A166="","",COUNTIFS(TL_Date,A166,TL_Net,"&lt;0"))</f>
        <v/>
      </c>
      <c r="F166" s="39">
        <f>IF(A166="","",SUMIFS(TL_Gross,TL_Date,A166))</f>
        <v/>
      </c>
      <c r="G166" s="39">
        <f>IF(A166="","",SUMIFS(TL_Chg,TL_Date,A166))</f>
        <v/>
      </c>
      <c r="H166" s="39">
        <f>IF(A166="","",SUMIFS(TL_Net,TL_Date,A166))</f>
        <v/>
      </c>
      <c r="I166" s="39">
        <f>IF(A166="","",SUM($H$6:H166))</f>
        <v/>
      </c>
      <c r="J166" s="39">
        <f>IF(A166="","",Capital+I166)</f>
        <v/>
      </c>
      <c r="K166" s="39">
        <f>IF(A166="","",MAX(Capital,MAX($J$6:J166)))</f>
        <v/>
      </c>
      <c r="L166" s="39">
        <f>IF(A166="","",K166-J166)</f>
        <v/>
      </c>
      <c r="M166" s="58">
        <f>IF(A166="","",L166/K166)</f>
        <v/>
      </c>
      <c r="N166" s="57">
        <f>IF(A166="","",A166-WEEKDAY(A166,3))</f>
        <v/>
      </c>
      <c r="O166" s="39">
        <f>IF(A166="","",SUMIFS($H$6:H166,$N$6:N166,N166))</f>
        <v/>
      </c>
      <c r="P166" s="58">
        <f>IF(A166="","",IFERROR(COUNTIFS(TL_Date,A166,TL_Followed,"Y")/C166,0))</f>
        <v/>
      </c>
      <c r="Q166" s="28">
        <f>IF(A166="","",COUNTIFS(TL_Date,A166,TL_Followed,"N"))</f>
        <v/>
      </c>
      <c r="R166" s="28">
        <f>IF(A166="","",_xlfn.MAXIFS(TL_Lots,TL_Date,A166))</f>
        <v/>
      </c>
      <c r="S166" s="39">
        <f>IF(A166="","",SUMIFS(TL_GiveBack,TL_Date,A166))</f>
        <v/>
      </c>
      <c r="T166" s="28">
        <f>IF(A166="","",COUNTIFS(TL_Date,A166,TL_ExpBreach,"BREACH"))</f>
        <v/>
      </c>
      <c r="U166" s="5">
        <f>IF(A166="","",IF(H166&lt;=-DailyLossLimit,"BREACH","OK"))</f>
        <v/>
      </c>
      <c r="V166" s="5">
        <f>IF(A166="","",IF(C166&gt;MaxTradesDay,"BREACH","OK"))</f>
        <v/>
      </c>
      <c r="W166" s="5">
        <f>IF(A166="","",IF(O166&lt;=-WeeklyDDLimit,"BREACH","OK"))</f>
        <v/>
      </c>
      <c r="X166" s="5">
        <f>IF(A166="","",IF(OR(U166="BREACH",V166="BREACH",W166="BREACH",T166&gt;0,R166&gt;MaxLots),"LIMIT BROKEN","OK"))</f>
        <v/>
      </c>
    </row>
    <row r="167">
      <c r="A167" s="57">
        <f>IF(A166="","",IFERROR(SMALL(TL_Date,COUNTIF(TL_Date,"&lt;="&amp;A166)+1),""))</f>
        <v/>
      </c>
      <c r="B167" s="5">
        <f>IF(A167="","",TEXT(A167,"ddd"))</f>
        <v/>
      </c>
      <c r="C167" s="28">
        <f>IF(A167="","",COUNTIF(TL_Date,A167))</f>
        <v/>
      </c>
      <c r="D167" s="28">
        <f>IF(A167="","",COUNTIFS(TL_Date,A167,TL_Net,"&gt;0"))</f>
        <v/>
      </c>
      <c r="E167" s="28">
        <f>IF(A167="","",COUNTIFS(TL_Date,A167,TL_Net,"&lt;0"))</f>
        <v/>
      </c>
      <c r="F167" s="39">
        <f>IF(A167="","",SUMIFS(TL_Gross,TL_Date,A167))</f>
        <v/>
      </c>
      <c r="G167" s="39">
        <f>IF(A167="","",SUMIFS(TL_Chg,TL_Date,A167))</f>
        <v/>
      </c>
      <c r="H167" s="39">
        <f>IF(A167="","",SUMIFS(TL_Net,TL_Date,A167))</f>
        <v/>
      </c>
      <c r="I167" s="39">
        <f>IF(A167="","",SUM($H$6:H167))</f>
        <v/>
      </c>
      <c r="J167" s="39">
        <f>IF(A167="","",Capital+I167)</f>
        <v/>
      </c>
      <c r="K167" s="39">
        <f>IF(A167="","",MAX(Capital,MAX($J$6:J167)))</f>
        <v/>
      </c>
      <c r="L167" s="39">
        <f>IF(A167="","",K167-J167)</f>
        <v/>
      </c>
      <c r="M167" s="58">
        <f>IF(A167="","",L167/K167)</f>
        <v/>
      </c>
      <c r="N167" s="57">
        <f>IF(A167="","",A167-WEEKDAY(A167,3))</f>
        <v/>
      </c>
      <c r="O167" s="39">
        <f>IF(A167="","",SUMIFS($H$6:H167,$N$6:N167,N167))</f>
        <v/>
      </c>
      <c r="P167" s="58">
        <f>IF(A167="","",IFERROR(COUNTIFS(TL_Date,A167,TL_Followed,"Y")/C167,0))</f>
        <v/>
      </c>
      <c r="Q167" s="28">
        <f>IF(A167="","",COUNTIFS(TL_Date,A167,TL_Followed,"N"))</f>
        <v/>
      </c>
      <c r="R167" s="28">
        <f>IF(A167="","",_xlfn.MAXIFS(TL_Lots,TL_Date,A167))</f>
        <v/>
      </c>
      <c r="S167" s="39">
        <f>IF(A167="","",SUMIFS(TL_GiveBack,TL_Date,A167))</f>
        <v/>
      </c>
      <c r="T167" s="28">
        <f>IF(A167="","",COUNTIFS(TL_Date,A167,TL_ExpBreach,"BREACH"))</f>
        <v/>
      </c>
      <c r="U167" s="5">
        <f>IF(A167="","",IF(H167&lt;=-DailyLossLimit,"BREACH","OK"))</f>
        <v/>
      </c>
      <c r="V167" s="5">
        <f>IF(A167="","",IF(C167&gt;MaxTradesDay,"BREACH","OK"))</f>
        <v/>
      </c>
      <c r="W167" s="5">
        <f>IF(A167="","",IF(O167&lt;=-WeeklyDDLimit,"BREACH","OK"))</f>
        <v/>
      </c>
      <c r="X167" s="5">
        <f>IF(A167="","",IF(OR(U167="BREACH",V167="BREACH",W167="BREACH",T167&gt;0,R167&gt;MaxLots),"LIMIT BROKEN","OK"))</f>
        <v/>
      </c>
    </row>
    <row r="168">
      <c r="A168" s="57">
        <f>IF(A167="","",IFERROR(SMALL(TL_Date,COUNTIF(TL_Date,"&lt;="&amp;A167)+1),""))</f>
        <v/>
      </c>
      <c r="B168" s="5">
        <f>IF(A168="","",TEXT(A168,"ddd"))</f>
        <v/>
      </c>
      <c r="C168" s="28">
        <f>IF(A168="","",COUNTIF(TL_Date,A168))</f>
        <v/>
      </c>
      <c r="D168" s="28">
        <f>IF(A168="","",COUNTIFS(TL_Date,A168,TL_Net,"&gt;0"))</f>
        <v/>
      </c>
      <c r="E168" s="28">
        <f>IF(A168="","",COUNTIFS(TL_Date,A168,TL_Net,"&lt;0"))</f>
        <v/>
      </c>
      <c r="F168" s="39">
        <f>IF(A168="","",SUMIFS(TL_Gross,TL_Date,A168))</f>
        <v/>
      </c>
      <c r="G168" s="39">
        <f>IF(A168="","",SUMIFS(TL_Chg,TL_Date,A168))</f>
        <v/>
      </c>
      <c r="H168" s="39">
        <f>IF(A168="","",SUMIFS(TL_Net,TL_Date,A168))</f>
        <v/>
      </c>
      <c r="I168" s="39">
        <f>IF(A168="","",SUM($H$6:H168))</f>
        <v/>
      </c>
      <c r="J168" s="39">
        <f>IF(A168="","",Capital+I168)</f>
        <v/>
      </c>
      <c r="K168" s="39">
        <f>IF(A168="","",MAX(Capital,MAX($J$6:J168)))</f>
        <v/>
      </c>
      <c r="L168" s="39">
        <f>IF(A168="","",K168-J168)</f>
        <v/>
      </c>
      <c r="M168" s="58">
        <f>IF(A168="","",L168/K168)</f>
        <v/>
      </c>
      <c r="N168" s="57">
        <f>IF(A168="","",A168-WEEKDAY(A168,3))</f>
        <v/>
      </c>
      <c r="O168" s="39">
        <f>IF(A168="","",SUMIFS($H$6:H168,$N$6:N168,N168))</f>
        <v/>
      </c>
      <c r="P168" s="58">
        <f>IF(A168="","",IFERROR(COUNTIFS(TL_Date,A168,TL_Followed,"Y")/C168,0))</f>
        <v/>
      </c>
      <c r="Q168" s="28">
        <f>IF(A168="","",COUNTIFS(TL_Date,A168,TL_Followed,"N"))</f>
        <v/>
      </c>
      <c r="R168" s="28">
        <f>IF(A168="","",_xlfn.MAXIFS(TL_Lots,TL_Date,A168))</f>
        <v/>
      </c>
      <c r="S168" s="39">
        <f>IF(A168="","",SUMIFS(TL_GiveBack,TL_Date,A168))</f>
        <v/>
      </c>
      <c r="T168" s="28">
        <f>IF(A168="","",COUNTIFS(TL_Date,A168,TL_ExpBreach,"BREACH"))</f>
        <v/>
      </c>
      <c r="U168" s="5">
        <f>IF(A168="","",IF(H168&lt;=-DailyLossLimit,"BREACH","OK"))</f>
        <v/>
      </c>
      <c r="V168" s="5">
        <f>IF(A168="","",IF(C168&gt;MaxTradesDay,"BREACH","OK"))</f>
        <v/>
      </c>
      <c r="W168" s="5">
        <f>IF(A168="","",IF(O168&lt;=-WeeklyDDLimit,"BREACH","OK"))</f>
        <v/>
      </c>
      <c r="X168" s="5">
        <f>IF(A168="","",IF(OR(U168="BREACH",V168="BREACH",W168="BREACH",T168&gt;0,R168&gt;MaxLots),"LIMIT BROKEN","OK"))</f>
        <v/>
      </c>
    </row>
    <row r="169">
      <c r="A169" s="57">
        <f>IF(A168="","",IFERROR(SMALL(TL_Date,COUNTIF(TL_Date,"&lt;="&amp;A168)+1),""))</f>
        <v/>
      </c>
      <c r="B169" s="5">
        <f>IF(A169="","",TEXT(A169,"ddd"))</f>
        <v/>
      </c>
      <c r="C169" s="28">
        <f>IF(A169="","",COUNTIF(TL_Date,A169))</f>
        <v/>
      </c>
      <c r="D169" s="28">
        <f>IF(A169="","",COUNTIFS(TL_Date,A169,TL_Net,"&gt;0"))</f>
        <v/>
      </c>
      <c r="E169" s="28">
        <f>IF(A169="","",COUNTIFS(TL_Date,A169,TL_Net,"&lt;0"))</f>
        <v/>
      </c>
      <c r="F169" s="39">
        <f>IF(A169="","",SUMIFS(TL_Gross,TL_Date,A169))</f>
        <v/>
      </c>
      <c r="G169" s="39">
        <f>IF(A169="","",SUMIFS(TL_Chg,TL_Date,A169))</f>
        <v/>
      </c>
      <c r="H169" s="39">
        <f>IF(A169="","",SUMIFS(TL_Net,TL_Date,A169))</f>
        <v/>
      </c>
      <c r="I169" s="39">
        <f>IF(A169="","",SUM($H$6:H169))</f>
        <v/>
      </c>
      <c r="J169" s="39">
        <f>IF(A169="","",Capital+I169)</f>
        <v/>
      </c>
      <c r="K169" s="39">
        <f>IF(A169="","",MAX(Capital,MAX($J$6:J169)))</f>
        <v/>
      </c>
      <c r="L169" s="39">
        <f>IF(A169="","",K169-J169)</f>
        <v/>
      </c>
      <c r="M169" s="58">
        <f>IF(A169="","",L169/K169)</f>
        <v/>
      </c>
      <c r="N169" s="57">
        <f>IF(A169="","",A169-WEEKDAY(A169,3))</f>
        <v/>
      </c>
      <c r="O169" s="39">
        <f>IF(A169="","",SUMIFS($H$6:H169,$N$6:N169,N169))</f>
        <v/>
      </c>
      <c r="P169" s="58">
        <f>IF(A169="","",IFERROR(COUNTIFS(TL_Date,A169,TL_Followed,"Y")/C169,0))</f>
        <v/>
      </c>
      <c r="Q169" s="28">
        <f>IF(A169="","",COUNTIFS(TL_Date,A169,TL_Followed,"N"))</f>
        <v/>
      </c>
      <c r="R169" s="28">
        <f>IF(A169="","",_xlfn.MAXIFS(TL_Lots,TL_Date,A169))</f>
        <v/>
      </c>
      <c r="S169" s="39">
        <f>IF(A169="","",SUMIFS(TL_GiveBack,TL_Date,A169))</f>
        <v/>
      </c>
      <c r="T169" s="28">
        <f>IF(A169="","",COUNTIFS(TL_Date,A169,TL_ExpBreach,"BREACH"))</f>
        <v/>
      </c>
      <c r="U169" s="5">
        <f>IF(A169="","",IF(H169&lt;=-DailyLossLimit,"BREACH","OK"))</f>
        <v/>
      </c>
      <c r="V169" s="5">
        <f>IF(A169="","",IF(C169&gt;MaxTradesDay,"BREACH","OK"))</f>
        <v/>
      </c>
      <c r="W169" s="5">
        <f>IF(A169="","",IF(O169&lt;=-WeeklyDDLimit,"BREACH","OK"))</f>
        <v/>
      </c>
      <c r="X169" s="5">
        <f>IF(A169="","",IF(OR(U169="BREACH",V169="BREACH",W169="BREACH",T169&gt;0,R169&gt;MaxLots),"LIMIT BROKEN","OK"))</f>
        <v/>
      </c>
    </row>
    <row r="170">
      <c r="A170" s="57">
        <f>IF(A169="","",IFERROR(SMALL(TL_Date,COUNTIF(TL_Date,"&lt;="&amp;A169)+1),""))</f>
        <v/>
      </c>
      <c r="B170" s="5">
        <f>IF(A170="","",TEXT(A170,"ddd"))</f>
        <v/>
      </c>
      <c r="C170" s="28">
        <f>IF(A170="","",COUNTIF(TL_Date,A170))</f>
        <v/>
      </c>
      <c r="D170" s="28">
        <f>IF(A170="","",COUNTIFS(TL_Date,A170,TL_Net,"&gt;0"))</f>
        <v/>
      </c>
      <c r="E170" s="28">
        <f>IF(A170="","",COUNTIFS(TL_Date,A170,TL_Net,"&lt;0"))</f>
        <v/>
      </c>
      <c r="F170" s="39">
        <f>IF(A170="","",SUMIFS(TL_Gross,TL_Date,A170))</f>
        <v/>
      </c>
      <c r="G170" s="39">
        <f>IF(A170="","",SUMIFS(TL_Chg,TL_Date,A170))</f>
        <v/>
      </c>
      <c r="H170" s="39">
        <f>IF(A170="","",SUMIFS(TL_Net,TL_Date,A170))</f>
        <v/>
      </c>
      <c r="I170" s="39">
        <f>IF(A170="","",SUM($H$6:H170))</f>
        <v/>
      </c>
      <c r="J170" s="39">
        <f>IF(A170="","",Capital+I170)</f>
        <v/>
      </c>
      <c r="K170" s="39">
        <f>IF(A170="","",MAX(Capital,MAX($J$6:J170)))</f>
        <v/>
      </c>
      <c r="L170" s="39">
        <f>IF(A170="","",K170-J170)</f>
        <v/>
      </c>
      <c r="M170" s="58">
        <f>IF(A170="","",L170/K170)</f>
        <v/>
      </c>
      <c r="N170" s="57">
        <f>IF(A170="","",A170-WEEKDAY(A170,3))</f>
        <v/>
      </c>
      <c r="O170" s="39">
        <f>IF(A170="","",SUMIFS($H$6:H170,$N$6:N170,N170))</f>
        <v/>
      </c>
      <c r="P170" s="58">
        <f>IF(A170="","",IFERROR(COUNTIFS(TL_Date,A170,TL_Followed,"Y")/C170,0))</f>
        <v/>
      </c>
      <c r="Q170" s="28">
        <f>IF(A170="","",COUNTIFS(TL_Date,A170,TL_Followed,"N"))</f>
        <v/>
      </c>
      <c r="R170" s="28">
        <f>IF(A170="","",_xlfn.MAXIFS(TL_Lots,TL_Date,A170))</f>
        <v/>
      </c>
      <c r="S170" s="39">
        <f>IF(A170="","",SUMIFS(TL_GiveBack,TL_Date,A170))</f>
        <v/>
      </c>
      <c r="T170" s="28">
        <f>IF(A170="","",COUNTIFS(TL_Date,A170,TL_ExpBreach,"BREACH"))</f>
        <v/>
      </c>
      <c r="U170" s="5">
        <f>IF(A170="","",IF(H170&lt;=-DailyLossLimit,"BREACH","OK"))</f>
        <v/>
      </c>
      <c r="V170" s="5">
        <f>IF(A170="","",IF(C170&gt;MaxTradesDay,"BREACH","OK"))</f>
        <v/>
      </c>
      <c r="W170" s="5">
        <f>IF(A170="","",IF(O170&lt;=-WeeklyDDLimit,"BREACH","OK"))</f>
        <v/>
      </c>
      <c r="X170" s="5">
        <f>IF(A170="","",IF(OR(U170="BREACH",V170="BREACH",W170="BREACH",T170&gt;0,R170&gt;MaxLots),"LIMIT BROKEN","OK"))</f>
        <v/>
      </c>
    </row>
    <row r="171">
      <c r="A171" s="57">
        <f>IF(A170="","",IFERROR(SMALL(TL_Date,COUNTIF(TL_Date,"&lt;="&amp;A170)+1),""))</f>
        <v/>
      </c>
      <c r="B171" s="5">
        <f>IF(A171="","",TEXT(A171,"ddd"))</f>
        <v/>
      </c>
      <c r="C171" s="28">
        <f>IF(A171="","",COUNTIF(TL_Date,A171))</f>
        <v/>
      </c>
      <c r="D171" s="28">
        <f>IF(A171="","",COUNTIFS(TL_Date,A171,TL_Net,"&gt;0"))</f>
        <v/>
      </c>
      <c r="E171" s="28">
        <f>IF(A171="","",COUNTIFS(TL_Date,A171,TL_Net,"&lt;0"))</f>
        <v/>
      </c>
      <c r="F171" s="39">
        <f>IF(A171="","",SUMIFS(TL_Gross,TL_Date,A171))</f>
        <v/>
      </c>
      <c r="G171" s="39">
        <f>IF(A171="","",SUMIFS(TL_Chg,TL_Date,A171))</f>
        <v/>
      </c>
      <c r="H171" s="39">
        <f>IF(A171="","",SUMIFS(TL_Net,TL_Date,A171))</f>
        <v/>
      </c>
      <c r="I171" s="39">
        <f>IF(A171="","",SUM($H$6:H171))</f>
        <v/>
      </c>
      <c r="J171" s="39">
        <f>IF(A171="","",Capital+I171)</f>
        <v/>
      </c>
      <c r="K171" s="39">
        <f>IF(A171="","",MAX(Capital,MAX($J$6:J171)))</f>
        <v/>
      </c>
      <c r="L171" s="39">
        <f>IF(A171="","",K171-J171)</f>
        <v/>
      </c>
      <c r="M171" s="58">
        <f>IF(A171="","",L171/K171)</f>
        <v/>
      </c>
      <c r="N171" s="57">
        <f>IF(A171="","",A171-WEEKDAY(A171,3))</f>
        <v/>
      </c>
      <c r="O171" s="39">
        <f>IF(A171="","",SUMIFS($H$6:H171,$N$6:N171,N171))</f>
        <v/>
      </c>
      <c r="P171" s="58">
        <f>IF(A171="","",IFERROR(COUNTIFS(TL_Date,A171,TL_Followed,"Y")/C171,0))</f>
        <v/>
      </c>
      <c r="Q171" s="28">
        <f>IF(A171="","",COUNTIFS(TL_Date,A171,TL_Followed,"N"))</f>
        <v/>
      </c>
      <c r="R171" s="28">
        <f>IF(A171="","",_xlfn.MAXIFS(TL_Lots,TL_Date,A171))</f>
        <v/>
      </c>
      <c r="S171" s="39">
        <f>IF(A171="","",SUMIFS(TL_GiveBack,TL_Date,A171))</f>
        <v/>
      </c>
      <c r="T171" s="28">
        <f>IF(A171="","",COUNTIFS(TL_Date,A171,TL_ExpBreach,"BREACH"))</f>
        <v/>
      </c>
      <c r="U171" s="5">
        <f>IF(A171="","",IF(H171&lt;=-DailyLossLimit,"BREACH","OK"))</f>
        <v/>
      </c>
      <c r="V171" s="5">
        <f>IF(A171="","",IF(C171&gt;MaxTradesDay,"BREACH","OK"))</f>
        <v/>
      </c>
      <c r="W171" s="5">
        <f>IF(A171="","",IF(O171&lt;=-WeeklyDDLimit,"BREACH","OK"))</f>
        <v/>
      </c>
      <c r="X171" s="5">
        <f>IF(A171="","",IF(OR(U171="BREACH",V171="BREACH",W171="BREACH",T171&gt;0,R171&gt;MaxLots),"LIMIT BROKEN","OK"))</f>
        <v/>
      </c>
    </row>
    <row r="172">
      <c r="A172" s="57">
        <f>IF(A171="","",IFERROR(SMALL(TL_Date,COUNTIF(TL_Date,"&lt;="&amp;A171)+1),""))</f>
        <v/>
      </c>
      <c r="B172" s="5">
        <f>IF(A172="","",TEXT(A172,"ddd"))</f>
        <v/>
      </c>
      <c r="C172" s="28">
        <f>IF(A172="","",COUNTIF(TL_Date,A172))</f>
        <v/>
      </c>
      <c r="D172" s="28">
        <f>IF(A172="","",COUNTIFS(TL_Date,A172,TL_Net,"&gt;0"))</f>
        <v/>
      </c>
      <c r="E172" s="28">
        <f>IF(A172="","",COUNTIFS(TL_Date,A172,TL_Net,"&lt;0"))</f>
        <v/>
      </c>
      <c r="F172" s="39">
        <f>IF(A172="","",SUMIFS(TL_Gross,TL_Date,A172))</f>
        <v/>
      </c>
      <c r="G172" s="39">
        <f>IF(A172="","",SUMIFS(TL_Chg,TL_Date,A172))</f>
        <v/>
      </c>
      <c r="H172" s="39">
        <f>IF(A172="","",SUMIFS(TL_Net,TL_Date,A172))</f>
        <v/>
      </c>
      <c r="I172" s="39">
        <f>IF(A172="","",SUM($H$6:H172))</f>
        <v/>
      </c>
      <c r="J172" s="39">
        <f>IF(A172="","",Capital+I172)</f>
        <v/>
      </c>
      <c r="K172" s="39">
        <f>IF(A172="","",MAX(Capital,MAX($J$6:J172)))</f>
        <v/>
      </c>
      <c r="L172" s="39">
        <f>IF(A172="","",K172-J172)</f>
        <v/>
      </c>
      <c r="M172" s="58">
        <f>IF(A172="","",L172/K172)</f>
        <v/>
      </c>
      <c r="N172" s="57">
        <f>IF(A172="","",A172-WEEKDAY(A172,3))</f>
        <v/>
      </c>
      <c r="O172" s="39">
        <f>IF(A172="","",SUMIFS($H$6:H172,$N$6:N172,N172))</f>
        <v/>
      </c>
      <c r="P172" s="58">
        <f>IF(A172="","",IFERROR(COUNTIFS(TL_Date,A172,TL_Followed,"Y")/C172,0))</f>
        <v/>
      </c>
      <c r="Q172" s="28">
        <f>IF(A172="","",COUNTIFS(TL_Date,A172,TL_Followed,"N"))</f>
        <v/>
      </c>
      <c r="R172" s="28">
        <f>IF(A172="","",_xlfn.MAXIFS(TL_Lots,TL_Date,A172))</f>
        <v/>
      </c>
      <c r="S172" s="39">
        <f>IF(A172="","",SUMIFS(TL_GiveBack,TL_Date,A172))</f>
        <v/>
      </c>
      <c r="T172" s="28">
        <f>IF(A172="","",COUNTIFS(TL_Date,A172,TL_ExpBreach,"BREACH"))</f>
        <v/>
      </c>
      <c r="U172" s="5">
        <f>IF(A172="","",IF(H172&lt;=-DailyLossLimit,"BREACH","OK"))</f>
        <v/>
      </c>
      <c r="V172" s="5">
        <f>IF(A172="","",IF(C172&gt;MaxTradesDay,"BREACH","OK"))</f>
        <v/>
      </c>
      <c r="W172" s="5">
        <f>IF(A172="","",IF(O172&lt;=-WeeklyDDLimit,"BREACH","OK"))</f>
        <v/>
      </c>
      <c r="X172" s="5">
        <f>IF(A172="","",IF(OR(U172="BREACH",V172="BREACH",W172="BREACH",T172&gt;0,R172&gt;MaxLots),"LIMIT BROKEN","OK"))</f>
        <v/>
      </c>
    </row>
    <row r="173">
      <c r="A173" s="57">
        <f>IF(A172="","",IFERROR(SMALL(TL_Date,COUNTIF(TL_Date,"&lt;="&amp;A172)+1),""))</f>
        <v/>
      </c>
      <c r="B173" s="5">
        <f>IF(A173="","",TEXT(A173,"ddd"))</f>
        <v/>
      </c>
      <c r="C173" s="28">
        <f>IF(A173="","",COUNTIF(TL_Date,A173))</f>
        <v/>
      </c>
      <c r="D173" s="28">
        <f>IF(A173="","",COUNTIFS(TL_Date,A173,TL_Net,"&gt;0"))</f>
        <v/>
      </c>
      <c r="E173" s="28">
        <f>IF(A173="","",COUNTIFS(TL_Date,A173,TL_Net,"&lt;0"))</f>
        <v/>
      </c>
      <c r="F173" s="39">
        <f>IF(A173="","",SUMIFS(TL_Gross,TL_Date,A173))</f>
        <v/>
      </c>
      <c r="G173" s="39">
        <f>IF(A173="","",SUMIFS(TL_Chg,TL_Date,A173))</f>
        <v/>
      </c>
      <c r="H173" s="39">
        <f>IF(A173="","",SUMIFS(TL_Net,TL_Date,A173))</f>
        <v/>
      </c>
      <c r="I173" s="39">
        <f>IF(A173="","",SUM($H$6:H173))</f>
        <v/>
      </c>
      <c r="J173" s="39">
        <f>IF(A173="","",Capital+I173)</f>
        <v/>
      </c>
      <c r="K173" s="39">
        <f>IF(A173="","",MAX(Capital,MAX($J$6:J173)))</f>
        <v/>
      </c>
      <c r="L173" s="39">
        <f>IF(A173="","",K173-J173)</f>
        <v/>
      </c>
      <c r="M173" s="58">
        <f>IF(A173="","",L173/K173)</f>
        <v/>
      </c>
      <c r="N173" s="57">
        <f>IF(A173="","",A173-WEEKDAY(A173,3))</f>
        <v/>
      </c>
      <c r="O173" s="39">
        <f>IF(A173="","",SUMIFS($H$6:H173,$N$6:N173,N173))</f>
        <v/>
      </c>
      <c r="P173" s="58">
        <f>IF(A173="","",IFERROR(COUNTIFS(TL_Date,A173,TL_Followed,"Y")/C173,0))</f>
        <v/>
      </c>
      <c r="Q173" s="28">
        <f>IF(A173="","",COUNTIFS(TL_Date,A173,TL_Followed,"N"))</f>
        <v/>
      </c>
      <c r="R173" s="28">
        <f>IF(A173="","",_xlfn.MAXIFS(TL_Lots,TL_Date,A173))</f>
        <v/>
      </c>
      <c r="S173" s="39">
        <f>IF(A173="","",SUMIFS(TL_GiveBack,TL_Date,A173))</f>
        <v/>
      </c>
      <c r="T173" s="28">
        <f>IF(A173="","",COUNTIFS(TL_Date,A173,TL_ExpBreach,"BREACH"))</f>
        <v/>
      </c>
      <c r="U173" s="5">
        <f>IF(A173="","",IF(H173&lt;=-DailyLossLimit,"BREACH","OK"))</f>
        <v/>
      </c>
      <c r="V173" s="5">
        <f>IF(A173="","",IF(C173&gt;MaxTradesDay,"BREACH","OK"))</f>
        <v/>
      </c>
      <c r="W173" s="5">
        <f>IF(A173="","",IF(O173&lt;=-WeeklyDDLimit,"BREACH","OK"))</f>
        <v/>
      </c>
      <c r="X173" s="5">
        <f>IF(A173="","",IF(OR(U173="BREACH",V173="BREACH",W173="BREACH",T173&gt;0,R173&gt;MaxLots),"LIMIT BROKEN","OK"))</f>
        <v/>
      </c>
    </row>
    <row r="174">
      <c r="A174" s="57">
        <f>IF(A173="","",IFERROR(SMALL(TL_Date,COUNTIF(TL_Date,"&lt;="&amp;A173)+1),""))</f>
        <v/>
      </c>
      <c r="B174" s="5">
        <f>IF(A174="","",TEXT(A174,"ddd"))</f>
        <v/>
      </c>
      <c r="C174" s="28">
        <f>IF(A174="","",COUNTIF(TL_Date,A174))</f>
        <v/>
      </c>
      <c r="D174" s="28">
        <f>IF(A174="","",COUNTIFS(TL_Date,A174,TL_Net,"&gt;0"))</f>
        <v/>
      </c>
      <c r="E174" s="28">
        <f>IF(A174="","",COUNTIFS(TL_Date,A174,TL_Net,"&lt;0"))</f>
        <v/>
      </c>
      <c r="F174" s="39">
        <f>IF(A174="","",SUMIFS(TL_Gross,TL_Date,A174))</f>
        <v/>
      </c>
      <c r="G174" s="39">
        <f>IF(A174="","",SUMIFS(TL_Chg,TL_Date,A174))</f>
        <v/>
      </c>
      <c r="H174" s="39">
        <f>IF(A174="","",SUMIFS(TL_Net,TL_Date,A174))</f>
        <v/>
      </c>
      <c r="I174" s="39">
        <f>IF(A174="","",SUM($H$6:H174))</f>
        <v/>
      </c>
      <c r="J174" s="39">
        <f>IF(A174="","",Capital+I174)</f>
        <v/>
      </c>
      <c r="K174" s="39">
        <f>IF(A174="","",MAX(Capital,MAX($J$6:J174)))</f>
        <v/>
      </c>
      <c r="L174" s="39">
        <f>IF(A174="","",K174-J174)</f>
        <v/>
      </c>
      <c r="M174" s="58">
        <f>IF(A174="","",L174/K174)</f>
        <v/>
      </c>
      <c r="N174" s="57">
        <f>IF(A174="","",A174-WEEKDAY(A174,3))</f>
        <v/>
      </c>
      <c r="O174" s="39">
        <f>IF(A174="","",SUMIFS($H$6:H174,$N$6:N174,N174))</f>
        <v/>
      </c>
      <c r="P174" s="58">
        <f>IF(A174="","",IFERROR(COUNTIFS(TL_Date,A174,TL_Followed,"Y")/C174,0))</f>
        <v/>
      </c>
      <c r="Q174" s="28">
        <f>IF(A174="","",COUNTIFS(TL_Date,A174,TL_Followed,"N"))</f>
        <v/>
      </c>
      <c r="R174" s="28">
        <f>IF(A174="","",_xlfn.MAXIFS(TL_Lots,TL_Date,A174))</f>
        <v/>
      </c>
      <c r="S174" s="39">
        <f>IF(A174="","",SUMIFS(TL_GiveBack,TL_Date,A174))</f>
        <v/>
      </c>
      <c r="T174" s="28">
        <f>IF(A174="","",COUNTIFS(TL_Date,A174,TL_ExpBreach,"BREACH"))</f>
        <v/>
      </c>
      <c r="U174" s="5">
        <f>IF(A174="","",IF(H174&lt;=-DailyLossLimit,"BREACH","OK"))</f>
        <v/>
      </c>
      <c r="V174" s="5">
        <f>IF(A174="","",IF(C174&gt;MaxTradesDay,"BREACH","OK"))</f>
        <v/>
      </c>
      <c r="W174" s="5">
        <f>IF(A174="","",IF(O174&lt;=-WeeklyDDLimit,"BREACH","OK"))</f>
        <v/>
      </c>
      <c r="X174" s="5">
        <f>IF(A174="","",IF(OR(U174="BREACH",V174="BREACH",W174="BREACH",T174&gt;0,R174&gt;MaxLots),"LIMIT BROKEN","OK"))</f>
        <v/>
      </c>
    </row>
    <row r="175">
      <c r="A175" s="57">
        <f>IF(A174="","",IFERROR(SMALL(TL_Date,COUNTIF(TL_Date,"&lt;="&amp;A174)+1),""))</f>
        <v/>
      </c>
      <c r="B175" s="5">
        <f>IF(A175="","",TEXT(A175,"ddd"))</f>
        <v/>
      </c>
      <c r="C175" s="28">
        <f>IF(A175="","",COUNTIF(TL_Date,A175))</f>
        <v/>
      </c>
      <c r="D175" s="28">
        <f>IF(A175="","",COUNTIFS(TL_Date,A175,TL_Net,"&gt;0"))</f>
        <v/>
      </c>
      <c r="E175" s="28">
        <f>IF(A175="","",COUNTIFS(TL_Date,A175,TL_Net,"&lt;0"))</f>
        <v/>
      </c>
      <c r="F175" s="39">
        <f>IF(A175="","",SUMIFS(TL_Gross,TL_Date,A175))</f>
        <v/>
      </c>
      <c r="G175" s="39">
        <f>IF(A175="","",SUMIFS(TL_Chg,TL_Date,A175))</f>
        <v/>
      </c>
      <c r="H175" s="39">
        <f>IF(A175="","",SUMIFS(TL_Net,TL_Date,A175))</f>
        <v/>
      </c>
      <c r="I175" s="39">
        <f>IF(A175="","",SUM($H$6:H175))</f>
        <v/>
      </c>
      <c r="J175" s="39">
        <f>IF(A175="","",Capital+I175)</f>
        <v/>
      </c>
      <c r="K175" s="39">
        <f>IF(A175="","",MAX(Capital,MAX($J$6:J175)))</f>
        <v/>
      </c>
      <c r="L175" s="39">
        <f>IF(A175="","",K175-J175)</f>
        <v/>
      </c>
      <c r="M175" s="58">
        <f>IF(A175="","",L175/K175)</f>
        <v/>
      </c>
      <c r="N175" s="57">
        <f>IF(A175="","",A175-WEEKDAY(A175,3))</f>
        <v/>
      </c>
      <c r="O175" s="39">
        <f>IF(A175="","",SUMIFS($H$6:H175,$N$6:N175,N175))</f>
        <v/>
      </c>
      <c r="P175" s="58">
        <f>IF(A175="","",IFERROR(COUNTIFS(TL_Date,A175,TL_Followed,"Y")/C175,0))</f>
        <v/>
      </c>
      <c r="Q175" s="28">
        <f>IF(A175="","",COUNTIFS(TL_Date,A175,TL_Followed,"N"))</f>
        <v/>
      </c>
      <c r="R175" s="28">
        <f>IF(A175="","",_xlfn.MAXIFS(TL_Lots,TL_Date,A175))</f>
        <v/>
      </c>
      <c r="S175" s="39">
        <f>IF(A175="","",SUMIFS(TL_GiveBack,TL_Date,A175))</f>
        <v/>
      </c>
      <c r="T175" s="28">
        <f>IF(A175="","",COUNTIFS(TL_Date,A175,TL_ExpBreach,"BREACH"))</f>
        <v/>
      </c>
      <c r="U175" s="5">
        <f>IF(A175="","",IF(H175&lt;=-DailyLossLimit,"BREACH","OK"))</f>
        <v/>
      </c>
      <c r="V175" s="5">
        <f>IF(A175="","",IF(C175&gt;MaxTradesDay,"BREACH","OK"))</f>
        <v/>
      </c>
      <c r="W175" s="5">
        <f>IF(A175="","",IF(O175&lt;=-WeeklyDDLimit,"BREACH","OK"))</f>
        <v/>
      </c>
      <c r="X175" s="5">
        <f>IF(A175="","",IF(OR(U175="BREACH",V175="BREACH",W175="BREACH",T175&gt;0,R175&gt;MaxLots),"LIMIT BROKEN","OK"))</f>
        <v/>
      </c>
    </row>
    <row r="176">
      <c r="A176" s="57">
        <f>IF(A175="","",IFERROR(SMALL(TL_Date,COUNTIF(TL_Date,"&lt;="&amp;A175)+1),""))</f>
        <v/>
      </c>
      <c r="B176" s="5">
        <f>IF(A176="","",TEXT(A176,"ddd"))</f>
        <v/>
      </c>
      <c r="C176" s="28">
        <f>IF(A176="","",COUNTIF(TL_Date,A176))</f>
        <v/>
      </c>
      <c r="D176" s="28">
        <f>IF(A176="","",COUNTIFS(TL_Date,A176,TL_Net,"&gt;0"))</f>
        <v/>
      </c>
      <c r="E176" s="28">
        <f>IF(A176="","",COUNTIFS(TL_Date,A176,TL_Net,"&lt;0"))</f>
        <v/>
      </c>
      <c r="F176" s="39">
        <f>IF(A176="","",SUMIFS(TL_Gross,TL_Date,A176))</f>
        <v/>
      </c>
      <c r="G176" s="39">
        <f>IF(A176="","",SUMIFS(TL_Chg,TL_Date,A176))</f>
        <v/>
      </c>
      <c r="H176" s="39">
        <f>IF(A176="","",SUMIFS(TL_Net,TL_Date,A176))</f>
        <v/>
      </c>
      <c r="I176" s="39">
        <f>IF(A176="","",SUM($H$6:H176))</f>
        <v/>
      </c>
      <c r="J176" s="39">
        <f>IF(A176="","",Capital+I176)</f>
        <v/>
      </c>
      <c r="K176" s="39">
        <f>IF(A176="","",MAX(Capital,MAX($J$6:J176)))</f>
        <v/>
      </c>
      <c r="L176" s="39">
        <f>IF(A176="","",K176-J176)</f>
        <v/>
      </c>
      <c r="M176" s="58">
        <f>IF(A176="","",L176/K176)</f>
        <v/>
      </c>
      <c r="N176" s="57">
        <f>IF(A176="","",A176-WEEKDAY(A176,3))</f>
        <v/>
      </c>
      <c r="O176" s="39">
        <f>IF(A176="","",SUMIFS($H$6:H176,$N$6:N176,N176))</f>
        <v/>
      </c>
      <c r="P176" s="58">
        <f>IF(A176="","",IFERROR(COUNTIFS(TL_Date,A176,TL_Followed,"Y")/C176,0))</f>
        <v/>
      </c>
      <c r="Q176" s="28">
        <f>IF(A176="","",COUNTIFS(TL_Date,A176,TL_Followed,"N"))</f>
        <v/>
      </c>
      <c r="R176" s="28">
        <f>IF(A176="","",_xlfn.MAXIFS(TL_Lots,TL_Date,A176))</f>
        <v/>
      </c>
      <c r="S176" s="39">
        <f>IF(A176="","",SUMIFS(TL_GiveBack,TL_Date,A176))</f>
        <v/>
      </c>
      <c r="T176" s="28">
        <f>IF(A176="","",COUNTIFS(TL_Date,A176,TL_ExpBreach,"BREACH"))</f>
        <v/>
      </c>
      <c r="U176" s="5">
        <f>IF(A176="","",IF(H176&lt;=-DailyLossLimit,"BREACH","OK"))</f>
        <v/>
      </c>
      <c r="V176" s="5">
        <f>IF(A176="","",IF(C176&gt;MaxTradesDay,"BREACH","OK"))</f>
        <v/>
      </c>
      <c r="W176" s="5">
        <f>IF(A176="","",IF(O176&lt;=-WeeklyDDLimit,"BREACH","OK"))</f>
        <v/>
      </c>
      <c r="X176" s="5">
        <f>IF(A176="","",IF(OR(U176="BREACH",V176="BREACH",W176="BREACH",T176&gt;0,R176&gt;MaxLots),"LIMIT BROKEN","OK"))</f>
        <v/>
      </c>
    </row>
    <row r="177">
      <c r="A177" s="57">
        <f>IF(A176="","",IFERROR(SMALL(TL_Date,COUNTIF(TL_Date,"&lt;="&amp;A176)+1),""))</f>
        <v/>
      </c>
      <c r="B177" s="5">
        <f>IF(A177="","",TEXT(A177,"ddd"))</f>
        <v/>
      </c>
      <c r="C177" s="28">
        <f>IF(A177="","",COUNTIF(TL_Date,A177))</f>
        <v/>
      </c>
      <c r="D177" s="28">
        <f>IF(A177="","",COUNTIFS(TL_Date,A177,TL_Net,"&gt;0"))</f>
        <v/>
      </c>
      <c r="E177" s="28">
        <f>IF(A177="","",COUNTIFS(TL_Date,A177,TL_Net,"&lt;0"))</f>
        <v/>
      </c>
      <c r="F177" s="39">
        <f>IF(A177="","",SUMIFS(TL_Gross,TL_Date,A177))</f>
        <v/>
      </c>
      <c r="G177" s="39">
        <f>IF(A177="","",SUMIFS(TL_Chg,TL_Date,A177))</f>
        <v/>
      </c>
      <c r="H177" s="39">
        <f>IF(A177="","",SUMIFS(TL_Net,TL_Date,A177))</f>
        <v/>
      </c>
      <c r="I177" s="39">
        <f>IF(A177="","",SUM($H$6:H177))</f>
        <v/>
      </c>
      <c r="J177" s="39">
        <f>IF(A177="","",Capital+I177)</f>
        <v/>
      </c>
      <c r="K177" s="39">
        <f>IF(A177="","",MAX(Capital,MAX($J$6:J177)))</f>
        <v/>
      </c>
      <c r="L177" s="39">
        <f>IF(A177="","",K177-J177)</f>
        <v/>
      </c>
      <c r="M177" s="58">
        <f>IF(A177="","",L177/K177)</f>
        <v/>
      </c>
      <c r="N177" s="57">
        <f>IF(A177="","",A177-WEEKDAY(A177,3))</f>
        <v/>
      </c>
      <c r="O177" s="39">
        <f>IF(A177="","",SUMIFS($H$6:H177,$N$6:N177,N177))</f>
        <v/>
      </c>
      <c r="P177" s="58">
        <f>IF(A177="","",IFERROR(COUNTIFS(TL_Date,A177,TL_Followed,"Y")/C177,0))</f>
        <v/>
      </c>
      <c r="Q177" s="28">
        <f>IF(A177="","",COUNTIFS(TL_Date,A177,TL_Followed,"N"))</f>
        <v/>
      </c>
      <c r="R177" s="28">
        <f>IF(A177="","",_xlfn.MAXIFS(TL_Lots,TL_Date,A177))</f>
        <v/>
      </c>
      <c r="S177" s="39">
        <f>IF(A177="","",SUMIFS(TL_GiveBack,TL_Date,A177))</f>
        <v/>
      </c>
      <c r="T177" s="28">
        <f>IF(A177="","",COUNTIFS(TL_Date,A177,TL_ExpBreach,"BREACH"))</f>
        <v/>
      </c>
      <c r="U177" s="5">
        <f>IF(A177="","",IF(H177&lt;=-DailyLossLimit,"BREACH","OK"))</f>
        <v/>
      </c>
      <c r="V177" s="5">
        <f>IF(A177="","",IF(C177&gt;MaxTradesDay,"BREACH","OK"))</f>
        <v/>
      </c>
      <c r="W177" s="5">
        <f>IF(A177="","",IF(O177&lt;=-WeeklyDDLimit,"BREACH","OK"))</f>
        <v/>
      </c>
      <c r="X177" s="5">
        <f>IF(A177="","",IF(OR(U177="BREACH",V177="BREACH",W177="BREACH",T177&gt;0,R177&gt;MaxLots),"LIMIT BROKEN","OK"))</f>
        <v/>
      </c>
    </row>
    <row r="178">
      <c r="A178" s="57">
        <f>IF(A177="","",IFERROR(SMALL(TL_Date,COUNTIF(TL_Date,"&lt;="&amp;A177)+1),""))</f>
        <v/>
      </c>
      <c r="B178" s="5">
        <f>IF(A178="","",TEXT(A178,"ddd"))</f>
        <v/>
      </c>
      <c r="C178" s="28">
        <f>IF(A178="","",COUNTIF(TL_Date,A178))</f>
        <v/>
      </c>
      <c r="D178" s="28">
        <f>IF(A178="","",COUNTIFS(TL_Date,A178,TL_Net,"&gt;0"))</f>
        <v/>
      </c>
      <c r="E178" s="28">
        <f>IF(A178="","",COUNTIFS(TL_Date,A178,TL_Net,"&lt;0"))</f>
        <v/>
      </c>
      <c r="F178" s="39">
        <f>IF(A178="","",SUMIFS(TL_Gross,TL_Date,A178))</f>
        <v/>
      </c>
      <c r="G178" s="39">
        <f>IF(A178="","",SUMIFS(TL_Chg,TL_Date,A178))</f>
        <v/>
      </c>
      <c r="H178" s="39">
        <f>IF(A178="","",SUMIFS(TL_Net,TL_Date,A178))</f>
        <v/>
      </c>
      <c r="I178" s="39">
        <f>IF(A178="","",SUM($H$6:H178))</f>
        <v/>
      </c>
      <c r="J178" s="39">
        <f>IF(A178="","",Capital+I178)</f>
        <v/>
      </c>
      <c r="K178" s="39">
        <f>IF(A178="","",MAX(Capital,MAX($J$6:J178)))</f>
        <v/>
      </c>
      <c r="L178" s="39">
        <f>IF(A178="","",K178-J178)</f>
        <v/>
      </c>
      <c r="M178" s="58">
        <f>IF(A178="","",L178/K178)</f>
        <v/>
      </c>
      <c r="N178" s="57">
        <f>IF(A178="","",A178-WEEKDAY(A178,3))</f>
        <v/>
      </c>
      <c r="O178" s="39">
        <f>IF(A178="","",SUMIFS($H$6:H178,$N$6:N178,N178))</f>
        <v/>
      </c>
      <c r="P178" s="58">
        <f>IF(A178="","",IFERROR(COUNTIFS(TL_Date,A178,TL_Followed,"Y")/C178,0))</f>
        <v/>
      </c>
      <c r="Q178" s="28">
        <f>IF(A178="","",COUNTIFS(TL_Date,A178,TL_Followed,"N"))</f>
        <v/>
      </c>
      <c r="R178" s="28">
        <f>IF(A178="","",_xlfn.MAXIFS(TL_Lots,TL_Date,A178))</f>
        <v/>
      </c>
      <c r="S178" s="39">
        <f>IF(A178="","",SUMIFS(TL_GiveBack,TL_Date,A178))</f>
        <v/>
      </c>
      <c r="T178" s="28">
        <f>IF(A178="","",COUNTIFS(TL_Date,A178,TL_ExpBreach,"BREACH"))</f>
        <v/>
      </c>
      <c r="U178" s="5">
        <f>IF(A178="","",IF(H178&lt;=-DailyLossLimit,"BREACH","OK"))</f>
        <v/>
      </c>
      <c r="V178" s="5">
        <f>IF(A178="","",IF(C178&gt;MaxTradesDay,"BREACH","OK"))</f>
        <v/>
      </c>
      <c r="W178" s="5">
        <f>IF(A178="","",IF(O178&lt;=-WeeklyDDLimit,"BREACH","OK"))</f>
        <v/>
      </c>
      <c r="X178" s="5">
        <f>IF(A178="","",IF(OR(U178="BREACH",V178="BREACH",W178="BREACH",T178&gt;0,R178&gt;MaxLots),"LIMIT BROKEN","OK"))</f>
        <v/>
      </c>
    </row>
    <row r="179">
      <c r="A179" s="57">
        <f>IF(A178="","",IFERROR(SMALL(TL_Date,COUNTIF(TL_Date,"&lt;="&amp;A178)+1),""))</f>
        <v/>
      </c>
      <c r="B179" s="5">
        <f>IF(A179="","",TEXT(A179,"ddd"))</f>
        <v/>
      </c>
      <c r="C179" s="28">
        <f>IF(A179="","",COUNTIF(TL_Date,A179))</f>
        <v/>
      </c>
      <c r="D179" s="28">
        <f>IF(A179="","",COUNTIFS(TL_Date,A179,TL_Net,"&gt;0"))</f>
        <v/>
      </c>
      <c r="E179" s="28">
        <f>IF(A179="","",COUNTIFS(TL_Date,A179,TL_Net,"&lt;0"))</f>
        <v/>
      </c>
      <c r="F179" s="39">
        <f>IF(A179="","",SUMIFS(TL_Gross,TL_Date,A179))</f>
        <v/>
      </c>
      <c r="G179" s="39">
        <f>IF(A179="","",SUMIFS(TL_Chg,TL_Date,A179))</f>
        <v/>
      </c>
      <c r="H179" s="39">
        <f>IF(A179="","",SUMIFS(TL_Net,TL_Date,A179))</f>
        <v/>
      </c>
      <c r="I179" s="39">
        <f>IF(A179="","",SUM($H$6:H179))</f>
        <v/>
      </c>
      <c r="J179" s="39">
        <f>IF(A179="","",Capital+I179)</f>
        <v/>
      </c>
      <c r="K179" s="39">
        <f>IF(A179="","",MAX(Capital,MAX($J$6:J179)))</f>
        <v/>
      </c>
      <c r="L179" s="39">
        <f>IF(A179="","",K179-J179)</f>
        <v/>
      </c>
      <c r="M179" s="58">
        <f>IF(A179="","",L179/K179)</f>
        <v/>
      </c>
      <c r="N179" s="57">
        <f>IF(A179="","",A179-WEEKDAY(A179,3))</f>
        <v/>
      </c>
      <c r="O179" s="39">
        <f>IF(A179="","",SUMIFS($H$6:H179,$N$6:N179,N179))</f>
        <v/>
      </c>
      <c r="P179" s="58">
        <f>IF(A179="","",IFERROR(COUNTIFS(TL_Date,A179,TL_Followed,"Y")/C179,0))</f>
        <v/>
      </c>
      <c r="Q179" s="28">
        <f>IF(A179="","",COUNTIFS(TL_Date,A179,TL_Followed,"N"))</f>
        <v/>
      </c>
      <c r="R179" s="28">
        <f>IF(A179="","",_xlfn.MAXIFS(TL_Lots,TL_Date,A179))</f>
        <v/>
      </c>
      <c r="S179" s="39">
        <f>IF(A179="","",SUMIFS(TL_GiveBack,TL_Date,A179))</f>
        <v/>
      </c>
      <c r="T179" s="28">
        <f>IF(A179="","",COUNTIFS(TL_Date,A179,TL_ExpBreach,"BREACH"))</f>
        <v/>
      </c>
      <c r="U179" s="5">
        <f>IF(A179="","",IF(H179&lt;=-DailyLossLimit,"BREACH","OK"))</f>
        <v/>
      </c>
      <c r="V179" s="5">
        <f>IF(A179="","",IF(C179&gt;MaxTradesDay,"BREACH","OK"))</f>
        <v/>
      </c>
      <c r="W179" s="5">
        <f>IF(A179="","",IF(O179&lt;=-WeeklyDDLimit,"BREACH","OK"))</f>
        <v/>
      </c>
      <c r="X179" s="5">
        <f>IF(A179="","",IF(OR(U179="BREACH",V179="BREACH",W179="BREACH",T179&gt;0,R179&gt;MaxLots),"LIMIT BROKEN","OK"))</f>
        <v/>
      </c>
    </row>
    <row r="180">
      <c r="A180" s="57">
        <f>IF(A179="","",IFERROR(SMALL(TL_Date,COUNTIF(TL_Date,"&lt;="&amp;A179)+1),""))</f>
        <v/>
      </c>
      <c r="B180" s="5">
        <f>IF(A180="","",TEXT(A180,"ddd"))</f>
        <v/>
      </c>
      <c r="C180" s="28">
        <f>IF(A180="","",COUNTIF(TL_Date,A180))</f>
        <v/>
      </c>
      <c r="D180" s="28">
        <f>IF(A180="","",COUNTIFS(TL_Date,A180,TL_Net,"&gt;0"))</f>
        <v/>
      </c>
      <c r="E180" s="28">
        <f>IF(A180="","",COUNTIFS(TL_Date,A180,TL_Net,"&lt;0"))</f>
        <v/>
      </c>
      <c r="F180" s="39">
        <f>IF(A180="","",SUMIFS(TL_Gross,TL_Date,A180))</f>
        <v/>
      </c>
      <c r="G180" s="39">
        <f>IF(A180="","",SUMIFS(TL_Chg,TL_Date,A180))</f>
        <v/>
      </c>
      <c r="H180" s="39">
        <f>IF(A180="","",SUMIFS(TL_Net,TL_Date,A180))</f>
        <v/>
      </c>
      <c r="I180" s="39">
        <f>IF(A180="","",SUM($H$6:H180))</f>
        <v/>
      </c>
      <c r="J180" s="39">
        <f>IF(A180="","",Capital+I180)</f>
        <v/>
      </c>
      <c r="K180" s="39">
        <f>IF(A180="","",MAX(Capital,MAX($J$6:J180)))</f>
        <v/>
      </c>
      <c r="L180" s="39">
        <f>IF(A180="","",K180-J180)</f>
        <v/>
      </c>
      <c r="M180" s="58">
        <f>IF(A180="","",L180/K180)</f>
        <v/>
      </c>
      <c r="N180" s="57">
        <f>IF(A180="","",A180-WEEKDAY(A180,3))</f>
        <v/>
      </c>
      <c r="O180" s="39">
        <f>IF(A180="","",SUMIFS($H$6:H180,$N$6:N180,N180))</f>
        <v/>
      </c>
      <c r="P180" s="58">
        <f>IF(A180="","",IFERROR(COUNTIFS(TL_Date,A180,TL_Followed,"Y")/C180,0))</f>
        <v/>
      </c>
      <c r="Q180" s="28">
        <f>IF(A180="","",COUNTIFS(TL_Date,A180,TL_Followed,"N"))</f>
        <v/>
      </c>
      <c r="R180" s="28">
        <f>IF(A180="","",_xlfn.MAXIFS(TL_Lots,TL_Date,A180))</f>
        <v/>
      </c>
      <c r="S180" s="39">
        <f>IF(A180="","",SUMIFS(TL_GiveBack,TL_Date,A180))</f>
        <v/>
      </c>
      <c r="T180" s="28">
        <f>IF(A180="","",COUNTIFS(TL_Date,A180,TL_ExpBreach,"BREACH"))</f>
        <v/>
      </c>
      <c r="U180" s="5">
        <f>IF(A180="","",IF(H180&lt;=-DailyLossLimit,"BREACH","OK"))</f>
        <v/>
      </c>
      <c r="V180" s="5">
        <f>IF(A180="","",IF(C180&gt;MaxTradesDay,"BREACH","OK"))</f>
        <v/>
      </c>
      <c r="W180" s="5">
        <f>IF(A180="","",IF(O180&lt;=-WeeklyDDLimit,"BREACH","OK"))</f>
        <v/>
      </c>
      <c r="X180" s="5">
        <f>IF(A180="","",IF(OR(U180="BREACH",V180="BREACH",W180="BREACH",T180&gt;0,R180&gt;MaxLots),"LIMIT BROKEN","OK"))</f>
        <v/>
      </c>
    </row>
    <row r="181">
      <c r="A181" s="57">
        <f>IF(A180="","",IFERROR(SMALL(TL_Date,COUNTIF(TL_Date,"&lt;="&amp;A180)+1),""))</f>
        <v/>
      </c>
      <c r="B181" s="5">
        <f>IF(A181="","",TEXT(A181,"ddd"))</f>
        <v/>
      </c>
      <c r="C181" s="28">
        <f>IF(A181="","",COUNTIF(TL_Date,A181))</f>
        <v/>
      </c>
      <c r="D181" s="28">
        <f>IF(A181="","",COUNTIFS(TL_Date,A181,TL_Net,"&gt;0"))</f>
        <v/>
      </c>
      <c r="E181" s="28">
        <f>IF(A181="","",COUNTIFS(TL_Date,A181,TL_Net,"&lt;0"))</f>
        <v/>
      </c>
      <c r="F181" s="39">
        <f>IF(A181="","",SUMIFS(TL_Gross,TL_Date,A181))</f>
        <v/>
      </c>
      <c r="G181" s="39">
        <f>IF(A181="","",SUMIFS(TL_Chg,TL_Date,A181))</f>
        <v/>
      </c>
      <c r="H181" s="39">
        <f>IF(A181="","",SUMIFS(TL_Net,TL_Date,A181))</f>
        <v/>
      </c>
      <c r="I181" s="39">
        <f>IF(A181="","",SUM($H$6:H181))</f>
        <v/>
      </c>
      <c r="J181" s="39">
        <f>IF(A181="","",Capital+I181)</f>
        <v/>
      </c>
      <c r="K181" s="39">
        <f>IF(A181="","",MAX(Capital,MAX($J$6:J181)))</f>
        <v/>
      </c>
      <c r="L181" s="39">
        <f>IF(A181="","",K181-J181)</f>
        <v/>
      </c>
      <c r="M181" s="58">
        <f>IF(A181="","",L181/K181)</f>
        <v/>
      </c>
      <c r="N181" s="57">
        <f>IF(A181="","",A181-WEEKDAY(A181,3))</f>
        <v/>
      </c>
      <c r="O181" s="39">
        <f>IF(A181="","",SUMIFS($H$6:H181,$N$6:N181,N181))</f>
        <v/>
      </c>
      <c r="P181" s="58">
        <f>IF(A181="","",IFERROR(COUNTIFS(TL_Date,A181,TL_Followed,"Y")/C181,0))</f>
        <v/>
      </c>
      <c r="Q181" s="28">
        <f>IF(A181="","",COUNTIFS(TL_Date,A181,TL_Followed,"N"))</f>
        <v/>
      </c>
      <c r="R181" s="28">
        <f>IF(A181="","",_xlfn.MAXIFS(TL_Lots,TL_Date,A181))</f>
        <v/>
      </c>
      <c r="S181" s="39">
        <f>IF(A181="","",SUMIFS(TL_GiveBack,TL_Date,A181))</f>
        <v/>
      </c>
      <c r="T181" s="28">
        <f>IF(A181="","",COUNTIFS(TL_Date,A181,TL_ExpBreach,"BREACH"))</f>
        <v/>
      </c>
      <c r="U181" s="5">
        <f>IF(A181="","",IF(H181&lt;=-DailyLossLimit,"BREACH","OK"))</f>
        <v/>
      </c>
      <c r="V181" s="5">
        <f>IF(A181="","",IF(C181&gt;MaxTradesDay,"BREACH","OK"))</f>
        <v/>
      </c>
      <c r="W181" s="5">
        <f>IF(A181="","",IF(O181&lt;=-WeeklyDDLimit,"BREACH","OK"))</f>
        <v/>
      </c>
      <c r="X181" s="5">
        <f>IF(A181="","",IF(OR(U181="BREACH",V181="BREACH",W181="BREACH",T181&gt;0,R181&gt;MaxLots),"LIMIT BROKEN","OK"))</f>
        <v/>
      </c>
    </row>
    <row r="182">
      <c r="A182" s="57">
        <f>IF(A181="","",IFERROR(SMALL(TL_Date,COUNTIF(TL_Date,"&lt;="&amp;A181)+1),""))</f>
        <v/>
      </c>
      <c r="B182" s="5">
        <f>IF(A182="","",TEXT(A182,"ddd"))</f>
        <v/>
      </c>
      <c r="C182" s="28">
        <f>IF(A182="","",COUNTIF(TL_Date,A182))</f>
        <v/>
      </c>
      <c r="D182" s="28">
        <f>IF(A182="","",COUNTIFS(TL_Date,A182,TL_Net,"&gt;0"))</f>
        <v/>
      </c>
      <c r="E182" s="28">
        <f>IF(A182="","",COUNTIFS(TL_Date,A182,TL_Net,"&lt;0"))</f>
        <v/>
      </c>
      <c r="F182" s="39">
        <f>IF(A182="","",SUMIFS(TL_Gross,TL_Date,A182))</f>
        <v/>
      </c>
      <c r="G182" s="39">
        <f>IF(A182="","",SUMIFS(TL_Chg,TL_Date,A182))</f>
        <v/>
      </c>
      <c r="H182" s="39">
        <f>IF(A182="","",SUMIFS(TL_Net,TL_Date,A182))</f>
        <v/>
      </c>
      <c r="I182" s="39">
        <f>IF(A182="","",SUM($H$6:H182))</f>
        <v/>
      </c>
      <c r="J182" s="39">
        <f>IF(A182="","",Capital+I182)</f>
        <v/>
      </c>
      <c r="K182" s="39">
        <f>IF(A182="","",MAX(Capital,MAX($J$6:J182)))</f>
        <v/>
      </c>
      <c r="L182" s="39">
        <f>IF(A182="","",K182-J182)</f>
        <v/>
      </c>
      <c r="M182" s="58">
        <f>IF(A182="","",L182/K182)</f>
        <v/>
      </c>
      <c r="N182" s="57">
        <f>IF(A182="","",A182-WEEKDAY(A182,3))</f>
        <v/>
      </c>
      <c r="O182" s="39">
        <f>IF(A182="","",SUMIFS($H$6:H182,$N$6:N182,N182))</f>
        <v/>
      </c>
      <c r="P182" s="58">
        <f>IF(A182="","",IFERROR(COUNTIFS(TL_Date,A182,TL_Followed,"Y")/C182,0))</f>
        <v/>
      </c>
      <c r="Q182" s="28">
        <f>IF(A182="","",COUNTIFS(TL_Date,A182,TL_Followed,"N"))</f>
        <v/>
      </c>
      <c r="R182" s="28">
        <f>IF(A182="","",_xlfn.MAXIFS(TL_Lots,TL_Date,A182))</f>
        <v/>
      </c>
      <c r="S182" s="39">
        <f>IF(A182="","",SUMIFS(TL_GiveBack,TL_Date,A182))</f>
        <v/>
      </c>
      <c r="T182" s="28">
        <f>IF(A182="","",COUNTIFS(TL_Date,A182,TL_ExpBreach,"BREACH"))</f>
        <v/>
      </c>
      <c r="U182" s="5">
        <f>IF(A182="","",IF(H182&lt;=-DailyLossLimit,"BREACH","OK"))</f>
        <v/>
      </c>
      <c r="V182" s="5">
        <f>IF(A182="","",IF(C182&gt;MaxTradesDay,"BREACH","OK"))</f>
        <v/>
      </c>
      <c r="W182" s="5">
        <f>IF(A182="","",IF(O182&lt;=-WeeklyDDLimit,"BREACH","OK"))</f>
        <v/>
      </c>
      <c r="X182" s="5">
        <f>IF(A182="","",IF(OR(U182="BREACH",V182="BREACH",W182="BREACH",T182&gt;0,R182&gt;MaxLots),"LIMIT BROKEN","OK"))</f>
        <v/>
      </c>
    </row>
    <row r="183">
      <c r="A183" s="57">
        <f>IF(A182="","",IFERROR(SMALL(TL_Date,COUNTIF(TL_Date,"&lt;="&amp;A182)+1),""))</f>
        <v/>
      </c>
      <c r="B183" s="5">
        <f>IF(A183="","",TEXT(A183,"ddd"))</f>
        <v/>
      </c>
      <c r="C183" s="28">
        <f>IF(A183="","",COUNTIF(TL_Date,A183))</f>
        <v/>
      </c>
      <c r="D183" s="28">
        <f>IF(A183="","",COUNTIFS(TL_Date,A183,TL_Net,"&gt;0"))</f>
        <v/>
      </c>
      <c r="E183" s="28">
        <f>IF(A183="","",COUNTIFS(TL_Date,A183,TL_Net,"&lt;0"))</f>
        <v/>
      </c>
      <c r="F183" s="39">
        <f>IF(A183="","",SUMIFS(TL_Gross,TL_Date,A183))</f>
        <v/>
      </c>
      <c r="G183" s="39">
        <f>IF(A183="","",SUMIFS(TL_Chg,TL_Date,A183))</f>
        <v/>
      </c>
      <c r="H183" s="39">
        <f>IF(A183="","",SUMIFS(TL_Net,TL_Date,A183))</f>
        <v/>
      </c>
      <c r="I183" s="39">
        <f>IF(A183="","",SUM($H$6:H183))</f>
        <v/>
      </c>
      <c r="J183" s="39">
        <f>IF(A183="","",Capital+I183)</f>
        <v/>
      </c>
      <c r="K183" s="39">
        <f>IF(A183="","",MAX(Capital,MAX($J$6:J183)))</f>
        <v/>
      </c>
      <c r="L183" s="39">
        <f>IF(A183="","",K183-J183)</f>
        <v/>
      </c>
      <c r="M183" s="58">
        <f>IF(A183="","",L183/K183)</f>
        <v/>
      </c>
      <c r="N183" s="57">
        <f>IF(A183="","",A183-WEEKDAY(A183,3))</f>
        <v/>
      </c>
      <c r="O183" s="39">
        <f>IF(A183="","",SUMIFS($H$6:H183,$N$6:N183,N183))</f>
        <v/>
      </c>
      <c r="P183" s="58">
        <f>IF(A183="","",IFERROR(COUNTIFS(TL_Date,A183,TL_Followed,"Y")/C183,0))</f>
        <v/>
      </c>
      <c r="Q183" s="28">
        <f>IF(A183="","",COUNTIFS(TL_Date,A183,TL_Followed,"N"))</f>
        <v/>
      </c>
      <c r="R183" s="28">
        <f>IF(A183="","",_xlfn.MAXIFS(TL_Lots,TL_Date,A183))</f>
        <v/>
      </c>
      <c r="S183" s="39">
        <f>IF(A183="","",SUMIFS(TL_GiveBack,TL_Date,A183))</f>
        <v/>
      </c>
      <c r="T183" s="28">
        <f>IF(A183="","",COUNTIFS(TL_Date,A183,TL_ExpBreach,"BREACH"))</f>
        <v/>
      </c>
      <c r="U183" s="5">
        <f>IF(A183="","",IF(H183&lt;=-DailyLossLimit,"BREACH","OK"))</f>
        <v/>
      </c>
      <c r="V183" s="5">
        <f>IF(A183="","",IF(C183&gt;MaxTradesDay,"BREACH","OK"))</f>
        <v/>
      </c>
      <c r="W183" s="5">
        <f>IF(A183="","",IF(O183&lt;=-WeeklyDDLimit,"BREACH","OK"))</f>
        <v/>
      </c>
      <c r="X183" s="5">
        <f>IF(A183="","",IF(OR(U183="BREACH",V183="BREACH",W183="BREACH",T183&gt;0,R183&gt;MaxLots),"LIMIT BROKEN","OK"))</f>
        <v/>
      </c>
    </row>
    <row r="184">
      <c r="A184" s="57">
        <f>IF(A183="","",IFERROR(SMALL(TL_Date,COUNTIF(TL_Date,"&lt;="&amp;A183)+1),""))</f>
        <v/>
      </c>
      <c r="B184" s="5">
        <f>IF(A184="","",TEXT(A184,"ddd"))</f>
        <v/>
      </c>
      <c r="C184" s="28">
        <f>IF(A184="","",COUNTIF(TL_Date,A184))</f>
        <v/>
      </c>
      <c r="D184" s="28">
        <f>IF(A184="","",COUNTIFS(TL_Date,A184,TL_Net,"&gt;0"))</f>
        <v/>
      </c>
      <c r="E184" s="28">
        <f>IF(A184="","",COUNTIFS(TL_Date,A184,TL_Net,"&lt;0"))</f>
        <v/>
      </c>
      <c r="F184" s="39">
        <f>IF(A184="","",SUMIFS(TL_Gross,TL_Date,A184))</f>
        <v/>
      </c>
      <c r="G184" s="39">
        <f>IF(A184="","",SUMIFS(TL_Chg,TL_Date,A184))</f>
        <v/>
      </c>
      <c r="H184" s="39">
        <f>IF(A184="","",SUMIFS(TL_Net,TL_Date,A184))</f>
        <v/>
      </c>
      <c r="I184" s="39">
        <f>IF(A184="","",SUM($H$6:H184))</f>
        <v/>
      </c>
      <c r="J184" s="39">
        <f>IF(A184="","",Capital+I184)</f>
        <v/>
      </c>
      <c r="K184" s="39">
        <f>IF(A184="","",MAX(Capital,MAX($J$6:J184)))</f>
        <v/>
      </c>
      <c r="L184" s="39">
        <f>IF(A184="","",K184-J184)</f>
        <v/>
      </c>
      <c r="M184" s="58">
        <f>IF(A184="","",L184/K184)</f>
        <v/>
      </c>
      <c r="N184" s="57">
        <f>IF(A184="","",A184-WEEKDAY(A184,3))</f>
        <v/>
      </c>
      <c r="O184" s="39">
        <f>IF(A184="","",SUMIFS($H$6:H184,$N$6:N184,N184))</f>
        <v/>
      </c>
      <c r="P184" s="58">
        <f>IF(A184="","",IFERROR(COUNTIFS(TL_Date,A184,TL_Followed,"Y")/C184,0))</f>
        <v/>
      </c>
      <c r="Q184" s="28">
        <f>IF(A184="","",COUNTIFS(TL_Date,A184,TL_Followed,"N"))</f>
        <v/>
      </c>
      <c r="R184" s="28">
        <f>IF(A184="","",_xlfn.MAXIFS(TL_Lots,TL_Date,A184))</f>
        <v/>
      </c>
      <c r="S184" s="39">
        <f>IF(A184="","",SUMIFS(TL_GiveBack,TL_Date,A184))</f>
        <v/>
      </c>
      <c r="T184" s="28">
        <f>IF(A184="","",COUNTIFS(TL_Date,A184,TL_ExpBreach,"BREACH"))</f>
        <v/>
      </c>
      <c r="U184" s="5">
        <f>IF(A184="","",IF(H184&lt;=-DailyLossLimit,"BREACH","OK"))</f>
        <v/>
      </c>
      <c r="V184" s="5">
        <f>IF(A184="","",IF(C184&gt;MaxTradesDay,"BREACH","OK"))</f>
        <v/>
      </c>
      <c r="W184" s="5">
        <f>IF(A184="","",IF(O184&lt;=-WeeklyDDLimit,"BREACH","OK"))</f>
        <v/>
      </c>
      <c r="X184" s="5">
        <f>IF(A184="","",IF(OR(U184="BREACH",V184="BREACH",W184="BREACH",T184&gt;0,R184&gt;MaxLots),"LIMIT BROKEN","OK"))</f>
        <v/>
      </c>
    </row>
    <row r="185">
      <c r="A185" s="57">
        <f>IF(A184="","",IFERROR(SMALL(TL_Date,COUNTIF(TL_Date,"&lt;="&amp;A184)+1),""))</f>
        <v/>
      </c>
      <c r="B185" s="5">
        <f>IF(A185="","",TEXT(A185,"ddd"))</f>
        <v/>
      </c>
      <c r="C185" s="28">
        <f>IF(A185="","",COUNTIF(TL_Date,A185))</f>
        <v/>
      </c>
      <c r="D185" s="28">
        <f>IF(A185="","",COUNTIFS(TL_Date,A185,TL_Net,"&gt;0"))</f>
        <v/>
      </c>
      <c r="E185" s="28">
        <f>IF(A185="","",COUNTIFS(TL_Date,A185,TL_Net,"&lt;0"))</f>
        <v/>
      </c>
      <c r="F185" s="39">
        <f>IF(A185="","",SUMIFS(TL_Gross,TL_Date,A185))</f>
        <v/>
      </c>
      <c r="G185" s="39">
        <f>IF(A185="","",SUMIFS(TL_Chg,TL_Date,A185))</f>
        <v/>
      </c>
      <c r="H185" s="39">
        <f>IF(A185="","",SUMIFS(TL_Net,TL_Date,A185))</f>
        <v/>
      </c>
      <c r="I185" s="39">
        <f>IF(A185="","",SUM($H$6:H185))</f>
        <v/>
      </c>
      <c r="J185" s="39">
        <f>IF(A185="","",Capital+I185)</f>
        <v/>
      </c>
      <c r="K185" s="39">
        <f>IF(A185="","",MAX(Capital,MAX($J$6:J185)))</f>
        <v/>
      </c>
      <c r="L185" s="39">
        <f>IF(A185="","",K185-J185)</f>
        <v/>
      </c>
      <c r="M185" s="58">
        <f>IF(A185="","",L185/K185)</f>
        <v/>
      </c>
      <c r="N185" s="57">
        <f>IF(A185="","",A185-WEEKDAY(A185,3))</f>
        <v/>
      </c>
      <c r="O185" s="39">
        <f>IF(A185="","",SUMIFS($H$6:H185,$N$6:N185,N185))</f>
        <v/>
      </c>
      <c r="P185" s="58">
        <f>IF(A185="","",IFERROR(COUNTIFS(TL_Date,A185,TL_Followed,"Y")/C185,0))</f>
        <v/>
      </c>
      <c r="Q185" s="28">
        <f>IF(A185="","",COUNTIFS(TL_Date,A185,TL_Followed,"N"))</f>
        <v/>
      </c>
      <c r="R185" s="28">
        <f>IF(A185="","",_xlfn.MAXIFS(TL_Lots,TL_Date,A185))</f>
        <v/>
      </c>
      <c r="S185" s="39">
        <f>IF(A185="","",SUMIFS(TL_GiveBack,TL_Date,A185))</f>
        <v/>
      </c>
      <c r="T185" s="28">
        <f>IF(A185="","",COUNTIFS(TL_Date,A185,TL_ExpBreach,"BREACH"))</f>
        <v/>
      </c>
      <c r="U185" s="5">
        <f>IF(A185="","",IF(H185&lt;=-DailyLossLimit,"BREACH","OK"))</f>
        <v/>
      </c>
      <c r="V185" s="5">
        <f>IF(A185="","",IF(C185&gt;MaxTradesDay,"BREACH","OK"))</f>
        <v/>
      </c>
      <c r="W185" s="5">
        <f>IF(A185="","",IF(O185&lt;=-WeeklyDDLimit,"BREACH","OK"))</f>
        <v/>
      </c>
      <c r="X185" s="5">
        <f>IF(A185="","",IF(OR(U185="BREACH",V185="BREACH",W185="BREACH",T185&gt;0,R185&gt;MaxLots),"LIMIT BROKEN","OK"))</f>
        <v/>
      </c>
    </row>
    <row r="186">
      <c r="A186" s="57">
        <f>IF(A185="","",IFERROR(SMALL(TL_Date,COUNTIF(TL_Date,"&lt;="&amp;A185)+1),""))</f>
        <v/>
      </c>
      <c r="B186" s="5">
        <f>IF(A186="","",TEXT(A186,"ddd"))</f>
        <v/>
      </c>
      <c r="C186" s="28">
        <f>IF(A186="","",COUNTIF(TL_Date,A186))</f>
        <v/>
      </c>
      <c r="D186" s="28">
        <f>IF(A186="","",COUNTIFS(TL_Date,A186,TL_Net,"&gt;0"))</f>
        <v/>
      </c>
      <c r="E186" s="28">
        <f>IF(A186="","",COUNTIFS(TL_Date,A186,TL_Net,"&lt;0"))</f>
        <v/>
      </c>
      <c r="F186" s="39">
        <f>IF(A186="","",SUMIFS(TL_Gross,TL_Date,A186))</f>
        <v/>
      </c>
      <c r="G186" s="39">
        <f>IF(A186="","",SUMIFS(TL_Chg,TL_Date,A186))</f>
        <v/>
      </c>
      <c r="H186" s="39">
        <f>IF(A186="","",SUMIFS(TL_Net,TL_Date,A186))</f>
        <v/>
      </c>
      <c r="I186" s="39">
        <f>IF(A186="","",SUM($H$6:H186))</f>
        <v/>
      </c>
      <c r="J186" s="39">
        <f>IF(A186="","",Capital+I186)</f>
        <v/>
      </c>
      <c r="K186" s="39">
        <f>IF(A186="","",MAX(Capital,MAX($J$6:J186)))</f>
        <v/>
      </c>
      <c r="L186" s="39">
        <f>IF(A186="","",K186-J186)</f>
        <v/>
      </c>
      <c r="M186" s="58">
        <f>IF(A186="","",L186/K186)</f>
        <v/>
      </c>
      <c r="N186" s="57">
        <f>IF(A186="","",A186-WEEKDAY(A186,3))</f>
        <v/>
      </c>
      <c r="O186" s="39">
        <f>IF(A186="","",SUMIFS($H$6:H186,$N$6:N186,N186))</f>
        <v/>
      </c>
      <c r="P186" s="58">
        <f>IF(A186="","",IFERROR(COUNTIFS(TL_Date,A186,TL_Followed,"Y")/C186,0))</f>
        <v/>
      </c>
      <c r="Q186" s="28">
        <f>IF(A186="","",COUNTIFS(TL_Date,A186,TL_Followed,"N"))</f>
        <v/>
      </c>
      <c r="R186" s="28">
        <f>IF(A186="","",_xlfn.MAXIFS(TL_Lots,TL_Date,A186))</f>
        <v/>
      </c>
      <c r="S186" s="39">
        <f>IF(A186="","",SUMIFS(TL_GiveBack,TL_Date,A186))</f>
        <v/>
      </c>
      <c r="T186" s="28">
        <f>IF(A186="","",COUNTIFS(TL_Date,A186,TL_ExpBreach,"BREACH"))</f>
        <v/>
      </c>
      <c r="U186" s="5">
        <f>IF(A186="","",IF(H186&lt;=-DailyLossLimit,"BREACH","OK"))</f>
        <v/>
      </c>
      <c r="V186" s="5">
        <f>IF(A186="","",IF(C186&gt;MaxTradesDay,"BREACH","OK"))</f>
        <v/>
      </c>
      <c r="W186" s="5">
        <f>IF(A186="","",IF(O186&lt;=-WeeklyDDLimit,"BREACH","OK"))</f>
        <v/>
      </c>
      <c r="X186" s="5">
        <f>IF(A186="","",IF(OR(U186="BREACH",V186="BREACH",W186="BREACH",T186&gt;0,R186&gt;MaxLots),"LIMIT BROKEN","OK"))</f>
        <v/>
      </c>
    </row>
    <row r="187">
      <c r="A187" s="57">
        <f>IF(A186="","",IFERROR(SMALL(TL_Date,COUNTIF(TL_Date,"&lt;="&amp;A186)+1),""))</f>
        <v/>
      </c>
      <c r="B187" s="5">
        <f>IF(A187="","",TEXT(A187,"ddd"))</f>
        <v/>
      </c>
      <c r="C187" s="28">
        <f>IF(A187="","",COUNTIF(TL_Date,A187))</f>
        <v/>
      </c>
      <c r="D187" s="28">
        <f>IF(A187="","",COUNTIFS(TL_Date,A187,TL_Net,"&gt;0"))</f>
        <v/>
      </c>
      <c r="E187" s="28">
        <f>IF(A187="","",COUNTIFS(TL_Date,A187,TL_Net,"&lt;0"))</f>
        <v/>
      </c>
      <c r="F187" s="39">
        <f>IF(A187="","",SUMIFS(TL_Gross,TL_Date,A187))</f>
        <v/>
      </c>
      <c r="G187" s="39">
        <f>IF(A187="","",SUMIFS(TL_Chg,TL_Date,A187))</f>
        <v/>
      </c>
      <c r="H187" s="39">
        <f>IF(A187="","",SUMIFS(TL_Net,TL_Date,A187))</f>
        <v/>
      </c>
      <c r="I187" s="39">
        <f>IF(A187="","",SUM($H$6:H187))</f>
        <v/>
      </c>
      <c r="J187" s="39">
        <f>IF(A187="","",Capital+I187)</f>
        <v/>
      </c>
      <c r="K187" s="39">
        <f>IF(A187="","",MAX(Capital,MAX($J$6:J187)))</f>
        <v/>
      </c>
      <c r="L187" s="39">
        <f>IF(A187="","",K187-J187)</f>
        <v/>
      </c>
      <c r="M187" s="58">
        <f>IF(A187="","",L187/K187)</f>
        <v/>
      </c>
      <c r="N187" s="57">
        <f>IF(A187="","",A187-WEEKDAY(A187,3))</f>
        <v/>
      </c>
      <c r="O187" s="39">
        <f>IF(A187="","",SUMIFS($H$6:H187,$N$6:N187,N187))</f>
        <v/>
      </c>
      <c r="P187" s="58">
        <f>IF(A187="","",IFERROR(COUNTIFS(TL_Date,A187,TL_Followed,"Y")/C187,0))</f>
        <v/>
      </c>
      <c r="Q187" s="28">
        <f>IF(A187="","",COUNTIFS(TL_Date,A187,TL_Followed,"N"))</f>
        <v/>
      </c>
      <c r="R187" s="28">
        <f>IF(A187="","",_xlfn.MAXIFS(TL_Lots,TL_Date,A187))</f>
        <v/>
      </c>
      <c r="S187" s="39">
        <f>IF(A187="","",SUMIFS(TL_GiveBack,TL_Date,A187))</f>
        <v/>
      </c>
      <c r="T187" s="28">
        <f>IF(A187="","",COUNTIFS(TL_Date,A187,TL_ExpBreach,"BREACH"))</f>
        <v/>
      </c>
      <c r="U187" s="5">
        <f>IF(A187="","",IF(H187&lt;=-DailyLossLimit,"BREACH","OK"))</f>
        <v/>
      </c>
      <c r="V187" s="5">
        <f>IF(A187="","",IF(C187&gt;MaxTradesDay,"BREACH","OK"))</f>
        <v/>
      </c>
      <c r="W187" s="5">
        <f>IF(A187="","",IF(O187&lt;=-WeeklyDDLimit,"BREACH","OK"))</f>
        <v/>
      </c>
      <c r="X187" s="5">
        <f>IF(A187="","",IF(OR(U187="BREACH",V187="BREACH",W187="BREACH",T187&gt;0,R187&gt;MaxLots),"LIMIT BROKEN","OK"))</f>
        <v/>
      </c>
    </row>
    <row r="188">
      <c r="A188" s="57">
        <f>IF(A187="","",IFERROR(SMALL(TL_Date,COUNTIF(TL_Date,"&lt;="&amp;A187)+1),""))</f>
        <v/>
      </c>
      <c r="B188" s="5">
        <f>IF(A188="","",TEXT(A188,"ddd"))</f>
        <v/>
      </c>
      <c r="C188" s="28">
        <f>IF(A188="","",COUNTIF(TL_Date,A188))</f>
        <v/>
      </c>
      <c r="D188" s="28">
        <f>IF(A188="","",COUNTIFS(TL_Date,A188,TL_Net,"&gt;0"))</f>
        <v/>
      </c>
      <c r="E188" s="28">
        <f>IF(A188="","",COUNTIFS(TL_Date,A188,TL_Net,"&lt;0"))</f>
        <v/>
      </c>
      <c r="F188" s="39">
        <f>IF(A188="","",SUMIFS(TL_Gross,TL_Date,A188))</f>
        <v/>
      </c>
      <c r="G188" s="39">
        <f>IF(A188="","",SUMIFS(TL_Chg,TL_Date,A188))</f>
        <v/>
      </c>
      <c r="H188" s="39">
        <f>IF(A188="","",SUMIFS(TL_Net,TL_Date,A188))</f>
        <v/>
      </c>
      <c r="I188" s="39">
        <f>IF(A188="","",SUM($H$6:H188))</f>
        <v/>
      </c>
      <c r="J188" s="39">
        <f>IF(A188="","",Capital+I188)</f>
        <v/>
      </c>
      <c r="K188" s="39">
        <f>IF(A188="","",MAX(Capital,MAX($J$6:J188)))</f>
        <v/>
      </c>
      <c r="L188" s="39">
        <f>IF(A188="","",K188-J188)</f>
        <v/>
      </c>
      <c r="M188" s="58">
        <f>IF(A188="","",L188/K188)</f>
        <v/>
      </c>
      <c r="N188" s="57">
        <f>IF(A188="","",A188-WEEKDAY(A188,3))</f>
        <v/>
      </c>
      <c r="O188" s="39">
        <f>IF(A188="","",SUMIFS($H$6:H188,$N$6:N188,N188))</f>
        <v/>
      </c>
      <c r="P188" s="58">
        <f>IF(A188="","",IFERROR(COUNTIFS(TL_Date,A188,TL_Followed,"Y")/C188,0))</f>
        <v/>
      </c>
      <c r="Q188" s="28">
        <f>IF(A188="","",COUNTIFS(TL_Date,A188,TL_Followed,"N"))</f>
        <v/>
      </c>
      <c r="R188" s="28">
        <f>IF(A188="","",_xlfn.MAXIFS(TL_Lots,TL_Date,A188))</f>
        <v/>
      </c>
      <c r="S188" s="39">
        <f>IF(A188="","",SUMIFS(TL_GiveBack,TL_Date,A188))</f>
        <v/>
      </c>
      <c r="T188" s="28">
        <f>IF(A188="","",COUNTIFS(TL_Date,A188,TL_ExpBreach,"BREACH"))</f>
        <v/>
      </c>
      <c r="U188" s="5">
        <f>IF(A188="","",IF(H188&lt;=-DailyLossLimit,"BREACH","OK"))</f>
        <v/>
      </c>
      <c r="V188" s="5">
        <f>IF(A188="","",IF(C188&gt;MaxTradesDay,"BREACH","OK"))</f>
        <v/>
      </c>
      <c r="W188" s="5">
        <f>IF(A188="","",IF(O188&lt;=-WeeklyDDLimit,"BREACH","OK"))</f>
        <v/>
      </c>
      <c r="X188" s="5">
        <f>IF(A188="","",IF(OR(U188="BREACH",V188="BREACH",W188="BREACH",T188&gt;0,R188&gt;MaxLots),"LIMIT BROKEN","OK"))</f>
        <v/>
      </c>
    </row>
    <row r="189">
      <c r="A189" s="57">
        <f>IF(A188="","",IFERROR(SMALL(TL_Date,COUNTIF(TL_Date,"&lt;="&amp;A188)+1),""))</f>
        <v/>
      </c>
      <c r="B189" s="5">
        <f>IF(A189="","",TEXT(A189,"ddd"))</f>
        <v/>
      </c>
      <c r="C189" s="28">
        <f>IF(A189="","",COUNTIF(TL_Date,A189))</f>
        <v/>
      </c>
      <c r="D189" s="28">
        <f>IF(A189="","",COUNTIFS(TL_Date,A189,TL_Net,"&gt;0"))</f>
        <v/>
      </c>
      <c r="E189" s="28">
        <f>IF(A189="","",COUNTIFS(TL_Date,A189,TL_Net,"&lt;0"))</f>
        <v/>
      </c>
      <c r="F189" s="39">
        <f>IF(A189="","",SUMIFS(TL_Gross,TL_Date,A189))</f>
        <v/>
      </c>
      <c r="G189" s="39">
        <f>IF(A189="","",SUMIFS(TL_Chg,TL_Date,A189))</f>
        <v/>
      </c>
      <c r="H189" s="39">
        <f>IF(A189="","",SUMIFS(TL_Net,TL_Date,A189))</f>
        <v/>
      </c>
      <c r="I189" s="39">
        <f>IF(A189="","",SUM($H$6:H189))</f>
        <v/>
      </c>
      <c r="J189" s="39">
        <f>IF(A189="","",Capital+I189)</f>
        <v/>
      </c>
      <c r="K189" s="39">
        <f>IF(A189="","",MAX(Capital,MAX($J$6:J189)))</f>
        <v/>
      </c>
      <c r="L189" s="39">
        <f>IF(A189="","",K189-J189)</f>
        <v/>
      </c>
      <c r="M189" s="58">
        <f>IF(A189="","",L189/K189)</f>
        <v/>
      </c>
      <c r="N189" s="57">
        <f>IF(A189="","",A189-WEEKDAY(A189,3))</f>
        <v/>
      </c>
      <c r="O189" s="39">
        <f>IF(A189="","",SUMIFS($H$6:H189,$N$6:N189,N189))</f>
        <v/>
      </c>
      <c r="P189" s="58">
        <f>IF(A189="","",IFERROR(COUNTIFS(TL_Date,A189,TL_Followed,"Y")/C189,0))</f>
        <v/>
      </c>
      <c r="Q189" s="28">
        <f>IF(A189="","",COUNTIFS(TL_Date,A189,TL_Followed,"N"))</f>
        <v/>
      </c>
      <c r="R189" s="28">
        <f>IF(A189="","",_xlfn.MAXIFS(TL_Lots,TL_Date,A189))</f>
        <v/>
      </c>
      <c r="S189" s="39">
        <f>IF(A189="","",SUMIFS(TL_GiveBack,TL_Date,A189))</f>
        <v/>
      </c>
      <c r="T189" s="28">
        <f>IF(A189="","",COUNTIFS(TL_Date,A189,TL_ExpBreach,"BREACH"))</f>
        <v/>
      </c>
      <c r="U189" s="5">
        <f>IF(A189="","",IF(H189&lt;=-DailyLossLimit,"BREACH","OK"))</f>
        <v/>
      </c>
      <c r="V189" s="5">
        <f>IF(A189="","",IF(C189&gt;MaxTradesDay,"BREACH","OK"))</f>
        <v/>
      </c>
      <c r="W189" s="5">
        <f>IF(A189="","",IF(O189&lt;=-WeeklyDDLimit,"BREACH","OK"))</f>
        <v/>
      </c>
      <c r="X189" s="5">
        <f>IF(A189="","",IF(OR(U189="BREACH",V189="BREACH",W189="BREACH",T189&gt;0,R189&gt;MaxLots),"LIMIT BROKEN","OK"))</f>
        <v/>
      </c>
    </row>
    <row r="190">
      <c r="A190" s="57">
        <f>IF(A189="","",IFERROR(SMALL(TL_Date,COUNTIF(TL_Date,"&lt;="&amp;A189)+1),""))</f>
        <v/>
      </c>
      <c r="B190" s="5">
        <f>IF(A190="","",TEXT(A190,"ddd"))</f>
        <v/>
      </c>
      <c r="C190" s="28">
        <f>IF(A190="","",COUNTIF(TL_Date,A190))</f>
        <v/>
      </c>
      <c r="D190" s="28">
        <f>IF(A190="","",COUNTIFS(TL_Date,A190,TL_Net,"&gt;0"))</f>
        <v/>
      </c>
      <c r="E190" s="28">
        <f>IF(A190="","",COUNTIFS(TL_Date,A190,TL_Net,"&lt;0"))</f>
        <v/>
      </c>
      <c r="F190" s="39">
        <f>IF(A190="","",SUMIFS(TL_Gross,TL_Date,A190))</f>
        <v/>
      </c>
      <c r="G190" s="39">
        <f>IF(A190="","",SUMIFS(TL_Chg,TL_Date,A190))</f>
        <v/>
      </c>
      <c r="H190" s="39">
        <f>IF(A190="","",SUMIFS(TL_Net,TL_Date,A190))</f>
        <v/>
      </c>
      <c r="I190" s="39">
        <f>IF(A190="","",SUM($H$6:H190))</f>
        <v/>
      </c>
      <c r="J190" s="39">
        <f>IF(A190="","",Capital+I190)</f>
        <v/>
      </c>
      <c r="K190" s="39">
        <f>IF(A190="","",MAX(Capital,MAX($J$6:J190)))</f>
        <v/>
      </c>
      <c r="L190" s="39">
        <f>IF(A190="","",K190-J190)</f>
        <v/>
      </c>
      <c r="M190" s="58">
        <f>IF(A190="","",L190/K190)</f>
        <v/>
      </c>
      <c r="N190" s="57">
        <f>IF(A190="","",A190-WEEKDAY(A190,3))</f>
        <v/>
      </c>
      <c r="O190" s="39">
        <f>IF(A190="","",SUMIFS($H$6:H190,$N$6:N190,N190))</f>
        <v/>
      </c>
      <c r="P190" s="58">
        <f>IF(A190="","",IFERROR(COUNTIFS(TL_Date,A190,TL_Followed,"Y")/C190,0))</f>
        <v/>
      </c>
      <c r="Q190" s="28">
        <f>IF(A190="","",COUNTIFS(TL_Date,A190,TL_Followed,"N"))</f>
        <v/>
      </c>
      <c r="R190" s="28">
        <f>IF(A190="","",_xlfn.MAXIFS(TL_Lots,TL_Date,A190))</f>
        <v/>
      </c>
      <c r="S190" s="39">
        <f>IF(A190="","",SUMIFS(TL_GiveBack,TL_Date,A190))</f>
        <v/>
      </c>
      <c r="T190" s="28">
        <f>IF(A190="","",COUNTIFS(TL_Date,A190,TL_ExpBreach,"BREACH"))</f>
        <v/>
      </c>
      <c r="U190" s="5">
        <f>IF(A190="","",IF(H190&lt;=-DailyLossLimit,"BREACH","OK"))</f>
        <v/>
      </c>
      <c r="V190" s="5">
        <f>IF(A190="","",IF(C190&gt;MaxTradesDay,"BREACH","OK"))</f>
        <v/>
      </c>
      <c r="W190" s="5">
        <f>IF(A190="","",IF(O190&lt;=-WeeklyDDLimit,"BREACH","OK"))</f>
        <v/>
      </c>
      <c r="X190" s="5">
        <f>IF(A190="","",IF(OR(U190="BREACH",V190="BREACH",W190="BREACH",T190&gt;0,R190&gt;MaxLots),"LIMIT BROKEN","OK"))</f>
        <v/>
      </c>
    </row>
    <row r="191">
      <c r="A191" s="57">
        <f>IF(A190="","",IFERROR(SMALL(TL_Date,COUNTIF(TL_Date,"&lt;="&amp;A190)+1),""))</f>
        <v/>
      </c>
      <c r="B191" s="5">
        <f>IF(A191="","",TEXT(A191,"ddd"))</f>
        <v/>
      </c>
      <c r="C191" s="28">
        <f>IF(A191="","",COUNTIF(TL_Date,A191))</f>
        <v/>
      </c>
      <c r="D191" s="28">
        <f>IF(A191="","",COUNTIFS(TL_Date,A191,TL_Net,"&gt;0"))</f>
        <v/>
      </c>
      <c r="E191" s="28">
        <f>IF(A191="","",COUNTIFS(TL_Date,A191,TL_Net,"&lt;0"))</f>
        <v/>
      </c>
      <c r="F191" s="39">
        <f>IF(A191="","",SUMIFS(TL_Gross,TL_Date,A191))</f>
        <v/>
      </c>
      <c r="G191" s="39">
        <f>IF(A191="","",SUMIFS(TL_Chg,TL_Date,A191))</f>
        <v/>
      </c>
      <c r="H191" s="39">
        <f>IF(A191="","",SUMIFS(TL_Net,TL_Date,A191))</f>
        <v/>
      </c>
      <c r="I191" s="39">
        <f>IF(A191="","",SUM($H$6:H191))</f>
        <v/>
      </c>
      <c r="J191" s="39">
        <f>IF(A191="","",Capital+I191)</f>
        <v/>
      </c>
      <c r="K191" s="39">
        <f>IF(A191="","",MAX(Capital,MAX($J$6:J191)))</f>
        <v/>
      </c>
      <c r="L191" s="39">
        <f>IF(A191="","",K191-J191)</f>
        <v/>
      </c>
      <c r="M191" s="58">
        <f>IF(A191="","",L191/K191)</f>
        <v/>
      </c>
      <c r="N191" s="57">
        <f>IF(A191="","",A191-WEEKDAY(A191,3))</f>
        <v/>
      </c>
      <c r="O191" s="39">
        <f>IF(A191="","",SUMIFS($H$6:H191,$N$6:N191,N191))</f>
        <v/>
      </c>
      <c r="P191" s="58">
        <f>IF(A191="","",IFERROR(COUNTIFS(TL_Date,A191,TL_Followed,"Y")/C191,0))</f>
        <v/>
      </c>
      <c r="Q191" s="28">
        <f>IF(A191="","",COUNTIFS(TL_Date,A191,TL_Followed,"N"))</f>
        <v/>
      </c>
      <c r="R191" s="28">
        <f>IF(A191="","",_xlfn.MAXIFS(TL_Lots,TL_Date,A191))</f>
        <v/>
      </c>
      <c r="S191" s="39">
        <f>IF(A191="","",SUMIFS(TL_GiveBack,TL_Date,A191))</f>
        <v/>
      </c>
      <c r="T191" s="28">
        <f>IF(A191="","",COUNTIFS(TL_Date,A191,TL_ExpBreach,"BREACH"))</f>
        <v/>
      </c>
      <c r="U191" s="5">
        <f>IF(A191="","",IF(H191&lt;=-DailyLossLimit,"BREACH","OK"))</f>
        <v/>
      </c>
      <c r="V191" s="5">
        <f>IF(A191="","",IF(C191&gt;MaxTradesDay,"BREACH","OK"))</f>
        <v/>
      </c>
      <c r="W191" s="5">
        <f>IF(A191="","",IF(O191&lt;=-WeeklyDDLimit,"BREACH","OK"))</f>
        <v/>
      </c>
      <c r="X191" s="5">
        <f>IF(A191="","",IF(OR(U191="BREACH",V191="BREACH",W191="BREACH",T191&gt;0,R191&gt;MaxLots),"LIMIT BROKEN","OK"))</f>
        <v/>
      </c>
    </row>
    <row r="192">
      <c r="A192" s="57">
        <f>IF(A191="","",IFERROR(SMALL(TL_Date,COUNTIF(TL_Date,"&lt;="&amp;A191)+1),""))</f>
        <v/>
      </c>
      <c r="B192" s="5">
        <f>IF(A192="","",TEXT(A192,"ddd"))</f>
        <v/>
      </c>
      <c r="C192" s="28">
        <f>IF(A192="","",COUNTIF(TL_Date,A192))</f>
        <v/>
      </c>
      <c r="D192" s="28">
        <f>IF(A192="","",COUNTIFS(TL_Date,A192,TL_Net,"&gt;0"))</f>
        <v/>
      </c>
      <c r="E192" s="28">
        <f>IF(A192="","",COUNTIFS(TL_Date,A192,TL_Net,"&lt;0"))</f>
        <v/>
      </c>
      <c r="F192" s="39">
        <f>IF(A192="","",SUMIFS(TL_Gross,TL_Date,A192))</f>
        <v/>
      </c>
      <c r="G192" s="39">
        <f>IF(A192="","",SUMIFS(TL_Chg,TL_Date,A192))</f>
        <v/>
      </c>
      <c r="H192" s="39">
        <f>IF(A192="","",SUMIFS(TL_Net,TL_Date,A192))</f>
        <v/>
      </c>
      <c r="I192" s="39">
        <f>IF(A192="","",SUM($H$6:H192))</f>
        <v/>
      </c>
      <c r="J192" s="39">
        <f>IF(A192="","",Capital+I192)</f>
        <v/>
      </c>
      <c r="K192" s="39">
        <f>IF(A192="","",MAX(Capital,MAX($J$6:J192)))</f>
        <v/>
      </c>
      <c r="L192" s="39">
        <f>IF(A192="","",K192-J192)</f>
        <v/>
      </c>
      <c r="M192" s="58">
        <f>IF(A192="","",L192/K192)</f>
        <v/>
      </c>
      <c r="N192" s="57">
        <f>IF(A192="","",A192-WEEKDAY(A192,3))</f>
        <v/>
      </c>
      <c r="O192" s="39">
        <f>IF(A192="","",SUMIFS($H$6:H192,$N$6:N192,N192))</f>
        <v/>
      </c>
      <c r="P192" s="58">
        <f>IF(A192="","",IFERROR(COUNTIFS(TL_Date,A192,TL_Followed,"Y")/C192,0))</f>
        <v/>
      </c>
      <c r="Q192" s="28">
        <f>IF(A192="","",COUNTIFS(TL_Date,A192,TL_Followed,"N"))</f>
        <v/>
      </c>
      <c r="R192" s="28">
        <f>IF(A192="","",_xlfn.MAXIFS(TL_Lots,TL_Date,A192))</f>
        <v/>
      </c>
      <c r="S192" s="39">
        <f>IF(A192="","",SUMIFS(TL_GiveBack,TL_Date,A192))</f>
        <v/>
      </c>
      <c r="T192" s="28">
        <f>IF(A192="","",COUNTIFS(TL_Date,A192,TL_ExpBreach,"BREACH"))</f>
        <v/>
      </c>
      <c r="U192" s="5">
        <f>IF(A192="","",IF(H192&lt;=-DailyLossLimit,"BREACH","OK"))</f>
        <v/>
      </c>
      <c r="V192" s="5">
        <f>IF(A192="","",IF(C192&gt;MaxTradesDay,"BREACH","OK"))</f>
        <v/>
      </c>
      <c r="W192" s="5">
        <f>IF(A192="","",IF(O192&lt;=-WeeklyDDLimit,"BREACH","OK"))</f>
        <v/>
      </c>
      <c r="X192" s="5">
        <f>IF(A192="","",IF(OR(U192="BREACH",V192="BREACH",W192="BREACH",T192&gt;0,R192&gt;MaxLots),"LIMIT BROKEN","OK"))</f>
        <v/>
      </c>
    </row>
    <row r="193">
      <c r="A193" s="57">
        <f>IF(A192="","",IFERROR(SMALL(TL_Date,COUNTIF(TL_Date,"&lt;="&amp;A192)+1),""))</f>
        <v/>
      </c>
      <c r="B193" s="5">
        <f>IF(A193="","",TEXT(A193,"ddd"))</f>
        <v/>
      </c>
      <c r="C193" s="28">
        <f>IF(A193="","",COUNTIF(TL_Date,A193))</f>
        <v/>
      </c>
      <c r="D193" s="28">
        <f>IF(A193="","",COUNTIFS(TL_Date,A193,TL_Net,"&gt;0"))</f>
        <v/>
      </c>
      <c r="E193" s="28">
        <f>IF(A193="","",COUNTIFS(TL_Date,A193,TL_Net,"&lt;0"))</f>
        <v/>
      </c>
      <c r="F193" s="39">
        <f>IF(A193="","",SUMIFS(TL_Gross,TL_Date,A193))</f>
        <v/>
      </c>
      <c r="G193" s="39">
        <f>IF(A193="","",SUMIFS(TL_Chg,TL_Date,A193))</f>
        <v/>
      </c>
      <c r="H193" s="39">
        <f>IF(A193="","",SUMIFS(TL_Net,TL_Date,A193))</f>
        <v/>
      </c>
      <c r="I193" s="39">
        <f>IF(A193="","",SUM($H$6:H193))</f>
        <v/>
      </c>
      <c r="J193" s="39">
        <f>IF(A193="","",Capital+I193)</f>
        <v/>
      </c>
      <c r="K193" s="39">
        <f>IF(A193="","",MAX(Capital,MAX($J$6:J193)))</f>
        <v/>
      </c>
      <c r="L193" s="39">
        <f>IF(A193="","",K193-J193)</f>
        <v/>
      </c>
      <c r="M193" s="58">
        <f>IF(A193="","",L193/K193)</f>
        <v/>
      </c>
      <c r="N193" s="57">
        <f>IF(A193="","",A193-WEEKDAY(A193,3))</f>
        <v/>
      </c>
      <c r="O193" s="39">
        <f>IF(A193="","",SUMIFS($H$6:H193,$N$6:N193,N193))</f>
        <v/>
      </c>
      <c r="P193" s="58">
        <f>IF(A193="","",IFERROR(COUNTIFS(TL_Date,A193,TL_Followed,"Y")/C193,0))</f>
        <v/>
      </c>
      <c r="Q193" s="28">
        <f>IF(A193="","",COUNTIFS(TL_Date,A193,TL_Followed,"N"))</f>
        <v/>
      </c>
      <c r="R193" s="28">
        <f>IF(A193="","",_xlfn.MAXIFS(TL_Lots,TL_Date,A193))</f>
        <v/>
      </c>
      <c r="S193" s="39">
        <f>IF(A193="","",SUMIFS(TL_GiveBack,TL_Date,A193))</f>
        <v/>
      </c>
      <c r="T193" s="28">
        <f>IF(A193="","",COUNTIFS(TL_Date,A193,TL_ExpBreach,"BREACH"))</f>
        <v/>
      </c>
      <c r="U193" s="5">
        <f>IF(A193="","",IF(H193&lt;=-DailyLossLimit,"BREACH","OK"))</f>
        <v/>
      </c>
      <c r="V193" s="5">
        <f>IF(A193="","",IF(C193&gt;MaxTradesDay,"BREACH","OK"))</f>
        <v/>
      </c>
      <c r="W193" s="5">
        <f>IF(A193="","",IF(O193&lt;=-WeeklyDDLimit,"BREACH","OK"))</f>
        <v/>
      </c>
      <c r="X193" s="5">
        <f>IF(A193="","",IF(OR(U193="BREACH",V193="BREACH",W193="BREACH",T193&gt;0,R193&gt;MaxLots),"LIMIT BROKEN","OK"))</f>
        <v/>
      </c>
    </row>
    <row r="194">
      <c r="A194" s="57">
        <f>IF(A193="","",IFERROR(SMALL(TL_Date,COUNTIF(TL_Date,"&lt;="&amp;A193)+1),""))</f>
        <v/>
      </c>
      <c r="B194" s="5">
        <f>IF(A194="","",TEXT(A194,"ddd"))</f>
        <v/>
      </c>
      <c r="C194" s="28">
        <f>IF(A194="","",COUNTIF(TL_Date,A194))</f>
        <v/>
      </c>
      <c r="D194" s="28">
        <f>IF(A194="","",COUNTIFS(TL_Date,A194,TL_Net,"&gt;0"))</f>
        <v/>
      </c>
      <c r="E194" s="28">
        <f>IF(A194="","",COUNTIFS(TL_Date,A194,TL_Net,"&lt;0"))</f>
        <v/>
      </c>
      <c r="F194" s="39">
        <f>IF(A194="","",SUMIFS(TL_Gross,TL_Date,A194))</f>
        <v/>
      </c>
      <c r="G194" s="39">
        <f>IF(A194="","",SUMIFS(TL_Chg,TL_Date,A194))</f>
        <v/>
      </c>
      <c r="H194" s="39">
        <f>IF(A194="","",SUMIFS(TL_Net,TL_Date,A194))</f>
        <v/>
      </c>
      <c r="I194" s="39">
        <f>IF(A194="","",SUM($H$6:H194))</f>
        <v/>
      </c>
      <c r="J194" s="39">
        <f>IF(A194="","",Capital+I194)</f>
        <v/>
      </c>
      <c r="K194" s="39">
        <f>IF(A194="","",MAX(Capital,MAX($J$6:J194)))</f>
        <v/>
      </c>
      <c r="L194" s="39">
        <f>IF(A194="","",K194-J194)</f>
        <v/>
      </c>
      <c r="M194" s="58">
        <f>IF(A194="","",L194/K194)</f>
        <v/>
      </c>
      <c r="N194" s="57">
        <f>IF(A194="","",A194-WEEKDAY(A194,3))</f>
        <v/>
      </c>
      <c r="O194" s="39">
        <f>IF(A194="","",SUMIFS($H$6:H194,$N$6:N194,N194))</f>
        <v/>
      </c>
      <c r="P194" s="58">
        <f>IF(A194="","",IFERROR(COUNTIFS(TL_Date,A194,TL_Followed,"Y")/C194,0))</f>
        <v/>
      </c>
      <c r="Q194" s="28">
        <f>IF(A194="","",COUNTIFS(TL_Date,A194,TL_Followed,"N"))</f>
        <v/>
      </c>
      <c r="R194" s="28">
        <f>IF(A194="","",_xlfn.MAXIFS(TL_Lots,TL_Date,A194))</f>
        <v/>
      </c>
      <c r="S194" s="39">
        <f>IF(A194="","",SUMIFS(TL_GiveBack,TL_Date,A194))</f>
        <v/>
      </c>
      <c r="T194" s="28">
        <f>IF(A194="","",COUNTIFS(TL_Date,A194,TL_ExpBreach,"BREACH"))</f>
        <v/>
      </c>
      <c r="U194" s="5">
        <f>IF(A194="","",IF(H194&lt;=-DailyLossLimit,"BREACH","OK"))</f>
        <v/>
      </c>
      <c r="V194" s="5">
        <f>IF(A194="","",IF(C194&gt;MaxTradesDay,"BREACH","OK"))</f>
        <v/>
      </c>
      <c r="W194" s="5">
        <f>IF(A194="","",IF(O194&lt;=-WeeklyDDLimit,"BREACH","OK"))</f>
        <v/>
      </c>
      <c r="X194" s="5">
        <f>IF(A194="","",IF(OR(U194="BREACH",V194="BREACH",W194="BREACH",T194&gt;0,R194&gt;MaxLots),"LIMIT BROKEN","OK"))</f>
        <v/>
      </c>
    </row>
    <row r="195">
      <c r="A195" s="57">
        <f>IF(A194="","",IFERROR(SMALL(TL_Date,COUNTIF(TL_Date,"&lt;="&amp;A194)+1),""))</f>
        <v/>
      </c>
      <c r="B195" s="5">
        <f>IF(A195="","",TEXT(A195,"ddd"))</f>
        <v/>
      </c>
      <c r="C195" s="28">
        <f>IF(A195="","",COUNTIF(TL_Date,A195))</f>
        <v/>
      </c>
      <c r="D195" s="28">
        <f>IF(A195="","",COUNTIFS(TL_Date,A195,TL_Net,"&gt;0"))</f>
        <v/>
      </c>
      <c r="E195" s="28">
        <f>IF(A195="","",COUNTIFS(TL_Date,A195,TL_Net,"&lt;0"))</f>
        <v/>
      </c>
      <c r="F195" s="39">
        <f>IF(A195="","",SUMIFS(TL_Gross,TL_Date,A195))</f>
        <v/>
      </c>
      <c r="G195" s="39">
        <f>IF(A195="","",SUMIFS(TL_Chg,TL_Date,A195))</f>
        <v/>
      </c>
      <c r="H195" s="39">
        <f>IF(A195="","",SUMIFS(TL_Net,TL_Date,A195))</f>
        <v/>
      </c>
      <c r="I195" s="39">
        <f>IF(A195="","",SUM($H$6:H195))</f>
        <v/>
      </c>
      <c r="J195" s="39">
        <f>IF(A195="","",Capital+I195)</f>
        <v/>
      </c>
      <c r="K195" s="39">
        <f>IF(A195="","",MAX(Capital,MAX($J$6:J195)))</f>
        <v/>
      </c>
      <c r="L195" s="39">
        <f>IF(A195="","",K195-J195)</f>
        <v/>
      </c>
      <c r="M195" s="58">
        <f>IF(A195="","",L195/K195)</f>
        <v/>
      </c>
      <c r="N195" s="57">
        <f>IF(A195="","",A195-WEEKDAY(A195,3))</f>
        <v/>
      </c>
      <c r="O195" s="39">
        <f>IF(A195="","",SUMIFS($H$6:H195,$N$6:N195,N195))</f>
        <v/>
      </c>
      <c r="P195" s="58">
        <f>IF(A195="","",IFERROR(COUNTIFS(TL_Date,A195,TL_Followed,"Y")/C195,0))</f>
        <v/>
      </c>
      <c r="Q195" s="28">
        <f>IF(A195="","",COUNTIFS(TL_Date,A195,TL_Followed,"N"))</f>
        <v/>
      </c>
      <c r="R195" s="28">
        <f>IF(A195="","",_xlfn.MAXIFS(TL_Lots,TL_Date,A195))</f>
        <v/>
      </c>
      <c r="S195" s="39">
        <f>IF(A195="","",SUMIFS(TL_GiveBack,TL_Date,A195))</f>
        <v/>
      </c>
      <c r="T195" s="28">
        <f>IF(A195="","",COUNTIFS(TL_Date,A195,TL_ExpBreach,"BREACH"))</f>
        <v/>
      </c>
      <c r="U195" s="5">
        <f>IF(A195="","",IF(H195&lt;=-DailyLossLimit,"BREACH","OK"))</f>
        <v/>
      </c>
      <c r="V195" s="5">
        <f>IF(A195="","",IF(C195&gt;MaxTradesDay,"BREACH","OK"))</f>
        <v/>
      </c>
      <c r="W195" s="5">
        <f>IF(A195="","",IF(O195&lt;=-WeeklyDDLimit,"BREACH","OK"))</f>
        <v/>
      </c>
      <c r="X195" s="5">
        <f>IF(A195="","",IF(OR(U195="BREACH",V195="BREACH",W195="BREACH",T195&gt;0,R195&gt;MaxLots),"LIMIT BROKEN","OK"))</f>
        <v/>
      </c>
    </row>
    <row r="196">
      <c r="A196" s="57">
        <f>IF(A195="","",IFERROR(SMALL(TL_Date,COUNTIF(TL_Date,"&lt;="&amp;A195)+1),""))</f>
        <v/>
      </c>
      <c r="B196" s="5">
        <f>IF(A196="","",TEXT(A196,"ddd"))</f>
        <v/>
      </c>
      <c r="C196" s="28">
        <f>IF(A196="","",COUNTIF(TL_Date,A196))</f>
        <v/>
      </c>
      <c r="D196" s="28">
        <f>IF(A196="","",COUNTIFS(TL_Date,A196,TL_Net,"&gt;0"))</f>
        <v/>
      </c>
      <c r="E196" s="28">
        <f>IF(A196="","",COUNTIFS(TL_Date,A196,TL_Net,"&lt;0"))</f>
        <v/>
      </c>
      <c r="F196" s="39">
        <f>IF(A196="","",SUMIFS(TL_Gross,TL_Date,A196))</f>
        <v/>
      </c>
      <c r="G196" s="39">
        <f>IF(A196="","",SUMIFS(TL_Chg,TL_Date,A196))</f>
        <v/>
      </c>
      <c r="H196" s="39">
        <f>IF(A196="","",SUMIFS(TL_Net,TL_Date,A196))</f>
        <v/>
      </c>
      <c r="I196" s="39">
        <f>IF(A196="","",SUM($H$6:H196))</f>
        <v/>
      </c>
      <c r="J196" s="39">
        <f>IF(A196="","",Capital+I196)</f>
        <v/>
      </c>
      <c r="K196" s="39">
        <f>IF(A196="","",MAX(Capital,MAX($J$6:J196)))</f>
        <v/>
      </c>
      <c r="L196" s="39">
        <f>IF(A196="","",K196-J196)</f>
        <v/>
      </c>
      <c r="M196" s="58">
        <f>IF(A196="","",L196/K196)</f>
        <v/>
      </c>
      <c r="N196" s="57">
        <f>IF(A196="","",A196-WEEKDAY(A196,3))</f>
        <v/>
      </c>
      <c r="O196" s="39">
        <f>IF(A196="","",SUMIFS($H$6:H196,$N$6:N196,N196))</f>
        <v/>
      </c>
      <c r="P196" s="58">
        <f>IF(A196="","",IFERROR(COUNTIFS(TL_Date,A196,TL_Followed,"Y")/C196,0))</f>
        <v/>
      </c>
      <c r="Q196" s="28">
        <f>IF(A196="","",COUNTIFS(TL_Date,A196,TL_Followed,"N"))</f>
        <v/>
      </c>
      <c r="R196" s="28">
        <f>IF(A196="","",_xlfn.MAXIFS(TL_Lots,TL_Date,A196))</f>
        <v/>
      </c>
      <c r="S196" s="39">
        <f>IF(A196="","",SUMIFS(TL_GiveBack,TL_Date,A196))</f>
        <v/>
      </c>
      <c r="T196" s="28">
        <f>IF(A196="","",COUNTIFS(TL_Date,A196,TL_ExpBreach,"BREACH"))</f>
        <v/>
      </c>
      <c r="U196" s="5">
        <f>IF(A196="","",IF(H196&lt;=-DailyLossLimit,"BREACH","OK"))</f>
        <v/>
      </c>
      <c r="V196" s="5">
        <f>IF(A196="","",IF(C196&gt;MaxTradesDay,"BREACH","OK"))</f>
        <v/>
      </c>
      <c r="W196" s="5">
        <f>IF(A196="","",IF(O196&lt;=-WeeklyDDLimit,"BREACH","OK"))</f>
        <v/>
      </c>
      <c r="X196" s="5">
        <f>IF(A196="","",IF(OR(U196="BREACH",V196="BREACH",W196="BREACH",T196&gt;0,R196&gt;MaxLots),"LIMIT BROKEN","OK"))</f>
        <v/>
      </c>
    </row>
    <row r="197">
      <c r="A197" s="57">
        <f>IF(A196="","",IFERROR(SMALL(TL_Date,COUNTIF(TL_Date,"&lt;="&amp;A196)+1),""))</f>
        <v/>
      </c>
      <c r="B197" s="5">
        <f>IF(A197="","",TEXT(A197,"ddd"))</f>
        <v/>
      </c>
      <c r="C197" s="28">
        <f>IF(A197="","",COUNTIF(TL_Date,A197))</f>
        <v/>
      </c>
      <c r="D197" s="28">
        <f>IF(A197="","",COUNTIFS(TL_Date,A197,TL_Net,"&gt;0"))</f>
        <v/>
      </c>
      <c r="E197" s="28">
        <f>IF(A197="","",COUNTIFS(TL_Date,A197,TL_Net,"&lt;0"))</f>
        <v/>
      </c>
      <c r="F197" s="39">
        <f>IF(A197="","",SUMIFS(TL_Gross,TL_Date,A197))</f>
        <v/>
      </c>
      <c r="G197" s="39">
        <f>IF(A197="","",SUMIFS(TL_Chg,TL_Date,A197))</f>
        <v/>
      </c>
      <c r="H197" s="39">
        <f>IF(A197="","",SUMIFS(TL_Net,TL_Date,A197))</f>
        <v/>
      </c>
      <c r="I197" s="39">
        <f>IF(A197="","",SUM($H$6:H197))</f>
        <v/>
      </c>
      <c r="J197" s="39">
        <f>IF(A197="","",Capital+I197)</f>
        <v/>
      </c>
      <c r="K197" s="39">
        <f>IF(A197="","",MAX(Capital,MAX($J$6:J197)))</f>
        <v/>
      </c>
      <c r="L197" s="39">
        <f>IF(A197="","",K197-J197)</f>
        <v/>
      </c>
      <c r="M197" s="58">
        <f>IF(A197="","",L197/K197)</f>
        <v/>
      </c>
      <c r="N197" s="57">
        <f>IF(A197="","",A197-WEEKDAY(A197,3))</f>
        <v/>
      </c>
      <c r="O197" s="39">
        <f>IF(A197="","",SUMIFS($H$6:H197,$N$6:N197,N197))</f>
        <v/>
      </c>
      <c r="P197" s="58">
        <f>IF(A197="","",IFERROR(COUNTIFS(TL_Date,A197,TL_Followed,"Y")/C197,0))</f>
        <v/>
      </c>
      <c r="Q197" s="28">
        <f>IF(A197="","",COUNTIFS(TL_Date,A197,TL_Followed,"N"))</f>
        <v/>
      </c>
      <c r="R197" s="28">
        <f>IF(A197="","",_xlfn.MAXIFS(TL_Lots,TL_Date,A197))</f>
        <v/>
      </c>
      <c r="S197" s="39">
        <f>IF(A197="","",SUMIFS(TL_GiveBack,TL_Date,A197))</f>
        <v/>
      </c>
      <c r="T197" s="28">
        <f>IF(A197="","",COUNTIFS(TL_Date,A197,TL_ExpBreach,"BREACH"))</f>
        <v/>
      </c>
      <c r="U197" s="5">
        <f>IF(A197="","",IF(H197&lt;=-DailyLossLimit,"BREACH","OK"))</f>
        <v/>
      </c>
      <c r="V197" s="5">
        <f>IF(A197="","",IF(C197&gt;MaxTradesDay,"BREACH","OK"))</f>
        <v/>
      </c>
      <c r="W197" s="5">
        <f>IF(A197="","",IF(O197&lt;=-WeeklyDDLimit,"BREACH","OK"))</f>
        <v/>
      </c>
      <c r="X197" s="5">
        <f>IF(A197="","",IF(OR(U197="BREACH",V197="BREACH",W197="BREACH",T197&gt;0,R197&gt;MaxLots),"LIMIT BROKEN","OK"))</f>
        <v/>
      </c>
    </row>
    <row r="198">
      <c r="A198" s="57">
        <f>IF(A197="","",IFERROR(SMALL(TL_Date,COUNTIF(TL_Date,"&lt;="&amp;A197)+1),""))</f>
        <v/>
      </c>
      <c r="B198" s="5">
        <f>IF(A198="","",TEXT(A198,"ddd"))</f>
        <v/>
      </c>
      <c r="C198" s="28">
        <f>IF(A198="","",COUNTIF(TL_Date,A198))</f>
        <v/>
      </c>
      <c r="D198" s="28">
        <f>IF(A198="","",COUNTIFS(TL_Date,A198,TL_Net,"&gt;0"))</f>
        <v/>
      </c>
      <c r="E198" s="28">
        <f>IF(A198="","",COUNTIFS(TL_Date,A198,TL_Net,"&lt;0"))</f>
        <v/>
      </c>
      <c r="F198" s="39">
        <f>IF(A198="","",SUMIFS(TL_Gross,TL_Date,A198))</f>
        <v/>
      </c>
      <c r="G198" s="39">
        <f>IF(A198="","",SUMIFS(TL_Chg,TL_Date,A198))</f>
        <v/>
      </c>
      <c r="H198" s="39">
        <f>IF(A198="","",SUMIFS(TL_Net,TL_Date,A198))</f>
        <v/>
      </c>
      <c r="I198" s="39">
        <f>IF(A198="","",SUM($H$6:H198))</f>
        <v/>
      </c>
      <c r="J198" s="39">
        <f>IF(A198="","",Capital+I198)</f>
        <v/>
      </c>
      <c r="K198" s="39">
        <f>IF(A198="","",MAX(Capital,MAX($J$6:J198)))</f>
        <v/>
      </c>
      <c r="L198" s="39">
        <f>IF(A198="","",K198-J198)</f>
        <v/>
      </c>
      <c r="M198" s="58">
        <f>IF(A198="","",L198/K198)</f>
        <v/>
      </c>
      <c r="N198" s="57">
        <f>IF(A198="","",A198-WEEKDAY(A198,3))</f>
        <v/>
      </c>
      <c r="O198" s="39">
        <f>IF(A198="","",SUMIFS($H$6:H198,$N$6:N198,N198))</f>
        <v/>
      </c>
      <c r="P198" s="58">
        <f>IF(A198="","",IFERROR(COUNTIFS(TL_Date,A198,TL_Followed,"Y")/C198,0))</f>
        <v/>
      </c>
      <c r="Q198" s="28">
        <f>IF(A198="","",COUNTIFS(TL_Date,A198,TL_Followed,"N"))</f>
        <v/>
      </c>
      <c r="R198" s="28">
        <f>IF(A198="","",_xlfn.MAXIFS(TL_Lots,TL_Date,A198))</f>
        <v/>
      </c>
      <c r="S198" s="39">
        <f>IF(A198="","",SUMIFS(TL_GiveBack,TL_Date,A198))</f>
        <v/>
      </c>
      <c r="T198" s="28">
        <f>IF(A198="","",COUNTIFS(TL_Date,A198,TL_ExpBreach,"BREACH"))</f>
        <v/>
      </c>
      <c r="U198" s="5">
        <f>IF(A198="","",IF(H198&lt;=-DailyLossLimit,"BREACH","OK"))</f>
        <v/>
      </c>
      <c r="V198" s="5">
        <f>IF(A198="","",IF(C198&gt;MaxTradesDay,"BREACH","OK"))</f>
        <v/>
      </c>
      <c r="W198" s="5">
        <f>IF(A198="","",IF(O198&lt;=-WeeklyDDLimit,"BREACH","OK"))</f>
        <v/>
      </c>
      <c r="X198" s="5">
        <f>IF(A198="","",IF(OR(U198="BREACH",V198="BREACH",W198="BREACH",T198&gt;0,R198&gt;MaxLots),"LIMIT BROKEN","OK"))</f>
        <v/>
      </c>
    </row>
    <row r="199">
      <c r="A199" s="57">
        <f>IF(A198="","",IFERROR(SMALL(TL_Date,COUNTIF(TL_Date,"&lt;="&amp;A198)+1),""))</f>
        <v/>
      </c>
      <c r="B199" s="5">
        <f>IF(A199="","",TEXT(A199,"ddd"))</f>
        <v/>
      </c>
      <c r="C199" s="28">
        <f>IF(A199="","",COUNTIF(TL_Date,A199))</f>
        <v/>
      </c>
      <c r="D199" s="28">
        <f>IF(A199="","",COUNTIFS(TL_Date,A199,TL_Net,"&gt;0"))</f>
        <v/>
      </c>
      <c r="E199" s="28">
        <f>IF(A199="","",COUNTIFS(TL_Date,A199,TL_Net,"&lt;0"))</f>
        <v/>
      </c>
      <c r="F199" s="39">
        <f>IF(A199="","",SUMIFS(TL_Gross,TL_Date,A199))</f>
        <v/>
      </c>
      <c r="G199" s="39">
        <f>IF(A199="","",SUMIFS(TL_Chg,TL_Date,A199))</f>
        <v/>
      </c>
      <c r="H199" s="39">
        <f>IF(A199="","",SUMIFS(TL_Net,TL_Date,A199))</f>
        <v/>
      </c>
      <c r="I199" s="39">
        <f>IF(A199="","",SUM($H$6:H199))</f>
        <v/>
      </c>
      <c r="J199" s="39">
        <f>IF(A199="","",Capital+I199)</f>
        <v/>
      </c>
      <c r="K199" s="39">
        <f>IF(A199="","",MAX(Capital,MAX($J$6:J199)))</f>
        <v/>
      </c>
      <c r="L199" s="39">
        <f>IF(A199="","",K199-J199)</f>
        <v/>
      </c>
      <c r="M199" s="58">
        <f>IF(A199="","",L199/K199)</f>
        <v/>
      </c>
      <c r="N199" s="57">
        <f>IF(A199="","",A199-WEEKDAY(A199,3))</f>
        <v/>
      </c>
      <c r="O199" s="39">
        <f>IF(A199="","",SUMIFS($H$6:H199,$N$6:N199,N199))</f>
        <v/>
      </c>
      <c r="P199" s="58">
        <f>IF(A199="","",IFERROR(COUNTIFS(TL_Date,A199,TL_Followed,"Y")/C199,0))</f>
        <v/>
      </c>
      <c r="Q199" s="28">
        <f>IF(A199="","",COUNTIFS(TL_Date,A199,TL_Followed,"N"))</f>
        <v/>
      </c>
      <c r="R199" s="28">
        <f>IF(A199="","",_xlfn.MAXIFS(TL_Lots,TL_Date,A199))</f>
        <v/>
      </c>
      <c r="S199" s="39">
        <f>IF(A199="","",SUMIFS(TL_GiveBack,TL_Date,A199))</f>
        <v/>
      </c>
      <c r="T199" s="28">
        <f>IF(A199="","",COUNTIFS(TL_Date,A199,TL_ExpBreach,"BREACH"))</f>
        <v/>
      </c>
      <c r="U199" s="5">
        <f>IF(A199="","",IF(H199&lt;=-DailyLossLimit,"BREACH","OK"))</f>
        <v/>
      </c>
      <c r="V199" s="5">
        <f>IF(A199="","",IF(C199&gt;MaxTradesDay,"BREACH","OK"))</f>
        <v/>
      </c>
      <c r="W199" s="5">
        <f>IF(A199="","",IF(O199&lt;=-WeeklyDDLimit,"BREACH","OK"))</f>
        <v/>
      </c>
      <c r="X199" s="5">
        <f>IF(A199="","",IF(OR(U199="BREACH",V199="BREACH",W199="BREACH",T199&gt;0,R199&gt;MaxLots),"LIMIT BROKEN","OK"))</f>
        <v/>
      </c>
    </row>
    <row r="200">
      <c r="A200" s="57">
        <f>IF(A199="","",IFERROR(SMALL(TL_Date,COUNTIF(TL_Date,"&lt;="&amp;A199)+1),""))</f>
        <v/>
      </c>
      <c r="B200" s="5">
        <f>IF(A200="","",TEXT(A200,"ddd"))</f>
        <v/>
      </c>
      <c r="C200" s="28">
        <f>IF(A200="","",COUNTIF(TL_Date,A200))</f>
        <v/>
      </c>
      <c r="D200" s="28">
        <f>IF(A200="","",COUNTIFS(TL_Date,A200,TL_Net,"&gt;0"))</f>
        <v/>
      </c>
      <c r="E200" s="28">
        <f>IF(A200="","",COUNTIFS(TL_Date,A200,TL_Net,"&lt;0"))</f>
        <v/>
      </c>
      <c r="F200" s="39">
        <f>IF(A200="","",SUMIFS(TL_Gross,TL_Date,A200))</f>
        <v/>
      </c>
      <c r="G200" s="39">
        <f>IF(A200="","",SUMIFS(TL_Chg,TL_Date,A200))</f>
        <v/>
      </c>
      <c r="H200" s="39">
        <f>IF(A200="","",SUMIFS(TL_Net,TL_Date,A200))</f>
        <v/>
      </c>
      <c r="I200" s="39">
        <f>IF(A200="","",SUM($H$6:H200))</f>
        <v/>
      </c>
      <c r="J200" s="39">
        <f>IF(A200="","",Capital+I200)</f>
        <v/>
      </c>
      <c r="K200" s="39">
        <f>IF(A200="","",MAX(Capital,MAX($J$6:J200)))</f>
        <v/>
      </c>
      <c r="L200" s="39">
        <f>IF(A200="","",K200-J200)</f>
        <v/>
      </c>
      <c r="M200" s="58">
        <f>IF(A200="","",L200/K200)</f>
        <v/>
      </c>
      <c r="N200" s="57">
        <f>IF(A200="","",A200-WEEKDAY(A200,3))</f>
        <v/>
      </c>
      <c r="O200" s="39">
        <f>IF(A200="","",SUMIFS($H$6:H200,$N$6:N200,N200))</f>
        <v/>
      </c>
      <c r="P200" s="58">
        <f>IF(A200="","",IFERROR(COUNTIFS(TL_Date,A200,TL_Followed,"Y")/C200,0))</f>
        <v/>
      </c>
      <c r="Q200" s="28">
        <f>IF(A200="","",COUNTIFS(TL_Date,A200,TL_Followed,"N"))</f>
        <v/>
      </c>
      <c r="R200" s="28">
        <f>IF(A200="","",_xlfn.MAXIFS(TL_Lots,TL_Date,A200))</f>
        <v/>
      </c>
      <c r="S200" s="39">
        <f>IF(A200="","",SUMIFS(TL_GiveBack,TL_Date,A200))</f>
        <v/>
      </c>
      <c r="T200" s="28">
        <f>IF(A200="","",COUNTIFS(TL_Date,A200,TL_ExpBreach,"BREACH"))</f>
        <v/>
      </c>
      <c r="U200" s="5">
        <f>IF(A200="","",IF(H200&lt;=-DailyLossLimit,"BREACH","OK"))</f>
        <v/>
      </c>
      <c r="V200" s="5">
        <f>IF(A200="","",IF(C200&gt;MaxTradesDay,"BREACH","OK"))</f>
        <v/>
      </c>
      <c r="W200" s="5">
        <f>IF(A200="","",IF(O200&lt;=-WeeklyDDLimit,"BREACH","OK"))</f>
        <v/>
      </c>
      <c r="X200" s="5">
        <f>IF(A200="","",IF(OR(U200="BREACH",V200="BREACH",W200="BREACH",T200&gt;0,R200&gt;MaxLots),"LIMIT BROKEN","OK"))</f>
        <v/>
      </c>
    </row>
    <row r="201">
      <c r="A201" s="57">
        <f>IF(A200="","",IFERROR(SMALL(TL_Date,COUNTIF(TL_Date,"&lt;="&amp;A200)+1),""))</f>
        <v/>
      </c>
      <c r="B201" s="5">
        <f>IF(A201="","",TEXT(A201,"ddd"))</f>
        <v/>
      </c>
      <c r="C201" s="28">
        <f>IF(A201="","",COUNTIF(TL_Date,A201))</f>
        <v/>
      </c>
      <c r="D201" s="28">
        <f>IF(A201="","",COUNTIFS(TL_Date,A201,TL_Net,"&gt;0"))</f>
        <v/>
      </c>
      <c r="E201" s="28">
        <f>IF(A201="","",COUNTIFS(TL_Date,A201,TL_Net,"&lt;0"))</f>
        <v/>
      </c>
      <c r="F201" s="39">
        <f>IF(A201="","",SUMIFS(TL_Gross,TL_Date,A201))</f>
        <v/>
      </c>
      <c r="G201" s="39">
        <f>IF(A201="","",SUMIFS(TL_Chg,TL_Date,A201))</f>
        <v/>
      </c>
      <c r="H201" s="39">
        <f>IF(A201="","",SUMIFS(TL_Net,TL_Date,A201))</f>
        <v/>
      </c>
      <c r="I201" s="39">
        <f>IF(A201="","",SUM($H$6:H201))</f>
        <v/>
      </c>
      <c r="J201" s="39">
        <f>IF(A201="","",Capital+I201)</f>
        <v/>
      </c>
      <c r="K201" s="39">
        <f>IF(A201="","",MAX(Capital,MAX($J$6:J201)))</f>
        <v/>
      </c>
      <c r="L201" s="39">
        <f>IF(A201="","",K201-J201)</f>
        <v/>
      </c>
      <c r="M201" s="58">
        <f>IF(A201="","",L201/K201)</f>
        <v/>
      </c>
      <c r="N201" s="57">
        <f>IF(A201="","",A201-WEEKDAY(A201,3))</f>
        <v/>
      </c>
      <c r="O201" s="39">
        <f>IF(A201="","",SUMIFS($H$6:H201,$N$6:N201,N201))</f>
        <v/>
      </c>
      <c r="P201" s="58">
        <f>IF(A201="","",IFERROR(COUNTIFS(TL_Date,A201,TL_Followed,"Y")/C201,0))</f>
        <v/>
      </c>
      <c r="Q201" s="28">
        <f>IF(A201="","",COUNTIFS(TL_Date,A201,TL_Followed,"N"))</f>
        <v/>
      </c>
      <c r="R201" s="28">
        <f>IF(A201="","",_xlfn.MAXIFS(TL_Lots,TL_Date,A201))</f>
        <v/>
      </c>
      <c r="S201" s="39">
        <f>IF(A201="","",SUMIFS(TL_GiveBack,TL_Date,A201))</f>
        <v/>
      </c>
      <c r="T201" s="28">
        <f>IF(A201="","",COUNTIFS(TL_Date,A201,TL_ExpBreach,"BREACH"))</f>
        <v/>
      </c>
      <c r="U201" s="5">
        <f>IF(A201="","",IF(H201&lt;=-DailyLossLimit,"BREACH","OK"))</f>
        <v/>
      </c>
      <c r="V201" s="5">
        <f>IF(A201="","",IF(C201&gt;MaxTradesDay,"BREACH","OK"))</f>
        <v/>
      </c>
      <c r="W201" s="5">
        <f>IF(A201="","",IF(O201&lt;=-WeeklyDDLimit,"BREACH","OK"))</f>
        <v/>
      </c>
      <c r="X201" s="5">
        <f>IF(A201="","",IF(OR(U201="BREACH",V201="BREACH",W201="BREACH",T201&gt;0,R201&gt;MaxLots),"LIMIT BROKEN","OK"))</f>
        <v/>
      </c>
    </row>
    <row r="202">
      <c r="A202" s="57">
        <f>IF(A201="","",IFERROR(SMALL(TL_Date,COUNTIF(TL_Date,"&lt;="&amp;A201)+1),""))</f>
        <v/>
      </c>
      <c r="B202" s="5">
        <f>IF(A202="","",TEXT(A202,"ddd"))</f>
        <v/>
      </c>
      <c r="C202" s="28">
        <f>IF(A202="","",COUNTIF(TL_Date,A202))</f>
        <v/>
      </c>
      <c r="D202" s="28">
        <f>IF(A202="","",COUNTIFS(TL_Date,A202,TL_Net,"&gt;0"))</f>
        <v/>
      </c>
      <c r="E202" s="28">
        <f>IF(A202="","",COUNTIFS(TL_Date,A202,TL_Net,"&lt;0"))</f>
        <v/>
      </c>
      <c r="F202" s="39">
        <f>IF(A202="","",SUMIFS(TL_Gross,TL_Date,A202))</f>
        <v/>
      </c>
      <c r="G202" s="39">
        <f>IF(A202="","",SUMIFS(TL_Chg,TL_Date,A202))</f>
        <v/>
      </c>
      <c r="H202" s="39">
        <f>IF(A202="","",SUMIFS(TL_Net,TL_Date,A202))</f>
        <v/>
      </c>
      <c r="I202" s="39">
        <f>IF(A202="","",SUM($H$6:H202))</f>
        <v/>
      </c>
      <c r="J202" s="39">
        <f>IF(A202="","",Capital+I202)</f>
        <v/>
      </c>
      <c r="K202" s="39">
        <f>IF(A202="","",MAX(Capital,MAX($J$6:J202)))</f>
        <v/>
      </c>
      <c r="L202" s="39">
        <f>IF(A202="","",K202-J202)</f>
        <v/>
      </c>
      <c r="M202" s="58">
        <f>IF(A202="","",L202/K202)</f>
        <v/>
      </c>
      <c r="N202" s="57">
        <f>IF(A202="","",A202-WEEKDAY(A202,3))</f>
        <v/>
      </c>
      <c r="O202" s="39">
        <f>IF(A202="","",SUMIFS($H$6:H202,$N$6:N202,N202))</f>
        <v/>
      </c>
      <c r="P202" s="58">
        <f>IF(A202="","",IFERROR(COUNTIFS(TL_Date,A202,TL_Followed,"Y")/C202,0))</f>
        <v/>
      </c>
      <c r="Q202" s="28">
        <f>IF(A202="","",COUNTIFS(TL_Date,A202,TL_Followed,"N"))</f>
        <v/>
      </c>
      <c r="R202" s="28">
        <f>IF(A202="","",_xlfn.MAXIFS(TL_Lots,TL_Date,A202))</f>
        <v/>
      </c>
      <c r="S202" s="39">
        <f>IF(A202="","",SUMIFS(TL_GiveBack,TL_Date,A202))</f>
        <v/>
      </c>
      <c r="T202" s="28">
        <f>IF(A202="","",COUNTIFS(TL_Date,A202,TL_ExpBreach,"BREACH"))</f>
        <v/>
      </c>
      <c r="U202" s="5">
        <f>IF(A202="","",IF(H202&lt;=-DailyLossLimit,"BREACH","OK"))</f>
        <v/>
      </c>
      <c r="V202" s="5">
        <f>IF(A202="","",IF(C202&gt;MaxTradesDay,"BREACH","OK"))</f>
        <v/>
      </c>
      <c r="W202" s="5">
        <f>IF(A202="","",IF(O202&lt;=-WeeklyDDLimit,"BREACH","OK"))</f>
        <v/>
      </c>
      <c r="X202" s="5">
        <f>IF(A202="","",IF(OR(U202="BREACH",V202="BREACH",W202="BREACH",T202&gt;0,R202&gt;MaxLots),"LIMIT BROKEN","OK"))</f>
        <v/>
      </c>
    </row>
    <row r="203">
      <c r="A203" s="57">
        <f>IF(A202="","",IFERROR(SMALL(TL_Date,COUNTIF(TL_Date,"&lt;="&amp;A202)+1),""))</f>
        <v/>
      </c>
      <c r="B203" s="5">
        <f>IF(A203="","",TEXT(A203,"ddd"))</f>
        <v/>
      </c>
      <c r="C203" s="28">
        <f>IF(A203="","",COUNTIF(TL_Date,A203))</f>
        <v/>
      </c>
      <c r="D203" s="28">
        <f>IF(A203="","",COUNTIFS(TL_Date,A203,TL_Net,"&gt;0"))</f>
        <v/>
      </c>
      <c r="E203" s="28">
        <f>IF(A203="","",COUNTIFS(TL_Date,A203,TL_Net,"&lt;0"))</f>
        <v/>
      </c>
      <c r="F203" s="39">
        <f>IF(A203="","",SUMIFS(TL_Gross,TL_Date,A203))</f>
        <v/>
      </c>
      <c r="G203" s="39">
        <f>IF(A203="","",SUMIFS(TL_Chg,TL_Date,A203))</f>
        <v/>
      </c>
      <c r="H203" s="39">
        <f>IF(A203="","",SUMIFS(TL_Net,TL_Date,A203))</f>
        <v/>
      </c>
      <c r="I203" s="39">
        <f>IF(A203="","",SUM($H$6:H203))</f>
        <v/>
      </c>
      <c r="J203" s="39">
        <f>IF(A203="","",Capital+I203)</f>
        <v/>
      </c>
      <c r="K203" s="39">
        <f>IF(A203="","",MAX(Capital,MAX($J$6:J203)))</f>
        <v/>
      </c>
      <c r="L203" s="39">
        <f>IF(A203="","",K203-J203)</f>
        <v/>
      </c>
      <c r="M203" s="58">
        <f>IF(A203="","",L203/K203)</f>
        <v/>
      </c>
      <c r="N203" s="57">
        <f>IF(A203="","",A203-WEEKDAY(A203,3))</f>
        <v/>
      </c>
      <c r="O203" s="39">
        <f>IF(A203="","",SUMIFS($H$6:H203,$N$6:N203,N203))</f>
        <v/>
      </c>
      <c r="P203" s="58">
        <f>IF(A203="","",IFERROR(COUNTIFS(TL_Date,A203,TL_Followed,"Y")/C203,0))</f>
        <v/>
      </c>
      <c r="Q203" s="28">
        <f>IF(A203="","",COUNTIFS(TL_Date,A203,TL_Followed,"N"))</f>
        <v/>
      </c>
      <c r="R203" s="28">
        <f>IF(A203="","",_xlfn.MAXIFS(TL_Lots,TL_Date,A203))</f>
        <v/>
      </c>
      <c r="S203" s="39">
        <f>IF(A203="","",SUMIFS(TL_GiveBack,TL_Date,A203))</f>
        <v/>
      </c>
      <c r="T203" s="28">
        <f>IF(A203="","",COUNTIFS(TL_Date,A203,TL_ExpBreach,"BREACH"))</f>
        <v/>
      </c>
      <c r="U203" s="5">
        <f>IF(A203="","",IF(H203&lt;=-DailyLossLimit,"BREACH","OK"))</f>
        <v/>
      </c>
      <c r="V203" s="5">
        <f>IF(A203="","",IF(C203&gt;MaxTradesDay,"BREACH","OK"))</f>
        <v/>
      </c>
      <c r="W203" s="5">
        <f>IF(A203="","",IF(O203&lt;=-WeeklyDDLimit,"BREACH","OK"))</f>
        <v/>
      </c>
      <c r="X203" s="5">
        <f>IF(A203="","",IF(OR(U203="BREACH",V203="BREACH",W203="BREACH",T203&gt;0,R203&gt;MaxLots),"LIMIT BROKEN","OK"))</f>
        <v/>
      </c>
    </row>
    <row r="204">
      <c r="A204" s="57">
        <f>IF(A203="","",IFERROR(SMALL(TL_Date,COUNTIF(TL_Date,"&lt;="&amp;A203)+1),""))</f>
        <v/>
      </c>
      <c r="B204" s="5">
        <f>IF(A204="","",TEXT(A204,"ddd"))</f>
        <v/>
      </c>
      <c r="C204" s="28">
        <f>IF(A204="","",COUNTIF(TL_Date,A204))</f>
        <v/>
      </c>
      <c r="D204" s="28">
        <f>IF(A204="","",COUNTIFS(TL_Date,A204,TL_Net,"&gt;0"))</f>
        <v/>
      </c>
      <c r="E204" s="28">
        <f>IF(A204="","",COUNTIFS(TL_Date,A204,TL_Net,"&lt;0"))</f>
        <v/>
      </c>
      <c r="F204" s="39">
        <f>IF(A204="","",SUMIFS(TL_Gross,TL_Date,A204))</f>
        <v/>
      </c>
      <c r="G204" s="39">
        <f>IF(A204="","",SUMIFS(TL_Chg,TL_Date,A204))</f>
        <v/>
      </c>
      <c r="H204" s="39">
        <f>IF(A204="","",SUMIFS(TL_Net,TL_Date,A204))</f>
        <v/>
      </c>
      <c r="I204" s="39">
        <f>IF(A204="","",SUM($H$6:H204))</f>
        <v/>
      </c>
      <c r="J204" s="39">
        <f>IF(A204="","",Capital+I204)</f>
        <v/>
      </c>
      <c r="K204" s="39">
        <f>IF(A204="","",MAX(Capital,MAX($J$6:J204)))</f>
        <v/>
      </c>
      <c r="L204" s="39">
        <f>IF(A204="","",K204-J204)</f>
        <v/>
      </c>
      <c r="M204" s="58">
        <f>IF(A204="","",L204/K204)</f>
        <v/>
      </c>
      <c r="N204" s="57">
        <f>IF(A204="","",A204-WEEKDAY(A204,3))</f>
        <v/>
      </c>
      <c r="O204" s="39">
        <f>IF(A204="","",SUMIFS($H$6:H204,$N$6:N204,N204))</f>
        <v/>
      </c>
      <c r="P204" s="58">
        <f>IF(A204="","",IFERROR(COUNTIFS(TL_Date,A204,TL_Followed,"Y")/C204,0))</f>
        <v/>
      </c>
      <c r="Q204" s="28">
        <f>IF(A204="","",COUNTIFS(TL_Date,A204,TL_Followed,"N"))</f>
        <v/>
      </c>
      <c r="R204" s="28">
        <f>IF(A204="","",_xlfn.MAXIFS(TL_Lots,TL_Date,A204))</f>
        <v/>
      </c>
      <c r="S204" s="39">
        <f>IF(A204="","",SUMIFS(TL_GiveBack,TL_Date,A204))</f>
        <v/>
      </c>
      <c r="T204" s="28">
        <f>IF(A204="","",COUNTIFS(TL_Date,A204,TL_ExpBreach,"BREACH"))</f>
        <v/>
      </c>
      <c r="U204" s="5">
        <f>IF(A204="","",IF(H204&lt;=-DailyLossLimit,"BREACH","OK"))</f>
        <v/>
      </c>
      <c r="V204" s="5">
        <f>IF(A204="","",IF(C204&gt;MaxTradesDay,"BREACH","OK"))</f>
        <v/>
      </c>
      <c r="W204" s="5">
        <f>IF(A204="","",IF(O204&lt;=-WeeklyDDLimit,"BREACH","OK"))</f>
        <v/>
      </c>
      <c r="X204" s="5">
        <f>IF(A204="","",IF(OR(U204="BREACH",V204="BREACH",W204="BREACH",T204&gt;0,R204&gt;MaxLots),"LIMIT BROKEN","OK"))</f>
        <v/>
      </c>
    </row>
    <row r="205">
      <c r="A205" s="57">
        <f>IF(A204="","",IFERROR(SMALL(TL_Date,COUNTIF(TL_Date,"&lt;="&amp;A204)+1),""))</f>
        <v/>
      </c>
      <c r="B205" s="5">
        <f>IF(A205="","",TEXT(A205,"ddd"))</f>
        <v/>
      </c>
      <c r="C205" s="28">
        <f>IF(A205="","",COUNTIF(TL_Date,A205))</f>
        <v/>
      </c>
      <c r="D205" s="28">
        <f>IF(A205="","",COUNTIFS(TL_Date,A205,TL_Net,"&gt;0"))</f>
        <v/>
      </c>
      <c r="E205" s="28">
        <f>IF(A205="","",COUNTIFS(TL_Date,A205,TL_Net,"&lt;0"))</f>
        <v/>
      </c>
      <c r="F205" s="39">
        <f>IF(A205="","",SUMIFS(TL_Gross,TL_Date,A205))</f>
        <v/>
      </c>
      <c r="G205" s="39">
        <f>IF(A205="","",SUMIFS(TL_Chg,TL_Date,A205))</f>
        <v/>
      </c>
      <c r="H205" s="39">
        <f>IF(A205="","",SUMIFS(TL_Net,TL_Date,A205))</f>
        <v/>
      </c>
      <c r="I205" s="39">
        <f>IF(A205="","",SUM($H$6:H205))</f>
        <v/>
      </c>
      <c r="J205" s="39">
        <f>IF(A205="","",Capital+I205)</f>
        <v/>
      </c>
      <c r="K205" s="39">
        <f>IF(A205="","",MAX(Capital,MAX($J$6:J205)))</f>
        <v/>
      </c>
      <c r="L205" s="39">
        <f>IF(A205="","",K205-J205)</f>
        <v/>
      </c>
      <c r="M205" s="58">
        <f>IF(A205="","",L205/K205)</f>
        <v/>
      </c>
      <c r="N205" s="57">
        <f>IF(A205="","",A205-WEEKDAY(A205,3))</f>
        <v/>
      </c>
      <c r="O205" s="39">
        <f>IF(A205="","",SUMIFS($H$6:H205,$N$6:N205,N205))</f>
        <v/>
      </c>
      <c r="P205" s="58">
        <f>IF(A205="","",IFERROR(COUNTIFS(TL_Date,A205,TL_Followed,"Y")/C205,0))</f>
        <v/>
      </c>
      <c r="Q205" s="28">
        <f>IF(A205="","",COUNTIFS(TL_Date,A205,TL_Followed,"N"))</f>
        <v/>
      </c>
      <c r="R205" s="28">
        <f>IF(A205="","",_xlfn.MAXIFS(TL_Lots,TL_Date,A205))</f>
        <v/>
      </c>
      <c r="S205" s="39">
        <f>IF(A205="","",SUMIFS(TL_GiveBack,TL_Date,A205))</f>
        <v/>
      </c>
      <c r="T205" s="28">
        <f>IF(A205="","",COUNTIFS(TL_Date,A205,TL_ExpBreach,"BREACH"))</f>
        <v/>
      </c>
      <c r="U205" s="5">
        <f>IF(A205="","",IF(H205&lt;=-DailyLossLimit,"BREACH","OK"))</f>
        <v/>
      </c>
      <c r="V205" s="5">
        <f>IF(A205="","",IF(C205&gt;MaxTradesDay,"BREACH","OK"))</f>
        <v/>
      </c>
      <c r="W205" s="5">
        <f>IF(A205="","",IF(O205&lt;=-WeeklyDDLimit,"BREACH","OK"))</f>
        <v/>
      </c>
      <c r="X205" s="5">
        <f>IF(A205="","",IF(OR(U205="BREACH",V205="BREACH",W205="BREACH",T205&gt;0,R205&gt;MaxLots),"LIMIT BROKEN","OK"))</f>
        <v/>
      </c>
    </row>
  </sheetData>
  <conditionalFormatting sqref="U6:U205">
    <cfRule type="expression" priority="1" dxfId="0">
      <formula>U6="BREACH"</formula>
    </cfRule>
  </conditionalFormatting>
  <conditionalFormatting sqref="V6:V205">
    <cfRule type="expression" priority="2" dxfId="0">
      <formula>V6="BREACH"</formula>
    </cfRule>
  </conditionalFormatting>
  <conditionalFormatting sqref="W6:W205">
    <cfRule type="expression" priority="3" dxfId="0">
      <formula>W6="BREACH"</formula>
    </cfRule>
  </conditionalFormatting>
  <conditionalFormatting sqref="X6:X205">
    <cfRule type="expression" priority="4" dxfId="0">
      <formula>X6="LIMIT BROKEN"</formula>
    </cfRule>
    <cfRule type="expression" priority="5" dxfId="1">
      <formula>X6="OK"</formula>
    </cfRule>
  </conditionalFormatting>
  <conditionalFormatting sqref="H6:H205">
    <cfRule type="cellIs" priority="6" operator="lessThan" dxfId="5">
      <formula>0</formula>
    </cfRule>
  </conditionalFormatting>
  <conditionalFormatting sqref="O6:O205">
    <cfRule type="cellIs" priority="7" operator="lessThan" dxfId="5">
      <formula>0</formula>
    </cfRule>
  </conditionalFormatting>
  <conditionalFormatting sqref="P6:P205">
    <cfRule type="expression" priority="8" dxfId="4">
      <formula>AND(ISNUMBER(P6),P6&lt;1)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Q78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5" customWidth="1" min="3" max="3"/>
    <col width="52" customWidth="1" min="4" max="4"/>
    <col width="2" customWidth="1" min="5" max="5"/>
    <col width="30" customWidth="1" min="6" max="6"/>
    <col width="9" customWidth="1" min="7" max="7"/>
    <col width="9" customWidth="1" min="8" max="8"/>
    <col width="13" customWidth="1" min="9" max="9"/>
    <col width="9" customWidth="1" min="10" max="10"/>
    <col width="13" customWidth="1" min="11" max="11"/>
    <col width="2" customWidth="1" min="12" max="12"/>
    <col width="2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PERFORMANCE DASHBOARD</t>
        </is>
      </c>
    </row>
    <row r="2">
      <c r="A2" s="2" t="inlineStr">
        <is>
          <t>Formulas only – updates as you log trades. 'Latest session' = most recent date on TRADE LOG.</t>
        </is>
      </c>
    </row>
    <row r="4" ht="34" customHeight="1">
      <c r="B4" s="59">
        <f>IF(C14="STOP","STOP TRADING TODAY  –  "&amp;C15,"OK TO TRADE  –  within all limits")</f>
        <v/>
      </c>
    </row>
    <row r="6">
      <c r="B6" s="3" t="inlineStr">
        <is>
          <t>LATEST SESSION – RISK STATUS</t>
        </is>
      </c>
      <c r="C6" s="4" t="n"/>
      <c r="D6" s="4" t="n"/>
      <c r="F6" s="3" t="inlineStr">
        <is>
          <t>P&amp;L BY STRATEGY</t>
        </is>
      </c>
      <c r="G6" s="4" t="n"/>
      <c r="H6" s="4" t="n"/>
      <c r="I6" s="4" t="n"/>
      <c r="J6" s="4" t="n"/>
      <c r="K6" s="4" t="n"/>
      <c r="N6" s="3" t="inlineStr">
        <is>
          <t>CHART DATA – last 40 sessions (automatic)</t>
        </is>
      </c>
      <c r="O6" s="4" t="n"/>
      <c r="P6" s="4" t="n"/>
      <c r="Q6" s="4" t="n"/>
    </row>
    <row r="7">
      <c r="B7" s="7" t="inlineStr">
        <is>
          <t>Latest session date</t>
        </is>
      </c>
      <c r="C7" s="60">
        <f>IF(COUNT(TL_Date)=0,"",MAX(TL_Date))</f>
        <v/>
      </c>
      <c r="D7" s="7" t="inlineStr">
        <is>
          <t>Most recent date on TRADE LOG.</t>
        </is>
      </c>
      <c r="F7" s="20" t="inlineStr">
        <is>
          <t>Category</t>
        </is>
      </c>
      <c r="G7" s="20" t="inlineStr">
        <is>
          <t>Trades</t>
        </is>
      </c>
      <c r="H7" s="20" t="inlineStr">
        <is>
          <t>Win %</t>
        </is>
      </c>
      <c r="I7" s="20" t="inlineStr">
        <is>
          <t>Net P&amp;L ₹</t>
        </is>
      </c>
      <c r="J7" s="20" t="inlineStr">
        <is>
          <t>Avg R</t>
        </is>
      </c>
      <c r="K7" s="20" t="inlineStr">
        <is>
          <t>Given Back ₹</t>
        </is>
      </c>
      <c r="N7" s="20" t="inlineStr">
        <is>
          <t>Sessions logged</t>
        </is>
      </c>
      <c r="O7" s="61">
        <f>COUNT(DS_Date)</f>
        <v/>
      </c>
    </row>
    <row r="8">
      <c r="B8" s="7" t="inlineStr">
        <is>
          <t>Trades today / max</t>
        </is>
      </c>
      <c r="C8" s="61">
        <f>IF(C7="",0,COUNTIF(TL_Date,C7))</f>
        <v/>
      </c>
      <c r="D8" s="7">
        <f>"Max "&amp;MaxTradesDay&amp;" per day"</f>
        <v/>
      </c>
      <c r="F8" s="7">
        <f>IFERROR(INDEX(List_Strategy,1),"")</f>
        <v/>
      </c>
      <c r="G8" s="61">
        <f>IF($F8="","",COUNTIFS(TL_Strat,$F8,TL_Net,"&gt;-1E+15"))</f>
        <v/>
      </c>
      <c r="H8" s="62">
        <f>IF($F8="","",IFERROR(COUNTIFS(TL_Strat,$F8,TL_Net,"&gt;0")/G8,0))</f>
        <v/>
      </c>
      <c r="I8" s="16">
        <f>IF($F8="","",SUMIFS(TL_Net,TL_Strat,$F8))</f>
        <v/>
      </c>
      <c r="J8" s="63">
        <f>IF($F8="","",IFERROR(AVERAGEIFS(TL_R,TL_Strat,$F8),0))</f>
        <v/>
      </c>
      <c r="K8" s="16">
        <f>IF($F8="","",SUMIFS(TL_GiveBack,TL_Strat,$F8))</f>
        <v/>
      </c>
      <c r="N8" s="20" t="inlineStr">
        <is>
          <t>Idx</t>
        </is>
      </c>
      <c r="O8" s="20" t="inlineStr">
        <is>
          <t>Session</t>
        </is>
      </c>
      <c r="P8" s="20" t="inlineStr">
        <is>
          <t>Equity ₹</t>
        </is>
      </c>
      <c r="Q8" s="20" t="inlineStr">
        <is>
          <t>Drawdown %</t>
        </is>
      </c>
    </row>
    <row r="9">
      <c r="B9" s="7" t="inlineStr">
        <is>
          <t>Net P&amp;L today ₹</t>
        </is>
      </c>
      <c r="C9" s="16">
        <f>IF(C7="",0,SUMIFS(TL_Net,TL_Date,C7))</f>
        <v/>
      </c>
      <c r="D9" s="7">
        <f>"Limit: -"&amp;TEXT(DailyLossLimit,"₹#,##0")</f>
        <v/>
      </c>
      <c r="F9" s="7">
        <f>IFERROR(INDEX(List_Strategy,2),"")</f>
        <v/>
      </c>
      <c r="G9" s="61">
        <f>IF($F9="","",COUNTIFS(TL_Strat,$F9,TL_Net,"&gt;-1E+15"))</f>
        <v/>
      </c>
      <c r="H9" s="62">
        <f>IF($F9="","",IFERROR(COUNTIFS(TL_Strat,$F9,TL_Net,"&gt;0")/G9,0))</f>
        <v/>
      </c>
      <c r="I9" s="16">
        <f>IF($F9="","",SUMIFS(TL_Net,TL_Strat,$F9))</f>
        <v/>
      </c>
      <c r="J9" s="63">
        <f>IF($F9="","",IFERROR(AVERAGEIFS(TL_R,TL_Strat,$F9),0))</f>
        <v/>
      </c>
      <c r="K9" s="16">
        <f>IF($F9="","",SUMIFS(TL_GiveBack,TL_Strat,$F9))</f>
        <v/>
      </c>
      <c r="N9" s="61">
        <f>$O$7-40+1</f>
        <v/>
      </c>
      <c r="O9" s="7">
        <f>IF(N9&lt;1,"",TEXT(INDEX(DS_Date,N9),"dd-mmm"))</f>
        <v/>
      </c>
      <c r="P9" s="16">
        <f>IF(N9&lt;1,Capital,INDEX(DS_Eq,N9))</f>
        <v/>
      </c>
      <c r="Q9" s="62">
        <f>IF(N9&lt;1,0,-INDEX(DS_DDPct,N9))</f>
        <v/>
      </c>
    </row>
    <row r="10">
      <c r="B10" s="7" t="inlineStr">
        <is>
          <t>Daily loss limit remaining ₹</t>
        </is>
      </c>
      <c r="C10" s="16">
        <f>DailyLossLimit+MIN(0,C9)</f>
        <v/>
      </c>
      <c r="D10" s="7" t="inlineStr">
        <is>
          <t>≤ 0 → stop.</t>
        </is>
      </c>
      <c r="F10" s="7">
        <f>IFERROR(INDEX(List_Strategy,3),"")</f>
        <v/>
      </c>
      <c r="G10" s="61">
        <f>IF($F10="","",COUNTIFS(TL_Strat,$F10,TL_Net,"&gt;-1E+15"))</f>
        <v/>
      </c>
      <c r="H10" s="62">
        <f>IF($F10="","",IFERROR(COUNTIFS(TL_Strat,$F10,TL_Net,"&gt;0")/G10,0))</f>
        <v/>
      </c>
      <c r="I10" s="16">
        <f>IF($F10="","",SUMIFS(TL_Net,TL_Strat,$F10))</f>
        <v/>
      </c>
      <c r="J10" s="63">
        <f>IF($F10="","",IFERROR(AVERAGEIFS(TL_R,TL_Strat,$F10),0))</f>
        <v/>
      </c>
      <c r="K10" s="16">
        <f>IF($F10="","",SUMIFS(TL_GiveBack,TL_Strat,$F10))</f>
        <v/>
      </c>
      <c r="N10" s="61">
        <f>$O$7-40+2</f>
        <v/>
      </c>
      <c r="O10" s="7">
        <f>IF(N10&lt;1,"",TEXT(INDEX(DS_Date,N10),"dd-mmm"))</f>
        <v/>
      </c>
      <c r="P10" s="16">
        <f>IF(N10&lt;1,Capital,INDEX(DS_Eq,N10))</f>
        <v/>
      </c>
      <c r="Q10" s="62">
        <f>IF(N10&lt;1,0,-INDEX(DS_DDPct,N10))</f>
        <v/>
      </c>
    </row>
    <row r="11">
      <c r="B11" s="7" t="inlineStr">
        <is>
          <t>Week-to-date net ₹</t>
        </is>
      </c>
      <c r="C11" s="16">
        <f>IF(C7="",0,SUMIFS(TL_Net,TL_Week,C7-WEEKDAY(C7,3)))</f>
        <v/>
      </c>
      <c r="D11" s="7">
        <f>"Weekly limit: -"&amp;TEXT(WeeklyDDLimit,"₹#,##0")</f>
        <v/>
      </c>
      <c r="F11" s="7">
        <f>IFERROR(INDEX(List_Strategy,4),"")</f>
        <v/>
      </c>
      <c r="G11" s="61">
        <f>IF($F11="","",COUNTIFS(TL_Strat,$F11,TL_Net,"&gt;-1E+15"))</f>
        <v/>
      </c>
      <c r="H11" s="62">
        <f>IF($F11="","",IFERROR(COUNTIFS(TL_Strat,$F11,TL_Net,"&gt;0")/G11,0))</f>
        <v/>
      </c>
      <c r="I11" s="16">
        <f>IF($F11="","",SUMIFS(TL_Net,TL_Strat,$F11))</f>
        <v/>
      </c>
      <c r="J11" s="63">
        <f>IF($F11="","",IFERROR(AVERAGEIFS(TL_R,TL_Strat,$F11),0))</f>
        <v/>
      </c>
      <c r="K11" s="16">
        <f>IF($F11="","",SUMIFS(TL_GiveBack,TL_Strat,$F11))</f>
        <v/>
      </c>
      <c r="N11" s="61">
        <f>$O$7-40+3</f>
        <v/>
      </c>
      <c r="O11" s="7">
        <f>IF(N11&lt;1,"",TEXT(INDEX(DS_Date,N11),"dd-mmm"))</f>
        <v/>
      </c>
      <c r="P11" s="16">
        <f>IF(N11&lt;1,Capital,INDEX(DS_Eq,N11))</f>
        <v/>
      </c>
      <c r="Q11" s="62">
        <f>IF(N11&lt;1,0,-INDEX(DS_DDPct,N11))</f>
        <v/>
      </c>
    </row>
    <row r="12">
      <c r="B12" s="7" t="inlineStr">
        <is>
          <t>Current consecutive losses</t>
        </is>
      </c>
      <c r="C12" s="61">
        <f>IFERROR(INDEX(TL_Streak,MATCH(9.99E+307,TL_Streak)),0)</f>
        <v/>
      </c>
      <c r="D12" s="7">
        <f>"Stop at "&amp;MaxConsecLosses</f>
        <v/>
      </c>
      <c r="F12" s="7">
        <f>IFERROR(INDEX(List_Strategy,5),"")</f>
        <v/>
      </c>
      <c r="G12" s="61">
        <f>IF($F12="","",COUNTIFS(TL_Strat,$F12,TL_Net,"&gt;-1E+15"))</f>
        <v/>
      </c>
      <c r="H12" s="62">
        <f>IF($F12="","",IFERROR(COUNTIFS(TL_Strat,$F12,TL_Net,"&gt;0")/G12,0))</f>
        <v/>
      </c>
      <c r="I12" s="16">
        <f>IF($F12="","",SUMIFS(TL_Net,TL_Strat,$F12))</f>
        <v/>
      </c>
      <c r="J12" s="63">
        <f>IF($F12="","",IFERROR(AVERAGEIFS(TL_R,TL_Strat,$F12),0))</f>
        <v/>
      </c>
      <c r="K12" s="16">
        <f>IF($F12="","",SUMIFS(TL_GiveBack,TL_Strat,$F12))</f>
        <v/>
      </c>
      <c r="N12" s="61">
        <f>$O$7-40+4</f>
        <v/>
      </c>
      <c r="O12" s="7">
        <f>IF(N12&lt;1,"",TEXT(INDEX(DS_Date,N12),"dd-mmm"))</f>
        <v/>
      </c>
      <c r="P12" s="16">
        <f>IF(N12&lt;1,Capital,INDEX(DS_Eq,N12))</f>
        <v/>
      </c>
      <c r="Q12" s="62">
        <f>IF(N12&lt;1,0,-INDEX(DS_DDPct,N12))</f>
        <v/>
      </c>
    </row>
    <row r="13">
      <c r="B13" s="7" t="inlineStr">
        <is>
          <t>Expiry-cutoff breaches today</t>
        </is>
      </c>
      <c r="C13" s="61">
        <f>IF(C7="",0,COUNTIFS(TL_Date,C7,TL_ExpBreach,"BREACH"))</f>
        <v/>
      </c>
      <c r="D13" s="7">
        <f>"Shorts flat by "&amp;TEXT(ExpiryCutoff,"hh:mm")&amp;" on expiry"</f>
        <v/>
      </c>
      <c r="F13" s="7">
        <f>IFERROR(INDEX(List_Strategy,6),"")</f>
        <v/>
      </c>
      <c r="G13" s="61">
        <f>IF($F13="","",COUNTIFS(TL_Strat,$F13,TL_Net,"&gt;-1E+15"))</f>
        <v/>
      </c>
      <c r="H13" s="62">
        <f>IF($F13="","",IFERROR(COUNTIFS(TL_Strat,$F13,TL_Net,"&gt;0")/G13,0))</f>
        <v/>
      </c>
      <c r="I13" s="16">
        <f>IF($F13="","",SUMIFS(TL_Net,TL_Strat,$F13))</f>
        <v/>
      </c>
      <c r="J13" s="63">
        <f>IF($F13="","",IFERROR(AVERAGEIFS(TL_R,TL_Strat,$F13),0))</f>
        <v/>
      </c>
      <c r="K13" s="16">
        <f>IF($F13="","",SUMIFS(TL_GiveBack,TL_Strat,$F13))</f>
        <v/>
      </c>
      <c r="N13" s="61">
        <f>$O$7-40+5</f>
        <v/>
      </c>
      <c r="O13" s="7">
        <f>IF(N13&lt;1,"",TEXT(INDEX(DS_Date,N13),"dd-mmm"))</f>
        <v/>
      </c>
      <c r="P13" s="16">
        <f>IF(N13&lt;1,Capital,INDEX(DS_Eq,N13))</f>
        <v/>
      </c>
      <c r="Q13" s="62">
        <f>IF(N13&lt;1,0,-INDEX(DS_DDPct,N13))</f>
        <v/>
      </c>
    </row>
    <row r="14">
      <c r="B14" s="7" t="inlineStr">
        <is>
          <t>STOP TRADING TODAY?</t>
        </is>
      </c>
      <c r="C14" s="7">
        <f>IF(OR(C9&lt;=-DailyLossLimit,C8&gt;=MaxTradesDay,C11&lt;=-WeeklyDDLimit,C12&gt;=MaxConsecLosses),"STOP","OK")</f>
        <v/>
      </c>
      <c r="D14" s="7" t="inlineStr">
        <is>
          <t>Any one trigger = stop.</t>
        </is>
      </c>
      <c r="F14" s="7">
        <f>IFERROR(INDEX(List_Strategy,7),"")</f>
        <v/>
      </c>
      <c r="G14" s="61">
        <f>IF($F14="","",COUNTIFS(TL_Strat,$F14,TL_Net,"&gt;-1E+15"))</f>
        <v/>
      </c>
      <c r="H14" s="62">
        <f>IF($F14="","",IFERROR(COUNTIFS(TL_Strat,$F14,TL_Net,"&gt;0")/G14,0))</f>
        <v/>
      </c>
      <c r="I14" s="16">
        <f>IF($F14="","",SUMIFS(TL_Net,TL_Strat,$F14))</f>
        <v/>
      </c>
      <c r="J14" s="63">
        <f>IF($F14="","",IFERROR(AVERAGEIFS(TL_R,TL_Strat,$F14),0))</f>
        <v/>
      </c>
      <c r="K14" s="16">
        <f>IF($F14="","",SUMIFS(TL_GiveBack,TL_Strat,$F14))</f>
        <v/>
      </c>
      <c r="N14" s="61">
        <f>$O$7-40+6</f>
        <v/>
      </c>
      <c r="O14" s="7">
        <f>IF(N14&lt;1,"",TEXT(INDEX(DS_Date,N14),"dd-mmm"))</f>
        <v/>
      </c>
      <c r="P14" s="16">
        <f>IF(N14&lt;1,Capital,INDEX(DS_Eq,N14))</f>
        <v/>
      </c>
      <c r="Q14" s="62">
        <f>IF(N14&lt;1,0,-INDEX(DS_DDPct,N14))</f>
        <v/>
      </c>
    </row>
    <row r="15">
      <c r="B15" s="7" t="inlineStr">
        <is>
          <t>Reason</t>
        </is>
      </c>
      <c r="C15" s="7">
        <f>IF(C14="OK","-",TRIM(IF(C9&lt;=-DailyLossLimit,"Daily loss limit hit. ","")&amp;IF(C8&gt;=MaxTradesDay,"Max trades reached. ","")&amp;IF(C11&lt;=-WeeklyDDLimit,"Weekly drawdown limit hit. ","")&amp;IF(C12&gt;=MaxConsecLosses,"Consecutive-loss limit hit. ","")))</f>
        <v/>
      </c>
      <c r="D15" s="64" t="n"/>
      <c r="F15" s="7">
        <f>IFERROR(INDEX(List_Strategy,8),"")</f>
        <v/>
      </c>
      <c r="G15" s="61">
        <f>IF($F15="","",COUNTIFS(TL_Strat,$F15,TL_Net,"&gt;-1E+15"))</f>
        <v/>
      </c>
      <c r="H15" s="62">
        <f>IF($F15="","",IFERROR(COUNTIFS(TL_Strat,$F15,TL_Net,"&gt;0")/G15,0))</f>
        <v/>
      </c>
      <c r="I15" s="16">
        <f>IF($F15="","",SUMIFS(TL_Net,TL_Strat,$F15))</f>
        <v/>
      </c>
      <c r="J15" s="63">
        <f>IF($F15="","",IFERROR(AVERAGEIFS(TL_R,TL_Strat,$F15),0))</f>
        <v/>
      </c>
      <c r="K15" s="16">
        <f>IF($F15="","",SUMIFS(TL_GiveBack,TL_Strat,$F15))</f>
        <v/>
      </c>
      <c r="N15" s="61">
        <f>$O$7-40+7</f>
        <v/>
      </c>
      <c r="O15" s="7">
        <f>IF(N15&lt;1,"",TEXT(INDEX(DS_Date,N15),"dd-mmm"))</f>
        <v/>
      </c>
      <c r="P15" s="16">
        <f>IF(N15&lt;1,Capital,INDEX(DS_Eq,N15))</f>
        <v/>
      </c>
      <c r="Q15" s="62">
        <f>IF(N15&lt;1,0,-INDEX(DS_DDPct,N15))</f>
        <v/>
      </c>
    </row>
    <row r="16">
      <c r="F16" s="7">
        <f>IFERROR(INDEX(List_Strategy,9),"")</f>
        <v/>
      </c>
      <c r="G16" s="61">
        <f>IF($F16="","",COUNTIFS(TL_Strat,$F16,TL_Net,"&gt;-1E+15"))</f>
        <v/>
      </c>
      <c r="H16" s="62">
        <f>IF($F16="","",IFERROR(COUNTIFS(TL_Strat,$F16,TL_Net,"&gt;0")/G16,0))</f>
        <v/>
      </c>
      <c r="I16" s="16">
        <f>IF($F16="","",SUMIFS(TL_Net,TL_Strat,$F16))</f>
        <v/>
      </c>
      <c r="J16" s="63">
        <f>IF($F16="","",IFERROR(AVERAGEIFS(TL_R,TL_Strat,$F16),0))</f>
        <v/>
      </c>
      <c r="K16" s="16">
        <f>IF($F16="","",SUMIFS(TL_GiveBack,TL_Strat,$F16))</f>
        <v/>
      </c>
      <c r="N16" s="61">
        <f>$O$7-40+8</f>
        <v/>
      </c>
      <c r="O16" s="7">
        <f>IF(N16&lt;1,"",TEXT(INDEX(DS_Date,N16),"dd-mmm"))</f>
        <v/>
      </c>
      <c r="P16" s="16">
        <f>IF(N16&lt;1,Capital,INDEX(DS_Eq,N16))</f>
        <v/>
      </c>
      <c r="Q16" s="62">
        <f>IF(N16&lt;1,0,-INDEX(DS_DDPct,N16))</f>
        <v/>
      </c>
    </row>
    <row r="17">
      <c r="B17" s="3" t="inlineStr">
        <is>
          <t>KEY METRICS (all closed trades)</t>
        </is>
      </c>
      <c r="C17" s="4" t="n"/>
      <c r="D17" s="4" t="n"/>
      <c r="F17" s="7">
        <f>IFERROR(INDEX(List_Strategy,10),"")</f>
        <v/>
      </c>
      <c r="G17" s="61">
        <f>IF($F17="","",COUNTIFS(TL_Strat,$F17,TL_Net,"&gt;-1E+15"))</f>
        <v/>
      </c>
      <c r="H17" s="62">
        <f>IF($F17="","",IFERROR(COUNTIFS(TL_Strat,$F17,TL_Net,"&gt;0")/G17,0))</f>
        <v/>
      </c>
      <c r="I17" s="16">
        <f>IF($F17="","",SUMIFS(TL_Net,TL_Strat,$F17))</f>
        <v/>
      </c>
      <c r="J17" s="63">
        <f>IF($F17="","",IFERROR(AVERAGEIFS(TL_R,TL_Strat,$F17),0))</f>
        <v/>
      </c>
      <c r="K17" s="16">
        <f>IF($F17="","",SUMIFS(TL_GiveBack,TL_Strat,$F17))</f>
        <v/>
      </c>
      <c r="N17" s="61">
        <f>$O$7-40+9</f>
        <v/>
      </c>
      <c r="O17" s="7">
        <f>IF(N17&lt;1,"",TEXT(INDEX(DS_Date,N17),"dd-mmm"))</f>
        <v/>
      </c>
      <c r="P17" s="16">
        <f>IF(N17&lt;1,Capital,INDEX(DS_Eq,N17))</f>
        <v/>
      </c>
      <c r="Q17" s="62">
        <f>IF(N17&lt;1,0,-INDEX(DS_DDPct,N17))</f>
        <v/>
      </c>
    </row>
    <row r="18">
      <c r="B18" s="20" t="inlineStr">
        <is>
          <t>Metric</t>
        </is>
      </c>
      <c r="C18" s="20" t="inlineStr">
        <is>
          <t>Value</t>
        </is>
      </c>
      <c r="D18" s="20" t="inlineStr">
        <is>
          <t>Formula / meaning</t>
        </is>
      </c>
      <c r="N18" s="61">
        <f>$O$7-40+10</f>
        <v/>
      </c>
      <c r="O18" s="7">
        <f>IF(N18&lt;1,"",TEXT(INDEX(DS_Date,N18),"dd-mmm"))</f>
        <v/>
      </c>
      <c r="P18" s="16">
        <f>IF(N18&lt;1,Capital,INDEX(DS_Eq,N18))</f>
        <v/>
      </c>
      <c r="Q18" s="62">
        <f>IF(N18&lt;1,0,-INDEX(DS_DDPct,N18))</f>
        <v/>
      </c>
    </row>
    <row r="19">
      <c r="B19" s="7" t="inlineStr">
        <is>
          <t>Total closed trades</t>
        </is>
      </c>
      <c r="C19" s="61">
        <f>COUNT(TL_Net)</f>
        <v/>
      </c>
      <c r="D19" s="7" t="inlineStr">
        <is>
          <t>N = COUNT(Net P&amp;L)</t>
        </is>
      </c>
      <c r="F19" s="3" t="inlineStr">
        <is>
          <t>P&amp;L BY DAY OF WEEK</t>
        </is>
      </c>
      <c r="G19" s="4" t="n"/>
      <c r="H19" s="4" t="n"/>
      <c r="I19" s="4" t="n"/>
      <c r="J19" s="4" t="n"/>
      <c r="K19" s="4" t="n"/>
      <c r="N19" s="61">
        <f>$O$7-40+11</f>
        <v/>
      </c>
      <c r="O19" s="7">
        <f>IF(N19&lt;1,"",TEXT(INDEX(DS_Date,N19),"dd-mmm"))</f>
        <v/>
      </c>
      <c r="P19" s="16">
        <f>IF(N19&lt;1,Capital,INDEX(DS_Eq,N19))</f>
        <v/>
      </c>
      <c r="Q19" s="62">
        <f>IF(N19&lt;1,0,-INDEX(DS_DDPct,N19))</f>
        <v/>
      </c>
    </row>
    <row r="20">
      <c r="B20" s="7" t="inlineStr">
        <is>
          <t>Wins</t>
        </is>
      </c>
      <c r="C20" s="61">
        <f>COUNTIF(TL_Net,"&gt;0")</f>
        <v/>
      </c>
      <c r="D20" s="7" t="inlineStr">
        <is>
          <t>Trades with Net P&amp;L &gt; 0</t>
        </is>
      </c>
      <c r="F20" s="20" t="inlineStr">
        <is>
          <t>Category</t>
        </is>
      </c>
      <c r="G20" s="20" t="inlineStr">
        <is>
          <t>Trades</t>
        </is>
      </c>
      <c r="H20" s="20" t="inlineStr">
        <is>
          <t>Win %</t>
        </is>
      </c>
      <c r="I20" s="20" t="inlineStr">
        <is>
          <t>Net P&amp;L ₹</t>
        </is>
      </c>
      <c r="J20" s="20" t="inlineStr">
        <is>
          <t>Avg R</t>
        </is>
      </c>
      <c r="K20" s="20" t="inlineStr">
        <is>
          <t>Given Back ₹</t>
        </is>
      </c>
      <c r="N20" s="61">
        <f>$O$7-40+12</f>
        <v/>
      </c>
      <c r="O20" s="7">
        <f>IF(N20&lt;1,"",TEXT(INDEX(DS_Date,N20),"dd-mmm"))</f>
        <v/>
      </c>
      <c r="P20" s="16">
        <f>IF(N20&lt;1,Capital,INDEX(DS_Eq,N20))</f>
        <v/>
      </c>
      <c r="Q20" s="62">
        <f>IF(N20&lt;1,0,-INDEX(DS_DDPct,N20))</f>
        <v/>
      </c>
    </row>
    <row r="21">
      <c r="B21" s="7" t="inlineStr">
        <is>
          <t>Losses</t>
        </is>
      </c>
      <c r="C21" s="61">
        <f>COUNTIF(TL_Net,"&lt;0")</f>
        <v/>
      </c>
      <c r="D21" s="7" t="inlineStr">
        <is>
          <t>Trades with Net P&amp;L &lt; 0</t>
        </is>
      </c>
      <c r="F21" s="7">
        <f>IFERROR(INDEX(List_Weekday,1),"")</f>
        <v/>
      </c>
      <c r="G21" s="61">
        <f>IF($F21="","",COUNTIFS(TL_Day,$F21,TL_Net,"&gt;-1E+15"))</f>
        <v/>
      </c>
      <c r="H21" s="62">
        <f>IF($F21="","",IFERROR(COUNTIFS(TL_Day,$F21,TL_Net,"&gt;0")/G21,0))</f>
        <v/>
      </c>
      <c r="I21" s="16">
        <f>IF($F21="","",SUMIFS(TL_Net,TL_Day,$F21))</f>
        <v/>
      </c>
      <c r="J21" s="63">
        <f>IF($F21="","",IFERROR(AVERAGEIFS(TL_R,TL_Day,$F21),0))</f>
        <v/>
      </c>
      <c r="K21" s="16">
        <f>IF($F21="","",SUMIFS(TL_GiveBack,TL_Day,$F21))</f>
        <v/>
      </c>
      <c r="N21" s="61">
        <f>$O$7-40+13</f>
        <v/>
      </c>
      <c r="O21" s="7">
        <f>IF(N21&lt;1,"",TEXT(INDEX(DS_Date,N21),"dd-mmm"))</f>
        <v/>
      </c>
      <c r="P21" s="16">
        <f>IF(N21&lt;1,Capital,INDEX(DS_Eq,N21))</f>
        <v/>
      </c>
      <c r="Q21" s="62">
        <f>IF(N21&lt;1,0,-INDEX(DS_DDPct,N21))</f>
        <v/>
      </c>
    </row>
    <row r="22">
      <c r="B22" s="7" t="inlineStr">
        <is>
          <t>Win rate</t>
        </is>
      </c>
      <c r="C22" s="62">
        <f>IFERROR(C20/C19,0)</f>
        <v/>
      </c>
      <c r="D22" s="7" t="inlineStr">
        <is>
          <t>Wins ÷ Total trades</t>
        </is>
      </c>
      <c r="F22" s="7">
        <f>IFERROR(INDEX(List_Weekday,2),"")</f>
        <v/>
      </c>
      <c r="G22" s="61">
        <f>IF($F22="","",COUNTIFS(TL_Day,$F22,TL_Net,"&gt;-1E+15"))</f>
        <v/>
      </c>
      <c r="H22" s="62">
        <f>IF($F22="","",IFERROR(COUNTIFS(TL_Day,$F22,TL_Net,"&gt;0")/G22,0))</f>
        <v/>
      </c>
      <c r="I22" s="16">
        <f>IF($F22="","",SUMIFS(TL_Net,TL_Day,$F22))</f>
        <v/>
      </c>
      <c r="J22" s="63">
        <f>IF($F22="","",IFERROR(AVERAGEIFS(TL_R,TL_Day,$F22),0))</f>
        <v/>
      </c>
      <c r="K22" s="16">
        <f>IF($F22="","",SUMIFS(TL_GiveBack,TL_Day,$F22))</f>
        <v/>
      </c>
      <c r="N22" s="61">
        <f>$O$7-40+14</f>
        <v/>
      </c>
      <c r="O22" s="7">
        <f>IF(N22&lt;1,"",TEXT(INDEX(DS_Date,N22),"dd-mmm"))</f>
        <v/>
      </c>
      <c r="P22" s="16">
        <f>IF(N22&lt;1,Capital,INDEX(DS_Eq,N22))</f>
        <v/>
      </c>
      <c r="Q22" s="62">
        <f>IF(N22&lt;1,0,-INDEX(DS_DDPct,N22))</f>
        <v/>
      </c>
    </row>
    <row r="23">
      <c r="B23" s="7" t="inlineStr">
        <is>
          <t>Average win ₹</t>
        </is>
      </c>
      <c r="C23" s="16">
        <f>IFERROR(AVERAGEIF(TL_Net,"&gt;0"),0)</f>
        <v/>
      </c>
      <c r="D23" s="7" t="inlineStr">
        <is>
          <t>Σ winning Net ÷ Wins</t>
        </is>
      </c>
      <c r="F23" s="7">
        <f>IFERROR(INDEX(List_Weekday,3),"")</f>
        <v/>
      </c>
      <c r="G23" s="61">
        <f>IF($F23="","",COUNTIFS(TL_Day,$F23,TL_Net,"&gt;-1E+15"))</f>
        <v/>
      </c>
      <c r="H23" s="62">
        <f>IF($F23="","",IFERROR(COUNTIFS(TL_Day,$F23,TL_Net,"&gt;0")/G23,0))</f>
        <v/>
      </c>
      <c r="I23" s="16">
        <f>IF($F23="","",SUMIFS(TL_Net,TL_Day,$F23))</f>
        <v/>
      </c>
      <c r="J23" s="63">
        <f>IF($F23="","",IFERROR(AVERAGEIFS(TL_R,TL_Day,$F23),0))</f>
        <v/>
      </c>
      <c r="K23" s="16">
        <f>IF($F23="","",SUMIFS(TL_GiveBack,TL_Day,$F23))</f>
        <v/>
      </c>
      <c r="N23" s="61">
        <f>$O$7-40+15</f>
        <v/>
      </c>
      <c r="O23" s="7">
        <f>IF(N23&lt;1,"",TEXT(INDEX(DS_Date,N23),"dd-mmm"))</f>
        <v/>
      </c>
      <c r="P23" s="16">
        <f>IF(N23&lt;1,Capital,INDEX(DS_Eq,N23))</f>
        <v/>
      </c>
      <c r="Q23" s="62">
        <f>IF(N23&lt;1,0,-INDEX(DS_DDPct,N23))</f>
        <v/>
      </c>
    </row>
    <row r="24">
      <c r="B24" s="7" t="inlineStr">
        <is>
          <t>Average loss ₹</t>
        </is>
      </c>
      <c r="C24" s="16">
        <f>IFERROR(AVERAGEIF(TL_Net,"&lt;0"),0)</f>
        <v/>
      </c>
      <c r="D24" s="7" t="inlineStr">
        <is>
          <t>Σ losing Net ÷ Losses</t>
        </is>
      </c>
      <c r="F24" s="7">
        <f>IFERROR(INDEX(List_Weekday,4),"")</f>
        <v/>
      </c>
      <c r="G24" s="61">
        <f>IF($F24="","",COUNTIFS(TL_Day,$F24,TL_Net,"&gt;-1E+15"))</f>
        <v/>
      </c>
      <c r="H24" s="62">
        <f>IF($F24="","",IFERROR(COUNTIFS(TL_Day,$F24,TL_Net,"&gt;0")/G24,0))</f>
        <v/>
      </c>
      <c r="I24" s="16">
        <f>IF($F24="","",SUMIFS(TL_Net,TL_Day,$F24))</f>
        <v/>
      </c>
      <c r="J24" s="63">
        <f>IF($F24="","",IFERROR(AVERAGEIFS(TL_R,TL_Day,$F24),0))</f>
        <v/>
      </c>
      <c r="K24" s="16">
        <f>IF($F24="","",SUMIFS(TL_GiveBack,TL_Day,$F24))</f>
        <v/>
      </c>
      <c r="N24" s="61">
        <f>$O$7-40+16</f>
        <v/>
      </c>
      <c r="O24" s="7">
        <f>IF(N24&lt;1,"",TEXT(INDEX(DS_Date,N24),"dd-mmm"))</f>
        <v/>
      </c>
      <c r="P24" s="16">
        <f>IF(N24&lt;1,Capital,INDEX(DS_Eq,N24))</f>
        <v/>
      </c>
      <c r="Q24" s="62">
        <f>IF(N24&lt;1,0,-INDEX(DS_DDPct,N24))</f>
        <v/>
      </c>
    </row>
    <row r="25">
      <c r="B25" s="7" t="inlineStr">
        <is>
          <t>Payoff ratio (avg win / avg loss)</t>
        </is>
      </c>
      <c r="C25" s="17">
        <f>IFERROR(C23/ABS(C24),0)</f>
        <v/>
      </c>
      <c r="D25" s="7" t="inlineStr">
        <is>
          <t>Avg win ÷ |Avg loss|. Sellers usually &lt; 1, so win rate must be high.</t>
        </is>
      </c>
      <c r="F25" s="7">
        <f>IFERROR(INDEX(List_Weekday,5),"")</f>
        <v/>
      </c>
      <c r="G25" s="61">
        <f>IF($F25="","",COUNTIFS(TL_Day,$F25,TL_Net,"&gt;-1E+15"))</f>
        <v/>
      </c>
      <c r="H25" s="62">
        <f>IF($F25="","",IFERROR(COUNTIFS(TL_Day,$F25,TL_Net,"&gt;0")/G25,0))</f>
        <v/>
      </c>
      <c r="I25" s="16">
        <f>IF($F25="","",SUMIFS(TL_Net,TL_Day,$F25))</f>
        <v/>
      </c>
      <c r="J25" s="63">
        <f>IF($F25="","",IFERROR(AVERAGEIFS(TL_R,TL_Day,$F25),0))</f>
        <v/>
      </c>
      <c r="K25" s="16">
        <f>IF($F25="","",SUMIFS(TL_GiveBack,TL_Day,$F25))</f>
        <v/>
      </c>
      <c r="N25" s="61">
        <f>$O$7-40+17</f>
        <v/>
      </c>
      <c r="O25" s="7">
        <f>IF(N25&lt;1,"",TEXT(INDEX(DS_Date,N25),"dd-mmm"))</f>
        <v/>
      </c>
      <c r="P25" s="16">
        <f>IF(N25&lt;1,Capital,INDEX(DS_Eq,N25))</f>
        <v/>
      </c>
      <c r="Q25" s="62">
        <f>IF(N25&lt;1,0,-INDEX(DS_DDPct,N25))</f>
        <v/>
      </c>
    </row>
    <row r="26">
      <c r="B26" s="7" t="inlineStr">
        <is>
          <t>Expectancy ₹ per trade</t>
        </is>
      </c>
      <c r="C26" s="16">
        <f>IFERROR(C22*C23-(C21/C19)*ABS(C24),0)</f>
        <v/>
      </c>
      <c r="D26" s="7" t="inlineStr">
        <is>
          <t>Win% × Avg win − Loss% × |Avg loss|</t>
        </is>
      </c>
      <c r="N26" s="61">
        <f>$O$7-40+18</f>
        <v/>
      </c>
      <c r="O26" s="7">
        <f>IF(N26&lt;1,"",TEXT(INDEX(DS_Date,N26),"dd-mmm"))</f>
        <v/>
      </c>
      <c r="P26" s="16">
        <f>IF(N26&lt;1,Capital,INDEX(DS_Eq,N26))</f>
        <v/>
      </c>
      <c r="Q26" s="62">
        <f>IF(N26&lt;1,0,-INDEX(DS_DDPct,N26))</f>
        <v/>
      </c>
    </row>
    <row r="27">
      <c r="B27" s="7" t="inlineStr">
        <is>
          <t>Expectancy in R (average R-multiple)</t>
        </is>
      </c>
      <c r="C27" s="63">
        <f>IFERROR(AVERAGE(TL_R),0)</f>
        <v/>
      </c>
      <c r="D27" s="7" t="inlineStr">
        <is>
          <t>Mean of R-multiples (Van Tharp). &gt; 0 = edge.</t>
        </is>
      </c>
      <c r="F27" s="3" t="inlineStr">
        <is>
          <t>P&amp;L BY DTE (0 = expiry day)</t>
        </is>
      </c>
      <c r="G27" s="4" t="n"/>
      <c r="H27" s="4" t="n"/>
      <c r="I27" s="4" t="n"/>
      <c r="J27" s="4" t="n"/>
      <c r="K27" s="4" t="n"/>
      <c r="N27" s="61">
        <f>$O$7-40+19</f>
        <v/>
      </c>
      <c r="O27" s="7">
        <f>IF(N27&lt;1,"",TEXT(INDEX(DS_Date,N27),"dd-mmm"))</f>
        <v/>
      </c>
      <c r="P27" s="16">
        <f>IF(N27&lt;1,Capital,INDEX(DS_Eq,N27))</f>
        <v/>
      </c>
      <c r="Q27" s="62">
        <f>IF(N27&lt;1,0,-INDEX(DS_DDPct,N27))</f>
        <v/>
      </c>
    </row>
    <row r="28">
      <c r="B28" s="7" t="inlineStr">
        <is>
          <t>Profit factor</t>
        </is>
      </c>
      <c r="C28" s="17">
        <f>IFERROR(SUMIF(TL_Net,"&gt;0")/ABS(SUMIF(TL_Net,"&lt;0")),0)</f>
        <v/>
      </c>
      <c r="D28" s="7" t="inlineStr">
        <is>
          <t>Gross wins ÷ |Gross losses|. Target &gt; 1.5</t>
        </is>
      </c>
      <c r="F28" s="20" t="inlineStr">
        <is>
          <t>Category</t>
        </is>
      </c>
      <c r="G28" s="20" t="inlineStr">
        <is>
          <t>Trades</t>
        </is>
      </c>
      <c r="H28" s="20" t="inlineStr">
        <is>
          <t>Win %</t>
        </is>
      </c>
      <c r="I28" s="20" t="inlineStr">
        <is>
          <t>Net P&amp;L ₹</t>
        </is>
      </c>
      <c r="J28" s="20" t="inlineStr">
        <is>
          <t>Avg R</t>
        </is>
      </c>
      <c r="K28" s="20" t="inlineStr">
        <is>
          <t>Given Back ₹</t>
        </is>
      </c>
      <c r="N28" s="61">
        <f>$O$7-40+20</f>
        <v/>
      </c>
      <c r="O28" s="7">
        <f>IF(N28&lt;1,"",TEXT(INDEX(DS_Date,N28),"dd-mmm"))</f>
        <v/>
      </c>
      <c r="P28" s="16">
        <f>IF(N28&lt;1,Capital,INDEX(DS_Eq,N28))</f>
        <v/>
      </c>
      <c r="Q28" s="62">
        <f>IF(N28&lt;1,0,-INDEX(DS_DDPct,N28))</f>
        <v/>
      </c>
    </row>
    <row r="29">
      <c r="B29" s="7" t="inlineStr">
        <is>
          <t>Net P&amp;L ₹</t>
        </is>
      </c>
      <c r="C29" s="16">
        <f>SUM(TL_Net)</f>
        <v/>
      </c>
      <c r="D29" s="7" t="inlineStr">
        <is>
          <t>Σ Net P&amp;L (after charges)</t>
        </is>
      </c>
      <c r="F29" s="7" t="n">
        <v>0</v>
      </c>
      <c r="G29" s="61">
        <f>IF($F29="","",COUNTIFS(TL_DTE,$F29,TL_Net,"&gt;-1E+15"))</f>
        <v/>
      </c>
      <c r="H29" s="62">
        <f>IF($F29="","",IFERROR(COUNTIFS(TL_DTE,$F29,TL_Net,"&gt;0")/G29,0))</f>
        <v/>
      </c>
      <c r="I29" s="16">
        <f>IF($F29="","",SUMIFS(TL_Net,TL_DTE,$F29))</f>
        <v/>
      </c>
      <c r="J29" s="63">
        <f>IF($F29="","",IFERROR(AVERAGEIFS(TL_R,TL_DTE,$F29),0))</f>
        <v/>
      </c>
      <c r="K29" s="16">
        <f>IF($F29="","",SUMIFS(TL_GiveBack,TL_DTE,$F29))</f>
        <v/>
      </c>
      <c r="N29" s="61">
        <f>$O$7-40+21</f>
        <v/>
      </c>
      <c r="O29" s="7">
        <f>IF(N29&lt;1,"",TEXT(INDEX(DS_Date,N29),"dd-mmm"))</f>
        <v/>
      </c>
      <c r="P29" s="16">
        <f>IF(N29&lt;1,Capital,INDEX(DS_Eq,N29))</f>
        <v/>
      </c>
      <c r="Q29" s="62">
        <f>IF(N29&lt;1,0,-INDEX(DS_DDPct,N29))</f>
        <v/>
      </c>
    </row>
    <row r="30">
      <c r="B30" s="7" t="inlineStr">
        <is>
          <t>Total charges ₹</t>
        </is>
      </c>
      <c r="C30" s="16">
        <f>SUM(TL_Chg)</f>
        <v/>
      </c>
      <c r="D30" s="7" t="inlineStr">
        <is>
          <t>Σ brokerage + STT + exchange + SEBI + stamp + GST</t>
        </is>
      </c>
      <c r="F30" s="7" t="n">
        <v>1</v>
      </c>
      <c r="G30" s="61">
        <f>IF($F30="","",COUNTIFS(TL_DTE,$F30,TL_Net,"&gt;-1E+15"))</f>
        <v/>
      </c>
      <c r="H30" s="62">
        <f>IF($F30="","",IFERROR(COUNTIFS(TL_DTE,$F30,TL_Net,"&gt;0")/G30,0))</f>
        <v/>
      </c>
      <c r="I30" s="16">
        <f>IF($F30="","",SUMIFS(TL_Net,TL_DTE,$F30))</f>
        <v/>
      </c>
      <c r="J30" s="63">
        <f>IF($F30="","",IFERROR(AVERAGEIFS(TL_R,TL_DTE,$F30),0))</f>
        <v/>
      </c>
      <c r="K30" s="16">
        <f>IF($F30="","",SUMIFS(TL_GiveBack,TL_DTE,$F30))</f>
        <v/>
      </c>
      <c r="N30" s="61">
        <f>$O$7-40+22</f>
        <v/>
      </c>
      <c r="O30" s="7">
        <f>IF(N30&lt;1,"",TEXT(INDEX(DS_Date,N30),"dd-mmm"))</f>
        <v/>
      </c>
      <c r="P30" s="16">
        <f>IF(N30&lt;1,Capital,INDEX(DS_Eq,N30))</f>
        <v/>
      </c>
      <c r="Q30" s="62">
        <f>IF(N30&lt;1,0,-INDEX(DS_DDPct,N30))</f>
        <v/>
      </c>
    </row>
    <row r="31">
      <c r="B31" s="7" t="inlineStr">
        <is>
          <t>Charges as % of gross P&amp;L (abs)</t>
        </is>
      </c>
      <c r="C31" s="62">
        <f>IFERROR(C30/ABS(SUM(TL_Gross)),0)</f>
        <v/>
      </c>
      <c r="D31" s="7" t="inlineStr">
        <is>
          <t>Friction drag. High % = overtrading.</t>
        </is>
      </c>
      <c r="F31" s="7" t="n">
        <v>2</v>
      </c>
      <c r="G31" s="61">
        <f>IF($F31="","",COUNTIFS(TL_DTE,$F31,TL_Net,"&gt;-1E+15"))</f>
        <v/>
      </c>
      <c r="H31" s="62">
        <f>IF($F31="","",IFERROR(COUNTIFS(TL_DTE,$F31,TL_Net,"&gt;0")/G31,0))</f>
        <v/>
      </c>
      <c r="I31" s="16">
        <f>IF($F31="","",SUMIFS(TL_Net,TL_DTE,$F31))</f>
        <v/>
      </c>
      <c r="J31" s="63">
        <f>IF($F31="","",IFERROR(AVERAGEIFS(TL_R,TL_DTE,$F31),0))</f>
        <v/>
      </c>
      <c r="K31" s="16">
        <f>IF($F31="","",SUMIFS(TL_GiveBack,TL_DTE,$F31))</f>
        <v/>
      </c>
      <c r="N31" s="61">
        <f>$O$7-40+23</f>
        <v/>
      </c>
      <c r="O31" s="7">
        <f>IF(N31&lt;1,"",TEXT(INDEX(DS_Date,N31),"dd-mmm"))</f>
        <v/>
      </c>
      <c r="P31" s="16">
        <f>IF(N31&lt;1,Capital,INDEX(DS_Eq,N31))</f>
        <v/>
      </c>
      <c r="Q31" s="62">
        <f>IF(N31&lt;1,0,-INDEX(DS_DDPct,N31))</f>
        <v/>
      </c>
    </row>
    <row r="32">
      <c r="B32" s="7" t="inlineStr">
        <is>
          <t>Current equity ₹</t>
        </is>
      </c>
      <c r="C32" s="16">
        <f>Capital+C29</f>
        <v/>
      </c>
      <c r="D32" s="7" t="inlineStr">
        <is>
          <t>Capital + Net P&amp;L</t>
        </is>
      </c>
      <c r="F32" s="7" t="n">
        <v>3</v>
      </c>
      <c r="G32" s="61">
        <f>IF($F32="","",COUNTIFS(TL_DTE,$F32,TL_Net,"&gt;-1E+15"))</f>
        <v/>
      </c>
      <c r="H32" s="62">
        <f>IF($F32="","",IFERROR(COUNTIFS(TL_DTE,$F32,TL_Net,"&gt;0")/G32,0))</f>
        <v/>
      </c>
      <c r="I32" s="16">
        <f>IF($F32="","",SUMIFS(TL_Net,TL_DTE,$F32))</f>
        <v/>
      </c>
      <c r="J32" s="63">
        <f>IF($F32="","",IFERROR(AVERAGEIFS(TL_R,TL_DTE,$F32),0))</f>
        <v/>
      </c>
      <c r="K32" s="16">
        <f>IF($F32="","",SUMIFS(TL_GiveBack,TL_DTE,$F32))</f>
        <v/>
      </c>
      <c r="N32" s="61">
        <f>$O$7-40+24</f>
        <v/>
      </c>
      <c r="O32" s="7">
        <f>IF(N32&lt;1,"",TEXT(INDEX(DS_Date,N32),"dd-mmm"))</f>
        <v/>
      </c>
      <c r="P32" s="16">
        <f>IF(N32&lt;1,Capital,INDEX(DS_Eq,N32))</f>
        <v/>
      </c>
      <c r="Q32" s="62">
        <f>IF(N32&lt;1,0,-INDEX(DS_DDPct,N32))</f>
        <v/>
      </c>
    </row>
    <row r="33">
      <c r="B33" s="7" t="inlineStr">
        <is>
          <t>Max drawdown ₹</t>
        </is>
      </c>
      <c r="C33" s="16">
        <f>MAX(0,MAX(TL_DD))</f>
        <v/>
      </c>
      <c r="D33" s="7" t="inlineStr">
        <is>
          <t>Max of (Peak equity − Equity), trade by trade</t>
        </is>
      </c>
      <c r="F33" s="7" t="n">
        <v>4</v>
      </c>
      <c r="G33" s="61">
        <f>IF($F33="","",COUNTIFS(TL_DTE,$F33,TL_Net,"&gt;-1E+15"))</f>
        <v/>
      </c>
      <c r="H33" s="62">
        <f>IF($F33="","",IFERROR(COUNTIFS(TL_DTE,$F33,TL_Net,"&gt;0")/G33,0))</f>
        <v/>
      </c>
      <c r="I33" s="16">
        <f>IF($F33="","",SUMIFS(TL_Net,TL_DTE,$F33))</f>
        <v/>
      </c>
      <c r="J33" s="63">
        <f>IF($F33="","",IFERROR(AVERAGEIFS(TL_R,TL_DTE,$F33),0))</f>
        <v/>
      </c>
      <c r="K33" s="16">
        <f>IF($F33="","",SUMIFS(TL_GiveBack,TL_DTE,$F33))</f>
        <v/>
      </c>
      <c r="N33" s="61">
        <f>$O$7-40+25</f>
        <v/>
      </c>
      <c r="O33" s="7">
        <f>IF(N33&lt;1,"",TEXT(INDEX(DS_Date,N33),"dd-mmm"))</f>
        <v/>
      </c>
      <c r="P33" s="16">
        <f>IF(N33&lt;1,Capital,INDEX(DS_Eq,N33))</f>
        <v/>
      </c>
      <c r="Q33" s="62">
        <f>IF(N33&lt;1,0,-INDEX(DS_DDPct,N33))</f>
        <v/>
      </c>
    </row>
    <row r="34">
      <c r="B34" s="7" t="inlineStr">
        <is>
          <t>Max drawdown %</t>
        </is>
      </c>
      <c r="C34" s="62">
        <f>MAX(0,MAX(TL_DDPct))</f>
        <v/>
      </c>
      <c r="D34" s="7" t="inlineStr">
        <is>
          <t>Max DD ₹ ÷ Peak equity at that point</t>
        </is>
      </c>
      <c r="F34" s="7" t="inlineStr">
        <is>
          <t>&gt;=5</t>
        </is>
      </c>
      <c r="G34" s="61">
        <f>IF($F34="","",COUNTIFS(TL_DTE,$F34,TL_Net,"&gt;-1E+15"))</f>
        <v/>
      </c>
      <c r="H34" s="62">
        <f>IF($F34="","",IFERROR(COUNTIFS(TL_DTE,$F34,TL_Net,"&gt;0")/G34,0))</f>
        <v/>
      </c>
      <c r="I34" s="16">
        <f>IF($F34="","",SUMIFS(TL_Net,TL_DTE,$F34))</f>
        <v/>
      </c>
      <c r="J34" s="63">
        <f>IF($F34="","",IFERROR(AVERAGEIFS(TL_R,TL_DTE,$F34),0))</f>
        <v/>
      </c>
      <c r="K34" s="16">
        <f>IF($F34="","",SUMIFS(TL_GiveBack,TL_DTE,$F34))</f>
        <v/>
      </c>
      <c r="N34" s="61">
        <f>$O$7-40+26</f>
        <v/>
      </c>
      <c r="O34" s="7">
        <f>IF(N34&lt;1,"",TEXT(INDEX(DS_Date,N34),"dd-mmm"))</f>
        <v/>
      </c>
      <c r="P34" s="16">
        <f>IF(N34&lt;1,Capital,INDEX(DS_Eq,N34))</f>
        <v/>
      </c>
      <c r="Q34" s="62">
        <f>IF(N34&lt;1,0,-INDEX(DS_DDPct,N34))</f>
        <v/>
      </c>
    </row>
    <row r="35">
      <c r="B35" s="7" t="inlineStr">
        <is>
          <t>Recovery factor</t>
        </is>
      </c>
      <c r="C35" s="17">
        <f>IFERROR(C29/C33,0)</f>
        <v/>
      </c>
      <c r="D35" s="7" t="inlineStr">
        <is>
          <t>Net P&amp;L ÷ Max DD. &gt; 2 is healthy; &lt; 0 = still underwater.</t>
        </is>
      </c>
      <c r="N35" s="61">
        <f>$O$7-40+27</f>
        <v/>
      </c>
      <c r="O35" s="7">
        <f>IF(N35&lt;1,"",TEXT(INDEX(DS_Date,N35),"dd-mmm"))</f>
        <v/>
      </c>
      <c r="P35" s="16">
        <f>IF(N35&lt;1,Capital,INDEX(DS_Eq,N35))</f>
        <v/>
      </c>
      <c r="Q35" s="62">
        <f>IF(N35&lt;1,0,-INDEX(DS_DDPct,N35))</f>
        <v/>
      </c>
    </row>
    <row r="36">
      <c r="B36" s="7" t="inlineStr">
        <is>
          <t>Largest loss ₹</t>
        </is>
      </c>
      <c r="C36" s="16">
        <f>MIN(0,MIN(TL_Net))</f>
        <v/>
      </c>
      <c r="D36" s="7" t="inlineStr">
        <is>
          <t>Most negative single-trade Net P&amp;L</t>
        </is>
      </c>
      <c r="F36" s="3" t="inlineStr">
        <is>
          <t>P&amp;L BY ENTRY-TIME BUCKET</t>
        </is>
      </c>
      <c r="G36" s="4" t="n"/>
      <c r="H36" s="4" t="n"/>
      <c r="I36" s="4" t="n"/>
      <c r="J36" s="4" t="n"/>
      <c r="K36" s="4" t="n"/>
      <c r="N36" s="61">
        <f>$O$7-40+28</f>
        <v/>
      </c>
      <c r="O36" s="7">
        <f>IF(N36&lt;1,"",TEXT(INDEX(DS_Date,N36),"dd-mmm"))</f>
        <v/>
      </c>
      <c r="P36" s="16">
        <f>IF(N36&lt;1,Capital,INDEX(DS_Eq,N36))</f>
        <v/>
      </c>
      <c r="Q36" s="62">
        <f>IF(N36&lt;1,0,-INDEX(DS_DDPct,N36))</f>
        <v/>
      </c>
    </row>
    <row r="37">
      <c r="B37" s="7" t="inlineStr">
        <is>
          <t>Largest loss as % of capital</t>
        </is>
      </c>
      <c r="C37" s="62">
        <f>C36/Capital</f>
        <v/>
      </c>
      <c r="D37" s="7" t="inlineStr">
        <is>
          <t>Rule: never worse than −(Risk%) … your old −24% day.</t>
        </is>
      </c>
      <c r="F37" s="20" t="inlineStr">
        <is>
          <t>Category</t>
        </is>
      </c>
      <c r="G37" s="20" t="inlineStr">
        <is>
          <t>Trades</t>
        </is>
      </c>
      <c r="H37" s="20" t="inlineStr">
        <is>
          <t>Win %</t>
        </is>
      </c>
      <c r="I37" s="20" t="inlineStr">
        <is>
          <t>Net P&amp;L ₹</t>
        </is>
      </c>
      <c r="J37" s="20" t="inlineStr">
        <is>
          <t>Avg R</t>
        </is>
      </c>
      <c r="K37" s="20" t="inlineStr">
        <is>
          <t>Given Back ₹</t>
        </is>
      </c>
      <c r="N37" s="61">
        <f>$O$7-40+29</f>
        <v/>
      </c>
      <c r="O37" s="7">
        <f>IF(N37&lt;1,"",TEXT(INDEX(DS_Date,N37),"dd-mmm"))</f>
        <v/>
      </c>
      <c r="P37" s="16">
        <f>IF(N37&lt;1,Capital,INDEX(DS_Eq,N37))</f>
        <v/>
      </c>
      <c r="Q37" s="62">
        <f>IF(N37&lt;1,0,-INDEX(DS_DDPct,N37))</f>
        <v/>
      </c>
    </row>
    <row r="38">
      <c r="B38" s="7" t="inlineStr">
        <is>
          <t>Largest win ₹</t>
        </is>
      </c>
      <c r="C38" s="16">
        <f>MAX(0,MAX(TL_Net))</f>
        <v/>
      </c>
      <c r="D38" s="7" t="inlineStr"/>
      <c r="F38" s="7">
        <f>IFERROR(INDEX(List_BucketLabel,1),"")</f>
        <v/>
      </c>
      <c r="G38" s="61">
        <f>IF($F38="","",COUNTIFS(TL_Bucket,$F38,TL_Net,"&gt;-1E+15"))</f>
        <v/>
      </c>
      <c r="H38" s="62">
        <f>IF($F38="","",IFERROR(COUNTIFS(TL_Bucket,$F38,TL_Net,"&gt;0")/G38,0))</f>
        <v/>
      </c>
      <c r="I38" s="16">
        <f>IF($F38="","",SUMIFS(TL_Net,TL_Bucket,$F38))</f>
        <v/>
      </c>
      <c r="J38" s="63">
        <f>IF($F38="","",IFERROR(AVERAGEIFS(TL_R,TL_Bucket,$F38),0))</f>
        <v/>
      </c>
      <c r="K38" s="16">
        <f>IF($F38="","",SUMIFS(TL_GiveBack,TL_Bucket,$F38))</f>
        <v/>
      </c>
      <c r="N38" s="61">
        <f>$O$7-40+30</f>
        <v/>
      </c>
      <c r="O38" s="7">
        <f>IF(N38&lt;1,"",TEXT(INDEX(DS_Date,N38),"dd-mmm"))</f>
        <v/>
      </c>
      <c r="P38" s="16">
        <f>IF(N38&lt;1,Capital,INDEX(DS_Eq,N38))</f>
        <v/>
      </c>
      <c r="Q38" s="62">
        <f>IF(N38&lt;1,0,-INDEX(DS_DDPct,N38))</f>
        <v/>
      </c>
    </row>
    <row r="39">
      <c r="B39" s="7" t="inlineStr">
        <is>
          <t>Max consecutive losses</t>
        </is>
      </c>
      <c r="C39" s="61">
        <f>MAX(0,MAX(TL_Streak))</f>
        <v/>
      </c>
      <c r="D39" s="7" t="inlineStr">
        <is>
          <t>Longest run of losing trades</t>
        </is>
      </c>
      <c r="F39" s="7">
        <f>IFERROR(INDEX(List_BucketLabel,2),"")</f>
        <v/>
      </c>
      <c r="G39" s="61">
        <f>IF($F39="","",COUNTIFS(TL_Bucket,$F39,TL_Net,"&gt;-1E+15"))</f>
        <v/>
      </c>
      <c r="H39" s="62">
        <f>IF($F39="","",IFERROR(COUNTIFS(TL_Bucket,$F39,TL_Net,"&gt;0")/G39,0))</f>
        <v/>
      </c>
      <c r="I39" s="16">
        <f>IF($F39="","",SUMIFS(TL_Net,TL_Bucket,$F39))</f>
        <v/>
      </c>
      <c r="J39" s="63">
        <f>IF($F39="","",IFERROR(AVERAGEIFS(TL_R,TL_Bucket,$F39),0))</f>
        <v/>
      </c>
      <c r="K39" s="16">
        <f>IF($F39="","",SUMIFS(TL_GiveBack,TL_Bucket,$F39))</f>
        <v/>
      </c>
      <c r="N39" s="61">
        <f>$O$7-40+31</f>
        <v/>
      </c>
      <c r="O39" s="7">
        <f>IF(N39&lt;1,"",TEXT(INDEX(DS_Date,N39),"dd-mmm"))</f>
        <v/>
      </c>
      <c r="P39" s="16">
        <f>IF(N39&lt;1,Capital,INDEX(DS_Eq,N39))</f>
        <v/>
      </c>
      <c r="Q39" s="62">
        <f>IF(N39&lt;1,0,-INDEX(DS_DDPct,N39))</f>
        <v/>
      </c>
    </row>
    <row r="40">
      <c r="B40" s="7" t="inlineStr">
        <is>
          <t>P&amp;L of top 5 trades ₹</t>
        </is>
      </c>
      <c r="C40" s="16">
        <f>IFERROR(LARGE(TL_Net,1),0)+IFERROR(LARGE(TL_Net,2),0)+IFERROR(LARGE(TL_Net,3),0)+IFERROR(LARGE(TL_Net,4),0)+IFERROR(LARGE(TL_Net,5),0)</f>
        <v/>
      </c>
      <c r="D40" s="7" t="inlineStr">
        <is>
          <t>Σ five largest Net P&amp;L</t>
        </is>
      </c>
      <c r="F40" s="7">
        <f>IFERROR(INDEX(List_BucketLabel,3),"")</f>
        <v/>
      </c>
      <c r="G40" s="61">
        <f>IF($F40="","",COUNTIFS(TL_Bucket,$F40,TL_Net,"&gt;-1E+15"))</f>
        <v/>
      </c>
      <c r="H40" s="62">
        <f>IF($F40="","",IFERROR(COUNTIFS(TL_Bucket,$F40,TL_Net,"&gt;0")/G40,0))</f>
        <v/>
      </c>
      <c r="I40" s="16">
        <f>IF($F40="","",SUMIFS(TL_Net,TL_Bucket,$F40))</f>
        <v/>
      </c>
      <c r="J40" s="63">
        <f>IF($F40="","",IFERROR(AVERAGEIFS(TL_R,TL_Bucket,$F40),0))</f>
        <v/>
      </c>
      <c r="K40" s="16">
        <f>IF($F40="","",SUMIFS(TL_GiveBack,TL_Bucket,$F40))</f>
        <v/>
      </c>
      <c r="N40" s="61">
        <f>$O$7-40+32</f>
        <v/>
      </c>
      <c r="O40" s="7">
        <f>IF(N40&lt;1,"",TEXT(INDEX(DS_Date,N40),"dd-mmm"))</f>
        <v/>
      </c>
      <c r="P40" s="16">
        <f>IF(N40&lt;1,Capital,INDEX(DS_Eq,N40))</f>
        <v/>
      </c>
      <c r="Q40" s="62">
        <f>IF(N40&lt;1,0,-INDEX(DS_DDPct,N40))</f>
        <v/>
      </c>
    </row>
    <row r="41">
      <c r="B41" s="7" t="inlineStr">
        <is>
          <t>% of Net P&amp;L from top 5 trades</t>
        </is>
      </c>
      <c r="C41" s="62">
        <f>IF(C29&lt;=0,"n/a (net ≤ 0)",C40/C29)</f>
        <v/>
      </c>
      <c r="D41" s="7" t="inlineStr">
        <is>
          <t>Top-5 ÷ Net. &gt; 100% = the rest of your trades lose money.</t>
        </is>
      </c>
      <c r="F41" s="7">
        <f>IFERROR(INDEX(List_BucketLabel,4),"")</f>
        <v/>
      </c>
      <c r="G41" s="61">
        <f>IF($F41="","",COUNTIFS(TL_Bucket,$F41,TL_Net,"&gt;-1E+15"))</f>
        <v/>
      </c>
      <c r="H41" s="62">
        <f>IF($F41="","",IFERROR(COUNTIFS(TL_Bucket,$F41,TL_Net,"&gt;0")/G41,0))</f>
        <v/>
      </c>
      <c r="I41" s="16">
        <f>IF($F41="","",SUMIFS(TL_Net,TL_Bucket,$F41))</f>
        <v/>
      </c>
      <c r="J41" s="63">
        <f>IF($F41="","",IFERROR(AVERAGEIFS(TL_R,TL_Bucket,$F41),0))</f>
        <v/>
      </c>
      <c r="K41" s="16">
        <f>IF($F41="","",SUMIFS(TL_GiveBack,TL_Bucket,$F41))</f>
        <v/>
      </c>
      <c r="N41" s="61">
        <f>$O$7-40+33</f>
        <v/>
      </c>
      <c r="O41" s="7">
        <f>IF(N41&lt;1,"",TEXT(INDEX(DS_Date,N41),"dd-mmm"))</f>
        <v/>
      </c>
      <c r="P41" s="16">
        <f>IF(N41&lt;1,Capital,INDEX(DS_Eq,N41))</f>
        <v/>
      </c>
      <c r="Q41" s="62">
        <f>IF(N41&lt;1,0,-INDEX(DS_DDPct,N41))</f>
        <v/>
      </c>
    </row>
    <row r="42">
      <c r="B42" s="7" t="inlineStr">
        <is>
          <t>Total profit given back ₹</t>
        </is>
      </c>
      <c r="C42" s="16">
        <f>SUM(TL_GiveBack)</f>
        <v/>
      </c>
      <c r="D42" s="7" t="inlineStr">
        <is>
          <t>Σ max(0, MFE ₹ − Gross P&amp;L)</t>
        </is>
      </c>
      <c r="F42" s="7">
        <f>IFERROR(INDEX(List_BucketLabel,5),"")</f>
        <v/>
      </c>
      <c r="G42" s="61">
        <f>IF($F42="","",COUNTIFS(TL_Bucket,$F42,TL_Net,"&gt;-1E+15"))</f>
        <v/>
      </c>
      <c r="H42" s="62">
        <f>IF($F42="","",IFERROR(COUNTIFS(TL_Bucket,$F42,TL_Net,"&gt;0")/G42,0))</f>
        <v/>
      </c>
      <c r="I42" s="16">
        <f>IF($F42="","",SUMIFS(TL_Net,TL_Bucket,$F42))</f>
        <v/>
      </c>
      <c r="J42" s="63">
        <f>IF($F42="","",IFERROR(AVERAGEIFS(TL_R,TL_Bucket,$F42),0))</f>
        <v/>
      </c>
      <c r="K42" s="16">
        <f>IF($F42="","",SUMIFS(TL_GiveBack,TL_Bucket,$F42))</f>
        <v/>
      </c>
      <c r="N42" s="61">
        <f>$O$7-40+34</f>
        <v/>
      </c>
      <c r="O42" s="7">
        <f>IF(N42&lt;1,"",TEXT(INDEX(DS_Date,N42),"dd-mmm"))</f>
        <v/>
      </c>
      <c r="P42" s="16">
        <f>IF(N42&lt;1,Capital,INDEX(DS_Eq,N42))</f>
        <v/>
      </c>
      <c r="Q42" s="62">
        <f>IF(N42&lt;1,0,-INDEX(DS_DDPct,N42))</f>
        <v/>
      </c>
    </row>
    <row r="43">
      <c r="B43" s="7" t="inlineStr">
        <is>
          <t>Given back as % of MFE</t>
        </is>
      </c>
      <c r="C43" s="62">
        <f>IFERROR(C42/SUM(TL_MFE),0)</f>
        <v/>
      </c>
      <c r="D43" s="7" t="inlineStr">
        <is>
          <t>Share of open profit you returned</t>
        </is>
      </c>
      <c r="F43" s="7">
        <f>IFERROR(INDEX(List_BucketLabel,6),"")</f>
        <v/>
      </c>
      <c r="G43" s="61">
        <f>IF($F43="","",COUNTIFS(TL_Bucket,$F43,TL_Net,"&gt;-1E+15"))</f>
        <v/>
      </c>
      <c r="H43" s="62">
        <f>IF($F43="","",IFERROR(COUNTIFS(TL_Bucket,$F43,TL_Net,"&gt;0")/G43,0))</f>
        <v/>
      </c>
      <c r="I43" s="16">
        <f>IF($F43="","",SUMIFS(TL_Net,TL_Bucket,$F43))</f>
        <v/>
      </c>
      <c r="J43" s="63">
        <f>IF($F43="","",IFERROR(AVERAGEIFS(TL_R,TL_Bucket,$F43),0))</f>
        <v/>
      </c>
      <c r="K43" s="16">
        <f>IF($F43="","",SUMIFS(TL_GiveBack,TL_Bucket,$F43))</f>
        <v/>
      </c>
      <c r="N43" s="61">
        <f>$O$7-40+35</f>
        <v/>
      </c>
      <c r="O43" s="7">
        <f>IF(N43&lt;1,"",TEXT(INDEX(DS_Date,N43),"dd-mmm"))</f>
        <v/>
      </c>
      <c r="P43" s="16">
        <f>IF(N43&lt;1,Capital,INDEX(DS_Eq,N43))</f>
        <v/>
      </c>
      <c r="Q43" s="62">
        <f>IF(N43&lt;1,0,-INDEX(DS_DDPct,N43))</f>
        <v/>
      </c>
    </row>
    <row r="44">
      <c r="B44" s="7" t="inlineStr">
        <is>
          <t>Rule adherence %</t>
        </is>
      </c>
      <c r="C44" s="62">
        <f>IFERROR(COUNTIF(TL_Followed,"Y")/(COUNTIF(TL_Followed,"Y")+COUNTIF(TL_Followed,"N")),0)</f>
        <v/>
      </c>
      <c r="D44" s="7" t="inlineStr">
        <is>
          <t>Y ÷ (Y + N). Target 100%.</t>
        </is>
      </c>
      <c r="N44" s="61">
        <f>$O$7-40+36</f>
        <v/>
      </c>
      <c r="O44" s="7">
        <f>IF(N44&lt;1,"",TEXT(INDEX(DS_Date,N44),"dd-mmm"))</f>
        <v/>
      </c>
      <c r="P44" s="16">
        <f>IF(N44&lt;1,Capital,INDEX(DS_Eq,N44))</f>
        <v/>
      </c>
      <c r="Q44" s="62">
        <f>IF(N44&lt;1,0,-INDEX(DS_DDPct,N44))</f>
        <v/>
      </c>
    </row>
    <row r="45">
      <c r="B45" s="7" t="inlineStr">
        <is>
          <t>Net P&amp;L – rules followed ₹</t>
        </is>
      </c>
      <c r="C45" s="16">
        <f>SUMIFS(TL_Net,TL_Followed,"Y")</f>
        <v/>
      </c>
      <c r="D45" s="7" t="inlineStr">
        <is>
          <t>What your system actually earns</t>
        </is>
      </c>
      <c r="F45" s="3" t="inlineStr">
        <is>
          <t>P&amp;L BY EXIT REASON</t>
        </is>
      </c>
      <c r="G45" s="4" t="n"/>
      <c r="H45" s="4" t="n"/>
      <c r="I45" s="4" t="n"/>
      <c r="J45" s="4" t="n"/>
      <c r="K45" s="4" t="n"/>
      <c r="N45" s="61">
        <f>$O$7-40+37</f>
        <v/>
      </c>
      <c r="O45" s="7">
        <f>IF(N45&lt;1,"",TEXT(INDEX(DS_Date,N45),"dd-mmm"))</f>
        <v/>
      </c>
      <c r="P45" s="16">
        <f>IF(N45&lt;1,Capital,INDEX(DS_Eq,N45))</f>
        <v/>
      </c>
      <c r="Q45" s="62">
        <f>IF(N45&lt;1,0,-INDEX(DS_DDPct,N45))</f>
        <v/>
      </c>
    </row>
    <row r="46">
      <c r="B46" s="7" t="inlineStr">
        <is>
          <t>Net P&amp;L – rules broken ₹ (cost of indiscipline)</t>
        </is>
      </c>
      <c r="C46" s="16">
        <f>SUMIFS(TL_Net,TL_Followed,"N")</f>
        <v/>
      </c>
      <c r="D46" s="7" t="inlineStr">
        <is>
          <t>What breaking rules cost you</t>
        </is>
      </c>
      <c r="F46" s="20" t="inlineStr">
        <is>
          <t>Category</t>
        </is>
      </c>
      <c r="G46" s="20" t="inlineStr">
        <is>
          <t>Trades</t>
        </is>
      </c>
      <c r="H46" s="20" t="inlineStr">
        <is>
          <t>Win %</t>
        </is>
      </c>
      <c r="I46" s="20" t="inlineStr">
        <is>
          <t>Net P&amp;L ₹</t>
        </is>
      </c>
      <c r="J46" s="20" t="inlineStr">
        <is>
          <t>Avg R</t>
        </is>
      </c>
      <c r="K46" s="20" t="inlineStr">
        <is>
          <t>Given Back ₹</t>
        </is>
      </c>
      <c r="N46" s="61">
        <f>$O$7-40+38</f>
        <v/>
      </c>
      <c r="O46" s="7">
        <f>IF(N46&lt;1,"",TEXT(INDEX(DS_Date,N46),"dd-mmm"))</f>
        <v/>
      </c>
      <c r="P46" s="16">
        <f>IF(N46&lt;1,Capital,INDEX(DS_Eq,N46))</f>
        <v/>
      </c>
      <c r="Q46" s="62">
        <f>IF(N46&lt;1,0,-INDEX(DS_DDPct,N46))</f>
        <v/>
      </c>
    </row>
    <row r="47">
      <c r="B47" s="7" t="inlineStr">
        <is>
          <t>Oversized / no-SL trades</t>
        </is>
      </c>
      <c r="C47" s="61">
        <f>COUNTIF(TL_SizeChk,"OVERSIZED")+COUNTIF(TL_SizeChk,"NO SL")</f>
        <v/>
      </c>
      <c r="D47" s="7" t="inlineStr">
        <is>
          <t>From Size Check column</t>
        </is>
      </c>
      <c r="F47" s="7">
        <f>IFERROR(INDEX(List_ExitReason,1),"")</f>
        <v/>
      </c>
      <c r="G47" s="61">
        <f>IF($F47="","",COUNTIFS(TL_XReason,$F47,TL_Net,"&gt;-1E+15"))</f>
        <v/>
      </c>
      <c r="H47" s="62">
        <f>IF($F47="","",IFERROR(COUNTIFS(TL_XReason,$F47,TL_Net,"&gt;0")/G47,0))</f>
        <v/>
      </c>
      <c r="I47" s="16">
        <f>IF($F47="","",SUMIFS(TL_Net,TL_XReason,$F47))</f>
        <v/>
      </c>
      <c r="J47" s="63">
        <f>IF($F47="","",IFERROR(AVERAGEIFS(TL_R,TL_XReason,$F47),0))</f>
        <v/>
      </c>
      <c r="K47" s="16">
        <f>IF($F47="","",SUMIFS(TL_GiveBack,TL_XReason,$F47))</f>
        <v/>
      </c>
      <c r="N47" s="61">
        <f>$O$7-40+39</f>
        <v/>
      </c>
      <c r="O47" s="7">
        <f>IF(N47&lt;1,"",TEXT(INDEX(DS_Date,N47),"dd-mmm"))</f>
        <v/>
      </c>
      <c r="P47" s="16">
        <f>IF(N47&lt;1,Capital,INDEX(DS_Eq,N47))</f>
        <v/>
      </c>
      <c r="Q47" s="62">
        <f>IF(N47&lt;1,0,-INDEX(DS_DDPct,N47))</f>
        <v/>
      </c>
    </row>
    <row r="48">
      <c r="B48" s="7" t="inlineStr">
        <is>
          <t>Expiry-cutoff breaches</t>
        </is>
      </c>
      <c r="C48" s="61">
        <f>COUNTIF(TL_ExpBreach,"BREACH")</f>
        <v/>
      </c>
      <c r="D48" s="7" t="inlineStr">
        <is>
          <t>Shorts held past cutoff on DTE 0</t>
        </is>
      </c>
      <c r="F48" s="7">
        <f>IFERROR(INDEX(List_ExitReason,2),"")</f>
        <v/>
      </c>
      <c r="G48" s="61">
        <f>IF($F48="","",COUNTIFS(TL_XReason,$F48,TL_Net,"&gt;-1E+15"))</f>
        <v/>
      </c>
      <c r="H48" s="62">
        <f>IF($F48="","",IFERROR(COUNTIFS(TL_XReason,$F48,TL_Net,"&gt;0")/G48,0))</f>
        <v/>
      </c>
      <c r="I48" s="16">
        <f>IF($F48="","",SUMIFS(TL_Net,TL_XReason,$F48))</f>
        <v/>
      </c>
      <c r="J48" s="63">
        <f>IF($F48="","",IFERROR(AVERAGEIFS(TL_R,TL_XReason,$F48),0))</f>
        <v/>
      </c>
      <c r="K48" s="16">
        <f>IF($F48="","",SUMIFS(TL_GiveBack,TL_XReason,$F48))</f>
        <v/>
      </c>
      <c r="N48" s="61">
        <f>$O$7-40+40</f>
        <v/>
      </c>
      <c r="O48" s="7">
        <f>IF(N48&lt;1,"",TEXT(INDEX(DS_Date,N48),"dd-mmm"))</f>
        <v/>
      </c>
      <c r="P48" s="16">
        <f>IF(N48&lt;1,Capital,INDEX(DS_Eq,N48))</f>
        <v/>
      </c>
      <c r="Q48" s="62">
        <f>IF(N48&lt;1,0,-INDEX(DS_DDPct,N48))</f>
        <v/>
      </c>
    </row>
    <row r="49">
      <c r="B49" s="7" t="inlineStr">
        <is>
          <t>Days with a limit broken</t>
        </is>
      </c>
      <c r="C49" s="61">
        <f>COUNTIF(DS_Status,"LIMIT BROKEN")</f>
        <v/>
      </c>
      <c r="D49" s="7" t="inlineStr">
        <is>
          <t>From DAILY SUMMARY</t>
        </is>
      </c>
      <c r="F49" s="7">
        <f>IFERROR(INDEX(List_ExitReason,3),"")</f>
        <v/>
      </c>
      <c r="G49" s="61">
        <f>IF($F49="","",COUNTIFS(TL_XReason,$F49,TL_Net,"&gt;-1E+15"))</f>
        <v/>
      </c>
      <c r="H49" s="62">
        <f>IF($F49="","",IFERROR(COUNTIFS(TL_XReason,$F49,TL_Net,"&gt;0")/G49,0))</f>
        <v/>
      </c>
      <c r="I49" s="16">
        <f>IF($F49="","",SUMIFS(TL_Net,TL_XReason,$F49))</f>
        <v/>
      </c>
      <c r="J49" s="63">
        <f>IF($F49="","",IFERROR(AVERAGEIFS(TL_R,TL_XReason,$F49),0))</f>
        <v/>
      </c>
      <c r="K49" s="16">
        <f>IF($F49="","",SUMIFS(TL_GiveBack,TL_XReason,$F49))</f>
        <v/>
      </c>
    </row>
    <row r="50">
      <c r="F50" s="7">
        <f>IFERROR(INDEX(List_ExitReason,4),"")</f>
        <v/>
      </c>
      <c r="G50" s="61">
        <f>IF($F50="","",COUNTIFS(TL_XReason,$F50,TL_Net,"&gt;-1E+15"))</f>
        <v/>
      </c>
      <c r="H50" s="62">
        <f>IF($F50="","",IFERROR(COUNTIFS(TL_XReason,$F50,TL_Net,"&gt;0")/G50,0))</f>
        <v/>
      </c>
      <c r="I50" s="16">
        <f>IF($F50="","",SUMIFS(TL_Net,TL_XReason,$F50))</f>
        <v/>
      </c>
      <c r="J50" s="63">
        <f>IF($F50="","",IFERROR(AVERAGEIFS(TL_R,TL_XReason,$F50),0))</f>
        <v/>
      </c>
      <c r="K50" s="16">
        <f>IF($F50="","",SUMIFS(TL_GiveBack,TL_XReason,$F50))</f>
        <v/>
      </c>
    </row>
    <row r="51">
      <c r="F51" s="7">
        <f>IFERROR(INDEX(List_ExitReason,5),"")</f>
        <v/>
      </c>
      <c r="G51" s="61">
        <f>IF($F51="","",COUNTIFS(TL_XReason,$F51,TL_Net,"&gt;-1E+15"))</f>
        <v/>
      </c>
      <c r="H51" s="62">
        <f>IF($F51="","",IFERROR(COUNTIFS(TL_XReason,$F51,TL_Net,"&gt;0")/G51,0))</f>
        <v/>
      </c>
      <c r="I51" s="16">
        <f>IF($F51="","",SUMIFS(TL_Net,TL_XReason,$F51))</f>
        <v/>
      </c>
      <c r="J51" s="63">
        <f>IF($F51="","",IFERROR(AVERAGEIFS(TL_R,TL_XReason,$F51),0))</f>
        <v/>
      </c>
      <c r="K51" s="16">
        <f>IF($F51="","",SUMIFS(TL_GiveBack,TL_XReason,$F51))</f>
        <v/>
      </c>
    </row>
    <row r="52">
      <c r="F52" s="7">
        <f>IFERROR(INDEX(List_ExitReason,6),"")</f>
        <v/>
      </c>
      <c r="G52" s="61">
        <f>IF($F52="","",COUNTIFS(TL_XReason,$F52,TL_Net,"&gt;-1E+15"))</f>
        <v/>
      </c>
      <c r="H52" s="62">
        <f>IF($F52="","",IFERROR(COUNTIFS(TL_XReason,$F52,TL_Net,"&gt;0")/G52,0))</f>
        <v/>
      </c>
      <c r="I52" s="16">
        <f>IF($F52="","",SUMIFS(TL_Net,TL_XReason,$F52))</f>
        <v/>
      </c>
      <c r="J52" s="63">
        <f>IF($F52="","",IFERROR(AVERAGEIFS(TL_R,TL_XReason,$F52),0))</f>
        <v/>
      </c>
      <c r="K52" s="16">
        <f>IF($F52="","",SUMIFS(TL_GiveBack,TL_XReason,$F52))</f>
        <v/>
      </c>
    </row>
    <row r="53">
      <c r="F53" s="7">
        <f>IFERROR(INDEX(List_ExitReason,7),"")</f>
        <v/>
      </c>
      <c r="G53" s="61">
        <f>IF($F53="","",COUNTIFS(TL_XReason,$F53,TL_Net,"&gt;-1E+15"))</f>
        <v/>
      </c>
      <c r="H53" s="62">
        <f>IF($F53="","",IFERROR(COUNTIFS(TL_XReason,$F53,TL_Net,"&gt;0")/G53,0))</f>
        <v/>
      </c>
      <c r="I53" s="16">
        <f>IF($F53="","",SUMIFS(TL_Net,TL_XReason,$F53))</f>
        <v/>
      </c>
      <c r="J53" s="63">
        <f>IF($F53="","",IFERROR(AVERAGEIFS(TL_R,TL_XReason,$F53),0))</f>
        <v/>
      </c>
      <c r="K53" s="16">
        <f>IF($F53="","",SUMIFS(TL_GiveBack,TL_XReason,$F53))</f>
        <v/>
      </c>
    </row>
    <row r="55">
      <c r="F55" s="3" t="inlineStr">
        <is>
          <t>RULES FOLLOWED (Y) vs BROKEN (N)</t>
        </is>
      </c>
      <c r="G55" s="4" t="n"/>
      <c r="H55" s="4" t="n"/>
      <c r="I55" s="4" t="n"/>
      <c r="J55" s="4" t="n"/>
      <c r="K55" s="4" t="n"/>
    </row>
    <row r="56">
      <c r="F56" s="20" t="inlineStr">
        <is>
          <t>Category</t>
        </is>
      </c>
      <c r="G56" s="20" t="inlineStr">
        <is>
          <t>Trades</t>
        </is>
      </c>
      <c r="H56" s="20" t="inlineStr">
        <is>
          <t>Win %</t>
        </is>
      </c>
      <c r="I56" s="20" t="inlineStr">
        <is>
          <t>Net P&amp;L ₹</t>
        </is>
      </c>
      <c r="J56" s="20" t="inlineStr">
        <is>
          <t>Avg R</t>
        </is>
      </c>
      <c r="K56" s="20" t="inlineStr">
        <is>
          <t>Given Back ₹</t>
        </is>
      </c>
    </row>
    <row r="57">
      <c r="F57" s="7" t="inlineStr">
        <is>
          <t>Y</t>
        </is>
      </c>
      <c r="G57" s="61">
        <f>IF($F57="","",COUNTIFS(TL_Followed,$F57,TL_Net,"&gt;-1E+15"))</f>
        <v/>
      </c>
      <c r="H57" s="62">
        <f>IF($F57="","",IFERROR(COUNTIFS(TL_Followed,$F57,TL_Net,"&gt;0")/G57,0))</f>
        <v/>
      </c>
      <c r="I57" s="16">
        <f>IF($F57="","",SUMIFS(TL_Net,TL_Followed,$F57))</f>
        <v/>
      </c>
      <c r="J57" s="63">
        <f>IF($F57="","",IFERROR(AVERAGEIFS(TL_R,TL_Followed,$F57),0))</f>
        <v/>
      </c>
      <c r="K57" s="16">
        <f>IF($F57="","",SUMIFS(TL_GiveBack,TL_Followed,$F57))</f>
        <v/>
      </c>
    </row>
    <row r="58">
      <c r="F58" s="7" t="inlineStr">
        <is>
          <t>N</t>
        </is>
      </c>
      <c r="G58" s="61">
        <f>IF($F58="","",COUNTIFS(TL_Followed,$F58,TL_Net,"&gt;-1E+15"))</f>
        <v/>
      </c>
      <c r="H58" s="62">
        <f>IF($F58="","",IFERROR(COUNTIFS(TL_Followed,$F58,TL_Net,"&gt;0")/G58,0))</f>
        <v/>
      </c>
      <c r="I58" s="16">
        <f>IF($F58="","",SUMIFS(TL_Net,TL_Followed,$F58))</f>
        <v/>
      </c>
      <c r="J58" s="63">
        <f>IF($F58="","",IFERROR(AVERAGEIFS(TL_R,TL_Followed,$F58),0))</f>
        <v/>
      </c>
      <c r="K58" s="16">
        <f>IF($F58="","",SUMIFS(TL_GiveBack,TL_Followed,$F58))</f>
        <v/>
      </c>
    </row>
    <row r="60">
      <c r="F60" s="3" t="inlineStr">
        <is>
          <t>COST BY RULE BROKEN</t>
        </is>
      </c>
      <c r="G60" s="4" t="n"/>
      <c r="H60" s="4" t="n"/>
      <c r="I60" s="4" t="n"/>
      <c r="J60" s="4" t="n"/>
      <c r="K60" s="4" t="n"/>
    </row>
    <row r="61">
      <c r="F61" s="20" t="inlineStr">
        <is>
          <t>Category</t>
        </is>
      </c>
      <c r="G61" s="20" t="inlineStr">
        <is>
          <t>Trades</t>
        </is>
      </c>
      <c r="H61" s="20" t="inlineStr">
        <is>
          <t>Win %</t>
        </is>
      </c>
      <c r="I61" s="20" t="inlineStr">
        <is>
          <t>Net P&amp;L ₹</t>
        </is>
      </c>
      <c r="J61" s="20" t="inlineStr">
        <is>
          <t>Avg R</t>
        </is>
      </c>
      <c r="K61" s="20" t="inlineStr">
        <is>
          <t>Given Back ₹</t>
        </is>
      </c>
    </row>
    <row r="62">
      <c r="F62" s="7">
        <f>IFERROR(INDEX(List_RuleBroken,1),"")</f>
        <v/>
      </c>
      <c r="G62" s="61">
        <f>IF($F62="","",COUNTIFS(TL_Broken,$F62,TL_Net,"&gt;-1E+15"))</f>
        <v/>
      </c>
      <c r="H62" s="62">
        <f>IF($F62="","",IFERROR(COUNTIFS(TL_Broken,$F62,TL_Net,"&gt;0")/G62,0))</f>
        <v/>
      </c>
      <c r="I62" s="16">
        <f>IF($F62="","",SUMIFS(TL_Net,TL_Broken,$F62))</f>
        <v/>
      </c>
      <c r="J62" s="63">
        <f>IF($F62="","",IFERROR(AVERAGEIFS(TL_R,TL_Broken,$F62),0))</f>
        <v/>
      </c>
      <c r="K62" s="16">
        <f>IF($F62="","",SUMIFS(TL_GiveBack,TL_Broken,$F62))</f>
        <v/>
      </c>
    </row>
    <row r="63">
      <c r="F63" s="7">
        <f>IFERROR(INDEX(List_RuleBroken,2),"")</f>
        <v/>
      </c>
      <c r="G63" s="61">
        <f>IF($F63="","",COUNTIFS(TL_Broken,$F63,TL_Net,"&gt;-1E+15"))</f>
        <v/>
      </c>
      <c r="H63" s="62">
        <f>IF($F63="","",IFERROR(COUNTIFS(TL_Broken,$F63,TL_Net,"&gt;0")/G63,0))</f>
        <v/>
      </c>
      <c r="I63" s="16">
        <f>IF($F63="","",SUMIFS(TL_Net,TL_Broken,$F63))</f>
        <v/>
      </c>
      <c r="J63" s="63">
        <f>IF($F63="","",IFERROR(AVERAGEIFS(TL_R,TL_Broken,$F63),0))</f>
        <v/>
      </c>
      <c r="K63" s="16">
        <f>IF($F63="","",SUMIFS(TL_GiveBack,TL_Broken,$F63))</f>
        <v/>
      </c>
    </row>
    <row r="64">
      <c r="F64" s="7">
        <f>IFERROR(INDEX(List_RuleBroken,3),"")</f>
        <v/>
      </c>
      <c r="G64" s="61">
        <f>IF($F64="","",COUNTIFS(TL_Broken,$F64,TL_Net,"&gt;-1E+15"))</f>
        <v/>
      </c>
      <c r="H64" s="62">
        <f>IF($F64="","",IFERROR(COUNTIFS(TL_Broken,$F64,TL_Net,"&gt;0")/G64,0))</f>
        <v/>
      </c>
      <c r="I64" s="16">
        <f>IF($F64="","",SUMIFS(TL_Net,TL_Broken,$F64))</f>
        <v/>
      </c>
      <c r="J64" s="63">
        <f>IF($F64="","",IFERROR(AVERAGEIFS(TL_R,TL_Broken,$F64),0))</f>
        <v/>
      </c>
      <c r="K64" s="16">
        <f>IF($F64="","",SUMIFS(TL_GiveBack,TL_Broken,$F64))</f>
        <v/>
      </c>
    </row>
    <row r="65">
      <c r="F65" s="7">
        <f>IFERROR(INDEX(List_RuleBroken,4),"")</f>
        <v/>
      </c>
      <c r="G65" s="61">
        <f>IF($F65="","",COUNTIFS(TL_Broken,$F65,TL_Net,"&gt;-1E+15"))</f>
        <v/>
      </c>
      <c r="H65" s="62">
        <f>IF($F65="","",IFERROR(COUNTIFS(TL_Broken,$F65,TL_Net,"&gt;0")/G65,0))</f>
        <v/>
      </c>
      <c r="I65" s="16">
        <f>IF($F65="","",SUMIFS(TL_Net,TL_Broken,$F65))</f>
        <v/>
      </c>
      <c r="J65" s="63">
        <f>IF($F65="","",IFERROR(AVERAGEIFS(TL_R,TL_Broken,$F65),0))</f>
        <v/>
      </c>
      <c r="K65" s="16">
        <f>IF($F65="","",SUMIFS(TL_GiveBack,TL_Broken,$F65))</f>
        <v/>
      </c>
    </row>
    <row r="66">
      <c r="F66" s="7">
        <f>IFERROR(INDEX(List_RuleBroken,5),"")</f>
        <v/>
      </c>
      <c r="G66" s="61">
        <f>IF($F66="","",COUNTIFS(TL_Broken,$F66,TL_Net,"&gt;-1E+15"))</f>
        <v/>
      </c>
      <c r="H66" s="62">
        <f>IF($F66="","",IFERROR(COUNTIFS(TL_Broken,$F66,TL_Net,"&gt;0")/G66,0))</f>
        <v/>
      </c>
      <c r="I66" s="16">
        <f>IF($F66="","",SUMIFS(TL_Net,TL_Broken,$F66))</f>
        <v/>
      </c>
      <c r="J66" s="63">
        <f>IF($F66="","",IFERROR(AVERAGEIFS(TL_R,TL_Broken,$F66),0))</f>
        <v/>
      </c>
      <c r="K66" s="16">
        <f>IF($F66="","",SUMIFS(TL_GiveBack,TL_Broken,$F66))</f>
        <v/>
      </c>
    </row>
    <row r="67">
      <c r="F67" s="7">
        <f>IFERROR(INDEX(List_RuleBroken,6),"")</f>
        <v/>
      </c>
      <c r="G67" s="61">
        <f>IF($F67="","",COUNTIFS(TL_Broken,$F67,TL_Net,"&gt;-1E+15"))</f>
        <v/>
      </c>
      <c r="H67" s="62">
        <f>IF($F67="","",IFERROR(COUNTIFS(TL_Broken,$F67,TL_Net,"&gt;0")/G67,0))</f>
        <v/>
      </c>
      <c r="I67" s="16">
        <f>IF($F67="","",SUMIFS(TL_Net,TL_Broken,$F67))</f>
        <v/>
      </c>
      <c r="J67" s="63">
        <f>IF($F67="","",IFERROR(AVERAGEIFS(TL_R,TL_Broken,$F67),0))</f>
        <v/>
      </c>
      <c r="K67" s="16">
        <f>IF($F67="","",SUMIFS(TL_GiveBack,TL_Broken,$F67))</f>
        <v/>
      </c>
    </row>
    <row r="68">
      <c r="F68" s="7">
        <f>IFERROR(INDEX(List_RuleBroken,7),"")</f>
        <v/>
      </c>
      <c r="G68" s="61">
        <f>IF($F68="","",COUNTIFS(TL_Broken,$F68,TL_Net,"&gt;-1E+15"))</f>
        <v/>
      </c>
      <c r="H68" s="62">
        <f>IF($F68="","",IFERROR(COUNTIFS(TL_Broken,$F68,TL_Net,"&gt;0")/G68,0))</f>
        <v/>
      </c>
      <c r="I68" s="16">
        <f>IF($F68="","",SUMIFS(TL_Net,TL_Broken,$F68))</f>
        <v/>
      </c>
      <c r="J68" s="63">
        <f>IF($F68="","",IFERROR(AVERAGEIFS(TL_R,TL_Broken,$F68),0))</f>
        <v/>
      </c>
      <c r="K68" s="16">
        <f>IF($F68="","",SUMIFS(TL_GiveBack,TL_Broken,$F68))</f>
        <v/>
      </c>
    </row>
    <row r="69">
      <c r="F69" s="7">
        <f>IFERROR(INDEX(List_RuleBroken,8),"")</f>
        <v/>
      </c>
      <c r="G69" s="61">
        <f>IF($F69="","",COUNTIFS(TL_Broken,$F69,TL_Net,"&gt;-1E+15"))</f>
        <v/>
      </c>
      <c r="H69" s="62">
        <f>IF($F69="","",IFERROR(COUNTIFS(TL_Broken,$F69,TL_Net,"&gt;0")/G69,0))</f>
        <v/>
      </c>
      <c r="I69" s="16">
        <f>IF($F69="","",SUMIFS(TL_Net,TL_Broken,$F69))</f>
        <v/>
      </c>
      <c r="J69" s="63">
        <f>IF($F69="","",IFERROR(AVERAGEIFS(TL_R,TL_Broken,$F69),0))</f>
        <v/>
      </c>
      <c r="K69" s="16">
        <f>IF($F69="","",SUMIFS(TL_GiveBack,TL_Broken,$F69))</f>
        <v/>
      </c>
    </row>
    <row r="70">
      <c r="F70" s="7">
        <f>IFERROR(INDEX(List_RuleBroken,9),"")</f>
        <v/>
      </c>
      <c r="G70" s="61">
        <f>IF($F70="","",COUNTIFS(TL_Broken,$F70,TL_Net,"&gt;-1E+15"))</f>
        <v/>
      </c>
      <c r="H70" s="62">
        <f>IF($F70="","",IFERROR(COUNTIFS(TL_Broken,$F70,TL_Net,"&gt;0")/G70,0))</f>
        <v/>
      </c>
      <c r="I70" s="16">
        <f>IF($F70="","",SUMIFS(TL_Net,TL_Broken,$F70))</f>
        <v/>
      </c>
      <c r="J70" s="63">
        <f>IF($F70="","",IFERROR(AVERAGEIFS(TL_R,TL_Broken,$F70),0))</f>
        <v/>
      </c>
      <c r="K70" s="16">
        <f>IF($F70="","",SUMIFS(TL_GiveBack,TL_Broken,$F70))</f>
        <v/>
      </c>
    </row>
    <row r="71">
      <c r="F71" s="7">
        <f>IFERROR(INDEX(List_RuleBroken,10),"")</f>
        <v/>
      </c>
      <c r="G71" s="61">
        <f>IF($F71="","",COUNTIFS(TL_Broken,$F71,TL_Net,"&gt;-1E+15"))</f>
        <v/>
      </c>
      <c r="H71" s="62">
        <f>IF($F71="","",IFERROR(COUNTIFS(TL_Broken,$F71,TL_Net,"&gt;0")/G71,0))</f>
        <v/>
      </c>
      <c r="I71" s="16">
        <f>IF($F71="","",SUMIFS(TL_Net,TL_Broken,$F71))</f>
        <v/>
      </c>
      <c r="J71" s="63">
        <f>IF($F71="","",IFERROR(AVERAGEIFS(TL_R,TL_Broken,$F71),0))</f>
        <v/>
      </c>
      <c r="K71" s="16">
        <f>IF($F71="","",SUMIFS(TL_GiveBack,TL_Broken,$F71))</f>
        <v/>
      </c>
    </row>
    <row r="72">
      <c r="F72" s="7">
        <f>IFERROR(INDEX(List_RuleBroken,11),"")</f>
        <v/>
      </c>
      <c r="G72" s="61">
        <f>IF($F72="","",COUNTIFS(TL_Broken,$F72,TL_Net,"&gt;-1E+15"))</f>
        <v/>
      </c>
      <c r="H72" s="62">
        <f>IF($F72="","",IFERROR(COUNTIFS(TL_Broken,$F72,TL_Net,"&gt;0")/G72,0))</f>
        <v/>
      </c>
      <c r="I72" s="16">
        <f>IF($F72="","",SUMIFS(TL_Net,TL_Broken,$F72))</f>
        <v/>
      </c>
      <c r="J72" s="63">
        <f>IF($F72="","",IFERROR(AVERAGEIFS(TL_R,TL_Broken,$F72),0))</f>
        <v/>
      </c>
      <c r="K72" s="16">
        <f>IF($F72="","",SUMIFS(TL_GiveBack,TL_Broken,$F72))</f>
        <v/>
      </c>
    </row>
    <row r="74">
      <c r="F74" s="3" t="inlineStr">
        <is>
          <t>P&amp;L BY SETUP GRADE</t>
        </is>
      </c>
      <c r="G74" s="4" t="n"/>
      <c r="H74" s="4" t="n"/>
      <c r="I74" s="4" t="n"/>
      <c r="J74" s="4" t="n"/>
      <c r="K74" s="4" t="n"/>
    </row>
    <row r="75">
      <c r="F75" s="20" t="inlineStr">
        <is>
          <t>Category</t>
        </is>
      </c>
      <c r="G75" s="20" t="inlineStr">
        <is>
          <t>Trades</t>
        </is>
      </c>
      <c r="H75" s="20" t="inlineStr">
        <is>
          <t>Win %</t>
        </is>
      </c>
      <c r="I75" s="20" t="inlineStr">
        <is>
          <t>Net P&amp;L ₹</t>
        </is>
      </c>
      <c r="J75" s="20" t="inlineStr">
        <is>
          <t>Avg R</t>
        </is>
      </c>
      <c r="K75" s="20" t="inlineStr">
        <is>
          <t>Given Back ₹</t>
        </is>
      </c>
    </row>
    <row r="76">
      <c r="F76" s="7">
        <f>IFERROR(INDEX(List_Grade,1),"")</f>
        <v/>
      </c>
      <c r="G76" s="61">
        <f>IF($F76="","",COUNTIFS(TL_Grade,$F76,TL_Net,"&gt;-1E+15"))</f>
        <v/>
      </c>
      <c r="H76" s="62">
        <f>IF($F76="","",IFERROR(COUNTIFS(TL_Grade,$F76,TL_Net,"&gt;0")/G76,0))</f>
        <v/>
      </c>
      <c r="I76" s="16">
        <f>IF($F76="","",SUMIFS(TL_Net,TL_Grade,$F76))</f>
        <v/>
      </c>
      <c r="J76" s="63">
        <f>IF($F76="","",IFERROR(AVERAGEIFS(TL_R,TL_Grade,$F76),0))</f>
        <v/>
      </c>
      <c r="K76" s="16">
        <f>IF($F76="","",SUMIFS(TL_GiveBack,TL_Grade,$F76))</f>
        <v/>
      </c>
    </row>
    <row r="77">
      <c r="F77" s="7">
        <f>IFERROR(INDEX(List_Grade,2),"")</f>
        <v/>
      </c>
      <c r="G77" s="61">
        <f>IF($F77="","",COUNTIFS(TL_Grade,$F77,TL_Net,"&gt;-1E+15"))</f>
        <v/>
      </c>
      <c r="H77" s="62">
        <f>IF($F77="","",IFERROR(COUNTIFS(TL_Grade,$F77,TL_Net,"&gt;0")/G77,0))</f>
        <v/>
      </c>
      <c r="I77" s="16">
        <f>IF($F77="","",SUMIFS(TL_Net,TL_Grade,$F77))</f>
        <v/>
      </c>
      <c r="J77" s="63">
        <f>IF($F77="","",IFERROR(AVERAGEIFS(TL_R,TL_Grade,$F77),0))</f>
        <v/>
      </c>
      <c r="K77" s="16">
        <f>IF($F77="","",SUMIFS(TL_GiveBack,TL_Grade,$F77))</f>
        <v/>
      </c>
    </row>
    <row r="78">
      <c r="F78" s="7">
        <f>IFERROR(INDEX(List_Grade,3),"")</f>
        <v/>
      </c>
      <c r="G78" s="61">
        <f>IF($F78="","",COUNTIFS(TL_Grade,$F78,TL_Net,"&gt;-1E+15"))</f>
        <v/>
      </c>
      <c r="H78" s="62">
        <f>IF($F78="","",IFERROR(COUNTIFS(TL_Grade,$F78,TL_Net,"&gt;0")/G78,0))</f>
        <v/>
      </c>
      <c r="I78" s="16">
        <f>IF($F78="","",SUMIFS(TL_Net,TL_Grade,$F78))</f>
        <v/>
      </c>
      <c r="J78" s="63">
        <f>IF($F78="","",IFERROR(AVERAGEIFS(TL_R,TL_Grade,$F78),0))</f>
        <v/>
      </c>
      <c r="K78" s="16">
        <f>IF($F78="","",SUMIFS(TL_GiveBack,TL_Grade,$F78))</f>
        <v/>
      </c>
    </row>
  </sheetData>
  <mergeCells count="2">
    <mergeCell ref="B4:K4"/>
    <mergeCell ref="C15:D15"/>
  </mergeCells>
  <conditionalFormatting sqref="B4:K4">
    <cfRule type="expression" priority="1" dxfId="6">
      <formula>$C$14="STOP"</formula>
    </cfRule>
    <cfRule type="expression" priority="2" dxfId="7">
      <formula>$C$14&lt;&gt;"STOP"</formula>
    </cfRule>
  </conditionalFormatting>
  <conditionalFormatting sqref="C9">
    <cfRule type="expression" priority="3" dxfId="2">
      <formula>C9&lt;=-DailyLossLimit</formula>
    </cfRule>
  </conditionalFormatting>
  <conditionalFormatting sqref="C10">
    <cfRule type="expression" priority="4" dxfId="2">
      <formula>C10&lt;=0</formula>
    </cfRule>
  </conditionalFormatting>
  <conditionalFormatting sqref="C8">
    <cfRule type="expression" priority="5" dxfId="2">
      <formula>C8&gt;=MaxTradesDay</formula>
    </cfRule>
  </conditionalFormatting>
  <conditionalFormatting sqref="C11">
    <cfRule type="expression" priority="6" dxfId="2">
      <formula>C11&lt;=-WeeklyDDLimit</formula>
    </cfRule>
  </conditionalFormatting>
  <conditionalFormatting sqref="C12">
    <cfRule type="expression" priority="7" dxfId="2">
      <formula>C12&gt;=MaxConsecLosses</formula>
    </cfRule>
  </conditionalFormatting>
  <conditionalFormatting sqref="C13">
    <cfRule type="expression" priority="8" dxfId="2">
      <formula>C13&gt;0</formula>
    </cfRule>
  </conditionalFormatting>
  <conditionalFormatting sqref="C14">
    <cfRule type="expression" priority="9" dxfId="0">
      <formula>C14="STOP"</formula>
    </cfRule>
  </conditionalFormatting>
  <conditionalFormatting sqref="C29">
    <cfRule type="cellIs" priority="10" operator="lessThan" dxfId="2">
      <formula>0</formula>
    </cfRule>
  </conditionalFormatting>
  <conditionalFormatting sqref="C36">
    <cfRule type="cellIs" priority="11" operator="lessThan" dxfId="2">
      <formula>0</formula>
    </cfRule>
  </conditionalFormatting>
  <conditionalFormatting sqref="C46">
    <cfRule type="cellIs" priority="12" operator="lessThan" dxfId="2">
      <formula>0</formula>
    </cfRule>
  </conditionalFormatting>
  <conditionalFormatting sqref="C27">
    <cfRule type="cellIs" priority="13" operator="lessThan" dxfId="2">
      <formula>0</formula>
    </cfRule>
  </conditionalFormatting>
  <conditionalFormatting sqref="C35">
    <cfRule type="cellIs" priority="14" operator="lessThan" dxfId="2">
      <formula>0</formula>
    </cfRule>
  </conditionalFormatting>
  <conditionalFormatting sqref="C37">
    <cfRule type="expression" priority="15" dxfId="2">
      <formula>C37&lt;-RiskPct</formula>
    </cfRule>
  </conditionalFormatting>
  <conditionalFormatting sqref="C28">
    <cfRule type="expression" priority="16" dxfId="2">
      <formula>AND(C19&gt;0,C28&lt;1)</formula>
    </cfRule>
  </conditionalFormatting>
  <conditionalFormatting sqref="C44">
    <cfRule type="expression" priority="17" dxfId="4">
      <formula>C44&lt;1</formula>
    </cfRule>
  </conditionalFormatting>
  <conditionalFormatting sqref="I8:I17">
    <cfRule type="cellIs" priority="18" operator="lessThan" dxfId="2">
      <formula>0</formula>
    </cfRule>
    <cfRule type="cellIs" priority="19" operator="greaterThan" dxfId="1">
      <formula>0</formula>
    </cfRule>
  </conditionalFormatting>
  <conditionalFormatting sqref="I21:I25">
    <cfRule type="cellIs" priority="20" operator="lessThan" dxfId="2">
      <formula>0</formula>
    </cfRule>
    <cfRule type="cellIs" priority="21" operator="greaterThan" dxfId="1">
      <formula>0</formula>
    </cfRule>
  </conditionalFormatting>
  <conditionalFormatting sqref="I29:I34">
    <cfRule type="cellIs" priority="22" operator="lessThan" dxfId="2">
      <formula>0</formula>
    </cfRule>
    <cfRule type="cellIs" priority="23" operator="greaterThan" dxfId="1">
      <formula>0</formula>
    </cfRule>
  </conditionalFormatting>
  <conditionalFormatting sqref="I38:I43">
    <cfRule type="cellIs" priority="24" operator="lessThan" dxfId="2">
      <formula>0</formula>
    </cfRule>
    <cfRule type="cellIs" priority="25" operator="greaterThan" dxfId="1">
      <formula>0</formula>
    </cfRule>
  </conditionalFormatting>
  <conditionalFormatting sqref="I47:I53">
    <cfRule type="cellIs" priority="26" operator="lessThan" dxfId="2">
      <formula>0</formula>
    </cfRule>
    <cfRule type="cellIs" priority="27" operator="greaterThan" dxfId="1">
      <formula>0</formula>
    </cfRule>
  </conditionalFormatting>
  <conditionalFormatting sqref="I57:I58">
    <cfRule type="cellIs" priority="28" operator="lessThan" dxfId="2">
      <formula>0</formula>
    </cfRule>
    <cfRule type="cellIs" priority="29" operator="greaterThan" dxfId="1">
      <formula>0</formula>
    </cfRule>
  </conditionalFormatting>
  <conditionalFormatting sqref="I62:I72">
    <cfRule type="cellIs" priority="30" operator="lessThan" dxfId="2">
      <formula>0</formula>
    </cfRule>
    <cfRule type="cellIs" priority="31" operator="greaterThan" dxfId="1">
      <formula>0</formula>
    </cfRule>
  </conditionalFormatting>
  <conditionalFormatting sqref="I76:I78">
    <cfRule type="cellIs" priority="32" operator="lessThan" dxfId="2">
      <formula>0</formula>
    </cfRule>
    <cfRule type="cellIs" priority="33" operator="greater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A1:F44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6" customWidth="1" min="3" max="3"/>
    <col width="30" customWidth="1" min="4" max="4"/>
    <col width="16" customWidth="1" min="5" max="5"/>
    <col width="40" customWidth="1" min="6" max="6"/>
  </cols>
  <sheetData>
    <row r="1">
      <c r="A1" s="1" t="inlineStr">
        <is>
          <t>WEEKLY REVIEW – every Friday/weekend (≈20 min)</t>
        </is>
      </c>
    </row>
    <row r="2">
      <c r="A2" s="2" t="inlineStr">
        <is>
          <t>Change the week-start date (Monday) to review any week. Copy this sheet to keep an archive.</t>
        </is>
      </c>
    </row>
    <row r="4">
      <c r="B4" s="20" t="inlineStr">
        <is>
          <t>Week starting (Monday)</t>
        </is>
      </c>
      <c r="C4" s="65" t="n">
        <v>46293</v>
      </c>
      <c r="D4" s="7">
        <f>IF(C4="","","to "&amp;TEXT(C4+4,"dd-mmm-yy")&amp;IF(WEEKDAY(C4,3)&lt;&gt;0,"  ⚠ not a Monday",""))</f>
        <v/>
      </c>
    </row>
    <row r="6">
      <c r="B6" s="3" t="inlineStr">
        <is>
          <t>AUTO STATS FOR THE WEEK</t>
        </is>
      </c>
      <c r="C6" s="4" t="n"/>
      <c r="E6" s="3" t="inlineStr">
        <is>
          <t>BEST &amp; WORST TRADE (auto)</t>
        </is>
      </c>
      <c r="F6" s="4" t="n"/>
    </row>
    <row r="7">
      <c r="B7" s="7" t="inlineStr">
        <is>
          <t>Trades</t>
        </is>
      </c>
      <c r="C7" s="61">
        <f>COUNTIFS(TL_Week,WR_Week,TL_Net,"&gt;-1E+15")</f>
        <v/>
      </c>
      <c r="E7" s="20" t="inlineStr">
        <is>
          <t>Best trade Net ₹</t>
        </is>
      </c>
      <c r="F7" s="16">
        <f>IF(C7=0,"",_xlfn.MAXIFS(TL_Net,TL_Week,WR_Week))</f>
        <v/>
      </c>
    </row>
    <row r="8">
      <c r="B8" s="7" t="inlineStr">
        <is>
          <t>Win rate</t>
        </is>
      </c>
      <c r="C8" s="62">
        <f>IFERROR(COUNTIFS(TL_Week,WR_Week,TL_Net,"&gt;0")/C7,0)</f>
        <v/>
      </c>
      <c r="E8" s="7" t="inlineStr">
        <is>
          <t>Best trade #</t>
        </is>
      </c>
      <c r="F8" s="61">
        <f>IF(C7=0,"",INDEX(TL_No,IFERROR(MATCH(1,INDEX((TL_Week=WR_Week)*(TL_Net=_xlfn.MAXIFS(TL_Net,TL_Week,WR_Week)),0),0),0)))</f>
        <v/>
      </c>
    </row>
    <row r="9">
      <c r="B9" s="7" t="inlineStr">
        <is>
          <t>Net P&amp;L ₹</t>
        </is>
      </c>
      <c r="C9" s="16">
        <f>SUMIFS(TL_Net,TL_Week,WR_Week)</f>
        <v/>
      </c>
      <c r="E9" s="7" t="inlineStr">
        <is>
          <t>Details</t>
        </is>
      </c>
      <c r="F9" s="7">
        <f>IF(C7=0,"",TEXT(INDEX(TL_Date,IFERROR(MATCH(1,INDEX((TL_Week=WR_Week)*(TL_Net=_xlfn.MAXIFS(TL_Net,TL_Week,WR_Week)),0),0),0)),"ddd dd-mmm")&amp;" | "&amp;INDEX(TL_Strike,IFERROR(MATCH(1,INDEX((TL_Week=WR_Week)*(TL_Net=_xlfn.MAXIFS(TL_Net,TL_Week,WR_Week)),0),0),0))&amp;" "&amp;INDEX(TL_Type,IFERROR(MATCH(1,INDEX((TL_Week=WR_Week)*(TL_Net=_xlfn.MAXIFS(TL_Net,TL_Week,WR_Week)),0),0),0))&amp;" | "&amp;INDEX(TL_Strat,IFERROR(MATCH(1,INDEX((TL_Week=WR_Week)*(TL_Net=_xlfn.MAXIFS(TL_Net,TL_Week,WR_Week)),0),0),0))&amp;" | exit: "&amp;INDEX(TL_XReason,IFERROR(MATCH(1,INDEX((TL_Week=WR_Week)*(TL_Net=_xlfn.MAXIFS(TL_Net,TL_Week,WR_Week)),0),0),0)))</f>
        <v/>
      </c>
    </row>
    <row r="10">
      <c r="B10" s="7" t="inlineStr">
        <is>
          <t>Charges ₹</t>
        </is>
      </c>
      <c r="C10" s="16">
        <f>SUMIFS(TL_Chg,TL_Week,WR_Week)</f>
        <v/>
      </c>
    </row>
    <row r="11">
      <c r="B11" s="7" t="inlineStr">
        <is>
          <t>Average R</t>
        </is>
      </c>
      <c r="C11" s="63">
        <f>IFERROR(AVERAGEIFS(TL_R,TL_Week,WR_Week),0)</f>
        <v/>
      </c>
      <c r="E11" s="20" t="inlineStr">
        <is>
          <t>Worst trade Net ₹</t>
        </is>
      </c>
      <c r="F11" s="16">
        <f>IF(C7=0,"",_xlfn.MINIFS(TL_Net,TL_Week,WR_Week))</f>
        <v/>
      </c>
    </row>
    <row r="12">
      <c r="B12" s="7" t="inlineStr">
        <is>
          <t>Rule adherence %</t>
        </is>
      </c>
      <c r="C12" s="62">
        <f>IFERROR(COUNTIFS(TL_Week,WR_Week,TL_Followed,"Y")/(COUNTIFS(TL_Week,WR_Week,TL_Followed,"Y")+COUNTIFS(TL_Week,WR_Week,TL_Followed,"N")),0)</f>
        <v/>
      </c>
      <c r="E12" s="7" t="inlineStr">
        <is>
          <t>Worst trade #</t>
        </is>
      </c>
      <c r="F12" s="61">
        <f>IF(C7=0,"",INDEX(TL_No,IFERROR(MATCH(1,INDEX((TL_Week=WR_Week)*(TL_Net=_xlfn.MINIFS(TL_Net,TL_Week,WR_Week)),0),0),0)))</f>
        <v/>
      </c>
    </row>
    <row r="13">
      <c r="B13" s="7" t="inlineStr">
        <is>
          <t>Rule-break cost ₹ (net P&amp;L of rule-broken trades)</t>
        </is>
      </c>
      <c r="C13" s="16">
        <f>SUMIFS(TL_Net,TL_Week,WR_Week,TL_Followed,"N")</f>
        <v/>
      </c>
      <c r="E13" s="7" t="inlineStr">
        <is>
          <t>Details</t>
        </is>
      </c>
      <c r="F13" s="7">
        <f>IF(C7=0,"",TEXT(INDEX(TL_Date,IFERROR(MATCH(1,INDEX((TL_Week=WR_Week)*(TL_Net=_xlfn.MINIFS(TL_Net,TL_Week,WR_Week)),0),0),0)),"ddd dd-mmm")&amp;" | "&amp;INDEX(TL_Strike,IFERROR(MATCH(1,INDEX((TL_Week=WR_Week)*(TL_Net=_xlfn.MINIFS(TL_Net,TL_Week,WR_Week)),0),0),0))&amp;" "&amp;INDEX(TL_Type,IFERROR(MATCH(1,INDEX((TL_Week=WR_Week)*(TL_Net=_xlfn.MINIFS(TL_Net,TL_Week,WR_Week)),0),0),0))&amp;" | "&amp;INDEX(TL_Strat,IFERROR(MATCH(1,INDEX((TL_Week=WR_Week)*(TL_Net=_xlfn.MINIFS(TL_Net,TL_Week,WR_Week)),0),0),0))&amp;" | exit: "&amp;INDEX(TL_XReason,IFERROR(MATCH(1,INDEX((TL_Week=WR_Week)*(TL_Net=_xlfn.MINIFS(TL_Net,TL_Week,WR_Week)),0),0),0)))</f>
        <v/>
      </c>
    </row>
    <row r="14">
      <c r="B14" s="7" t="inlineStr">
        <is>
          <t>Profit given back ₹</t>
        </is>
      </c>
      <c r="C14" s="16">
        <f>SUMIFS(TL_GiveBack,TL_Week,WR_Week)</f>
        <v/>
      </c>
    </row>
    <row r="15">
      <c r="B15" s="7" t="inlineStr">
        <is>
          <t>Days with a limit broken</t>
        </is>
      </c>
      <c r="C15" s="61">
        <f>COUNTIFS(DS_Week,WR_Week,DS_Status,"LIMIT BROKEN")</f>
        <v/>
      </c>
    </row>
    <row r="16">
      <c r="B16" s="7" t="inlineStr">
        <is>
          <t>Week net vs weekly limit</t>
        </is>
      </c>
      <c r="C16" s="7">
        <f>IF(C9&lt;=-WeeklyDDLimit,"BREACH – no trading till next week","Within limit")</f>
        <v/>
      </c>
    </row>
    <row r="18">
      <c r="B18" s="3" t="inlineStr">
        <is>
          <t>RULE-BREAK COST BY RULE (auto) – use this to pick your top 3 mistakes</t>
        </is>
      </c>
      <c r="C18" s="4" t="n"/>
      <c r="D18" s="4" t="n"/>
    </row>
    <row r="19">
      <c r="B19" s="20" t="inlineStr">
        <is>
          <t>Rule broken</t>
        </is>
      </c>
      <c r="C19" s="20" t="inlineStr">
        <is>
          <t>Times</t>
        </is>
      </c>
      <c r="D19" s="20" t="inlineStr">
        <is>
          <t>Net P&amp;L of those trades ₹</t>
        </is>
      </c>
    </row>
    <row r="20">
      <c r="B20" s="7">
        <f>IFERROR(INDEX(List_RuleBroken,2),"")</f>
        <v/>
      </c>
      <c r="C20" s="61">
        <f>IF(B20="","",COUNTIFS(TL_Week,WR_Week,TL_Broken,B20))</f>
        <v/>
      </c>
      <c r="D20" s="16">
        <f>IF(B20="","",SUMIFS(TL_Net,TL_Week,WR_Week,TL_Broken,B20))</f>
        <v/>
      </c>
    </row>
    <row r="21">
      <c r="B21" s="7">
        <f>IFERROR(INDEX(List_RuleBroken,3),"")</f>
        <v/>
      </c>
      <c r="C21" s="61">
        <f>IF(B21="","",COUNTIFS(TL_Week,WR_Week,TL_Broken,B21))</f>
        <v/>
      </c>
      <c r="D21" s="16">
        <f>IF(B21="","",SUMIFS(TL_Net,TL_Week,WR_Week,TL_Broken,B21))</f>
        <v/>
      </c>
    </row>
    <row r="22">
      <c r="B22" s="7">
        <f>IFERROR(INDEX(List_RuleBroken,4),"")</f>
        <v/>
      </c>
      <c r="C22" s="61">
        <f>IF(B22="","",COUNTIFS(TL_Week,WR_Week,TL_Broken,B22))</f>
        <v/>
      </c>
      <c r="D22" s="16">
        <f>IF(B22="","",SUMIFS(TL_Net,TL_Week,WR_Week,TL_Broken,B22))</f>
        <v/>
      </c>
    </row>
    <row r="23">
      <c r="B23" s="7">
        <f>IFERROR(INDEX(List_RuleBroken,5),"")</f>
        <v/>
      </c>
      <c r="C23" s="61">
        <f>IF(B23="","",COUNTIFS(TL_Week,WR_Week,TL_Broken,B23))</f>
        <v/>
      </c>
      <c r="D23" s="16">
        <f>IF(B23="","",SUMIFS(TL_Net,TL_Week,WR_Week,TL_Broken,B23))</f>
        <v/>
      </c>
    </row>
    <row r="24">
      <c r="B24" s="7">
        <f>IFERROR(INDEX(List_RuleBroken,6),"")</f>
        <v/>
      </c>
      <c r="C24" s="61">
        <f>IF(B24="","",COUNTIFS(TL_Week,WR_Week,TL_Broken,B24))</f>
        <v/>
      </c>
      <c r="D24" s="16">
        <f>IF(B24="","",SUMIFS(TL_Net,TL_Week,WR_Week,TL_Broken,B24))</f>
        <v/>
      </c>
    </row>
    <row r="25">
      <c r="B25" s="7">
        <f>IFERROR(INDEX(List_RuleBroken,7),"")</f>
        <v/>
      </c>
      <c r="C25" s="61">
        <f>IF(B25="","",COUNTIFS(TL_Week,WR_Week,TL_Broken,B25))</f>
        <v/>
      </c>
      <c r="D25" s="16">
        <f>IF(B25="","",SUMIFS(TL_Net,TL_Week,WR_Week,TL_Broken,B25))</f>
        <v/>
      </c>
    </row>
    <row r="26">
      <c r="B26" s="7">
        <f>IFERROR(INDEX(List_RuleBroken,8),"")</f>
        <v/>
      </c>
      <c r="C26" s="61">
        <f>IF(B26="","",COUNTIFS(TL_Week,WR_Week,TL_Broken,B26))</f>
        <v/>
      </c>
      <c r="D26" s="16">
        <f>IF(B26="","",SUMIFS(TL_Net,TL_Week,WR_Week,TL_Broken,B26))</f>
        <v/>
      </c>
    </row>
    <row r="27">
      <c r="B27" s="7">
        <f>IFERROR(INDEX(List_RuleBroken,9),"")</f>
        <v/>
      </c>
      <c r="C27" s="61">
        <f>IF(B27="","",COUNTIFS(TL_Week,WR_Week,TL_Broken,B27))</f>
        <v/>
      </c>
      <c r="D27" s="16">
        <f>IF(B27="","",SUMIFS(TL_Net,TL_Week,WR_Week,TL_Broken,B27))</f>
        <v/>
      </c>
    </row>
    <row r="28">
      <c r="B28" s="7">
        <f>IFERROR(INDEX(List_RuleBroken,10),"")</f>
        <v/>
      </c>
      <c r="C28" s="61">
        <f>IF(B28="","",COUNTIFS(TL_Week,WR_Week,TL_Broken,B28))</f>
        <v/>
      </c>
      <c r="D28" s="16">
        <f>IF(B28="","",SUMIFS(TL_Net,TL_Week,WR_Week,TL_Broken,B28))</f>
        <v/>
      </c>
    </row>
    <row r="29">
      <c r="B29" s="7">
        <f>IFERROR(INDEX(List_RuleBroken,11),"")</f>
        <v/>
      </c>
      <c r="C29" s="61">
        <f>IF(B29="","",COUNTIFS(TL_Week,WR_Week,TL_Broken,B29))</f>
        <v/>
      </c>
      <c r="D29" s="16">
        <f>IF(B29="","",SUMIFS(TL_Net,TL_Week,WR_Week,TL_Broken,B29))</f>
        <v/>
      </c>
    </row>
    <row r="31">
      <c r="B31" s="3" t="inlineStr">
        <is>
          <t>TOP 3 MISTAKES (write them)</t>
        </is>
      </c>
      <c r="C31" s="4" t="n"/>
      <c r="D31" s="4" t="n"/>
      <c r="E31" s="4" t="n"/>
      <c r="F31" s="4" t="n"/>
    </row>
    <row r="32">
      <c r="B32" s="20" t="inlineStr">
        <is>
          <t>Mistake</t>
        </is>
      </c>
      <c r="C32" s="20" t="inlineStr">
        <is>
          <t>Cost ₹</t>
        </is>
      </c>
      <c r="D32" s="20" t="inlineStr">
        <is>
          <t>Rule #</t>
        </is>
      </c>
      <c r="E32" s="20" t="inlineStr">
        <is>
          <t>Trigger (what I felt)</t>
        </is>
      </c>
      <c r="F32" s="20" t="inlineStr">
        <is>
          <t>Fix / if-then plan</t>
        </is>
      </c>
    </row>
    <row r="33">
      <c r="B33" s="12" t="inlineStr">
        <is>
          <t>Held 25850 CE spread past 14:45 on expiry</t>
        </is>
      </c>
      <c r="C33" s="8" t="n">
        <v>-6175</v>
      </c>
      <c r="D33" s="12" t="inlineStr">
        <is>
          <t>R4 Held short past expiry cutoff</t>
        </is>
      </c>
      <c r="E33" s="12" t="inlineStr">
        <is>
          <t>Greedy</t>
        </is>
      </c>
      <c r="F33" s="12" t="inlineStr">
        <is>
          <t>IF it is 14:40 on expiry THEN square off all shorts, no exceptions.</t>
        </is>
      </c>
    </row>
    <row r="34">
      <c r="B34" s="12" t="inlineStr">
        <is>
          <t>Did not trail SL after 51 → 30 (profit given back)</t>
        </is>
      </c>
      <c r="C34" s="8" t="n">
        <v>-13000</v>
      </c>
      <c r="D34" s="12" t="inlineStr">
        <is>
          <t>R8 Gave back profit (no trail)</t>
        </is>
      </c>
      <c r="E34" s="12" t="inlineStr">
        <is>
          <t>Greedy</t>
        </is>
      </c>
      <c r="F34" s="12" t="inlineStr">
        <is>
          <t>IF premium falls 40% THEN move SL to cost; at 60% lock half.</t>
        </is>
      </c>
    </row>
    <row r="35">
      <c r="B35" s="12" t="inlineStr">
        <is>
          <t>5 lots vs cap of 2</t>
        </is>
      </c>
      <c r="C35" s="8" t="n">
        <v>-3705</v>
      </c>
      <c r="D35" s="12" t="inlineStr">
        <is>
          <t>R1 Oversized position</t>
        </is>
      </c>
      <c r="E35" s="12" t="inlineStr">
        <is>
          <t>Overconfidence</t>
        </is>
      </c>
      <c r="F35" s="12" t="inlineStr">
        <is>
          <t>IF lots &gt; 'Lots allowed' on RULES THEN cancel the order.</t>
        </is>
      </c>
    </row>
    <row r="37">
      <c r="B37" s="3" t="inlineStr">
        <is>
          <t>REFLECTION</t>
        </is>
      </c>
      <c r="C37" s="4" t="n"/>
      <c r="D37" s="4" t="n"/>
      <c r="E37" s="4" t="n"/>
      <c r="F37" s="4" t="n"/>
    </row>
    <row r="38">
      <c r="B38" s="20" t="inlineStr">
        <is>
          <t>Best trade – why it worked</t>
        </is>
      </c>
      <c r="C38" s="12" t="inlineStr">
        <is>
          <t>Followed the plan: spread, SL order placed, booked at target.</t>
        </is>
      </c>
      <c r="D38" s="66" t="n"/>
      <c r="E38" s="66" t="n"/>
      <c r="F38" s="64" t="n"/>
    </row>
    <row r="39">
      <c r="B39" s="20" t="inlineStr">
        <is>
          <t>Worst trade – what went wrong</t>
        </is>
      </c>
      <c r="C39" s="12" t="inlineStr">
        <is>
          <t>Expiry-day short held into the last hour; mental SL, 5 lots.</t>
        </is>
      </c>
      <c r="D39" s="66" t="n"/>
      <c r="E39" s="66" t="n"/>
      <c r="F39" s="64" t="n"/>
    </row>
    <row r="40">
      <c r="B40" s="20" t="inlineStr">
        <is>
          <t>Rule-break cost ₹ (auto, from above)</t>
        </is>
      </c>
      <c r="C40" s="16">
        <f>C13</f>
        <v/>
      </c>
      <c r="D40" s="66" t="n"/>
      <c r="E40" s="66" t="n"/>
      <c r="F40" s="64" t="n"/>
    </row>
    <row r="41">
      <c r="B41" s="20" t="inlineStr">
        <is>
          <t>ONE change for next week (specific, measurable)</t>
        </is>
      </c>
      <c r="C41" s="12" t="inlineStr">
        <is>
          <t>Exit every expiry-day short by 14:45 via a GTT/alarm at 14:40.</t>
        </is>
      </c>
      <c r="D41" s="66" t="n"/>
      <c r="E41" s="66" t="n"/>
      <c r="F41" s="64" t="n"/>
    </row>
    <row r="42">
      <c r="B42" s="20" t="inlineStr">
        <is>
          <t>Did I keep last week's ONE change? (Y/N)</t>
        </is>
      </c>
      <c r="C42" s="12" t="inlineStr">
        <is>
          <t>N</t>
        </is>
      </c>
      <c r="D42" s="66" t="n"/>
      <c r="E42" s="66" t="n"/>
      <c r="F42" s="64" t="n"/>
    </row>
    <row r="43">
      <c r="B43" s="20" t="inlineStr">
        <is>
          <t>Discipline score this week (1-5)</t>
        </is>
      </c>
      <c r="C43" s="12" t="n">
        <v>2</v>
      </c>
      <c r="D43" s="66" t="n"/>
      <c r="E43" s="66" t="n"/>
      <c r="F43" s="64" t="n"/>
    </row>
    <row r="44">
      <c r="B44" s="20" t="inlineStr">
        <is>
          <t>Next week's max lots (may reduce after a losing week)</t>
        </is>
      </c>
      <c r="C44" s="7">
        <f>MaxLots</f>
        <v/>
      </c>
      <c r="D44" s="66" t="n"/>
      <c r="E44" s="66" t="n"/>
      <c r="F44" s="64" t="n"/>
    </row>
  </sheetData>
  <mergeCells count="7">
    <mergeCell ref="C40:F40"/>
    <mergeCell ref="C39:F39"/>
    <mergeCell ref="C43:F43"/>
    <mergeCell ref="C38:F38"/>
    <mergeCell ref="C41:F41"/>
    <mergeCell ref="C42:F42"/>
    <mergeCell ref="C44:F44"/>
  </mergeCells>
  <conditionalFormatting sqref="C9">
    <cfRule type="cellIs" priority="1" operator="lessThan" dxfId="2">
      <formula>0</formula>
    </cfRule>
  </conditionalFormatting>
  <conditionalFormatting sqref="C13">
    <cfRule type="cellIs" priority="2" operator="lessThan" dxfId="2">
      <formula>0</formula>
    </cfRule>
  </conditionalFormatting>
  <conditionalFormatting sqref="C16">
    <cfRule type="expression" priority="3" dxfId="2">
      <formula>LEFT(C16,6)="BREACH"</formula>
    </cfRule>
  </conditionalFormatting>
  <conditionalFormatting sqref="F11">
    <cfRule type="cellIs" priority="4" operator="lessThan" dxfId="2">
      <formula>0</formula>
    </cfRule>
  </conditionalFormatting>
  <conditionalFormatting sqref="D20:D29">
    <cfRule type="cellIs" priority="5" operator="lessThan" dxfId="2">
      <formula>0</formula>
    </cfRule>
  </conditionalFormatting>
  <dataValidations count="3">
    <dataValidation sqref="D33:D35" showDropDown="0" showInputMessage="0" showErrorMessage="0" allowBlank="1" type="list">
      <formula1>=List_RuleBroken</formula1>
    </dataValidation>
    <dataValidation sqref="C42" showDropDown="0" showInputMessage="0" showErrorMessage="0" allowBlank="1" type="list">
      <formula1>=List_YN</formula1>
    </dataValidation>
    <dataValidation sqref="C43" showDropDown="0" showInputMessage="0" showErrorMessage="0" allowBlank="1" type="list">
      <formula1>=List_Scale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6A6A6"/>
    <outlinePr summaryBelow="1" summaryRight="1"/>
    <pageSetUpPr/>
  </sheetPr>
  <dimension ref="A1:N16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35" customWidth="1" min="6" max="6"/>
    <col width="18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3" customWidth="1" min="13" max="13"/>
    <col width="24" customWidth="1" min="14" max="14"/>
  </cols>
  <sheetData>
    <row r="1">
      <c r="A1" s="1" t="inlineStr">
        <is>
          <t>LISTS – dropdown sources</t>
        </is>
      </c>
    </row>
    <row r="2">
      <c r="A2" s="2" t="inlineStr">
        <is>
          <t>Edit the values below to change dropdown choices. Keep 'None' in Rule Broken. Each list is an Excel Table and a named range (List_*).</t>
        </is>
      </c>
    </row>
    <row r="4">
      <c r="A4" t="inlineStr">
        <is>
          <t>Instrument</t>
        </is>
      </c>
      <c r="B4" t="inlineStr">
        <is>
          <t>CE/PE</t>
        </is>
      </c>
      <c r="C4" t="inlineStr">
        <is>
          <t>Buy/Sell</t>
        </is>
      </c>
      <c r="D4" t="inlineStr">
        <is>
          <t>Strategy</t>
        </is>
      </c>
      <c r="E4" t="inlineStr">
        <is>
          <t>Exit Reason</t>
        </is>
      </c>
      <c r="F4" t="inlineStr">
        <is>
          <t>Rule Broken</t>
        </is>
      </c>
      <c r="G4" t="inlineStr">
        <is>
          <t>Emotion</t>
        </is>
      </c>
      <c r="H4" t="inlineStr">
        <is>
          <t>Setup Grade</t>
        </is>
      </c>
      <c r="I4" t="inlineStr">
        <is>
          <t>Y/N</t>
        </is>
      </c>
      <c r="J4" t="inlineStr">
        <is>
          <t>Market Bias</t>
        </is>
      </c>
      <c r="K4" t="inlineStr">
        <is>
          <t>Scale 1-5</t>
        </is>
      </c>
      <c r="L4" t="inlineStr">
        <is>
          <t>Weekday</t>
        </is>
      </c>
      <c r="M4" t="inlineStr">
        <is>
          <t>Bucket Start</t>
        </is>
      </c>
      <c r="N4" t="inlineStr">
        <is>
          <t>Entry-Time Bucket</t>
        </is>
      </c>
    </row>
    <row r="5">
      <c r="A5" s="12" t="inlineStr">
        <is>
          <t>NIFTY</t>
        </is>
      </c>
      <c r="B5" s="12" t="inlineStr">
        <is>
          <t>CE</t>
        </is>
      </c>
      <c r="C5" s="12" t="inlineStr">
        <is>
          <t>Sell</t>
        </is>
      </c>
      <c r="D5" s="12" t="inlineStr">
        <is>
          <t>Naked Short Call</t>
        </is>
      </c>
      <c r="E5" s="12" t="inlineStr">
        <is>
          <t>Target</t>
        </is>
      </c>
      <c r="F5" s="12" t="inlineStr">
        <is>
          <t>None</t>
        </is>
      </c>
      <c r="G5" s="12" t="inlineStr">
        <is>
          <t>Calm</t>
        </is>
      </c>
      <c r="H5" s="12" t="inlineStr">
        <is>
          <t>A</t>
        </is>
      </c>
      <c r="I5" s="12" t="inlineStr">
        <is>
          <t>Y</t>
        </is>
      </c>
      <c r="J5" s="12" t="inlineStr">
        <is>
          <t>Bullish</t>
        </is>
      </c>
      <c r="K5" s="12" t="n">
        <v>1</v>
      </c>
      <c r="L5" s="12" t="inlineStr">
        <is>
          <t>Mon</t>
        </is>
      </c>
      <c r="M5" s="10" t="n">
        <v>0</v>
      </c>
      <c r="N5" s="12" t="inlineStr">
        <is>
          <t>Pre-open (&lt;09:15)</t>
        </is>
      </c>
    </row>
    <row r="6">
      <c r="A6" s="12" t="inlineStr">
        <is>
          <t>SENSEX</t>
        </is>
      </c>
      <c r="B6" s="12" t="inlineStr">
        <is>
          <t>PE</t>
        </is>
      </c>
      <c r="C6" s="12" t="inlineStr">
        <is>
          <t>Buy</t>
        </is>
      </c>
      <c r="D6" s="12" t="inlineStr">
        <is>
          <t>Naked Short Put</t>
        </is>
      </c>
      <c r="E6" s="12" t="inlineStr">
        <is>
          <t>SL</t>
        </is>
      </c>
      <c r="F6" s="12" t="inlineStr">
        <is>
          <t>R1 Oversized position</t>
        </is>
      </c>
      <c r="G6" s="12" t="inlineStr">
        <is>
          <t>Focused</t>
        </is>
      </c>
      <c r="H6" s="12" t="inlineStr">
        <is>
          <t>B</t>
        </is>
      </c>
      <c r="I6" s="12" t="inlineStr">
        <is>
          <t>N</t>
        </is>
      </c>
      <c r="J6" s="12" t="inlineStr">
        <is>
          <t>Mildly Bullish</t>
        </is>
      </c>
      <c r="K6" s="12" t="n">
        <v>2</v>
      </c>
      <c r="L6" s="12" t="inlineStr">
        <is>
          <t>Tue</t>
        </is>
      </c>
      <c r="M6" s="10" t="n">
        <v>0.3854166666666667</v>
      </c>
      <c r="N6" s="12" t="inlineStr">
        <is>
          <t>09:15-10:00</t>
        </is>
      </c>
    </row>
    <row r="7">
      <c r="A7" s="12" t="inlineStr">
        <is>
          <t>BANKNIFTY</t>
        </is>
      </c>
      <c r="D7" s="12" t="inlineStr">
        <is>
          <t>Short Strangle</t>
        </is>
      </c>
      <c r="E7" s="12" t="inlineStr">
        <is>
          <t>Time exit</t>
        </is>
      </c>
      <c r="F7" s="12" t="inlineStr">
        <is>
          <t>R2 No hard SL placed</t>
        </is>
      </c>
      <c r="G7" s="12" t="inlineStr">
        <is>
          <t>Confident</t>
        </is>
      </c>
      <c r="H7" s="12" t="inlineStr">
        <is>
          <t>C</t>
        </is>
      </c>
      <c r="J7" s="12" t="inlineStr">
        <is>
          <t>Range-bound</t>
        </is>
      </c>
      <c r="K7" s="12" t="n">
        <v>3</v>
      </c>
      <c r="L7" s="12" t="inlineStr">
        <is>
          <t>Wed</t>
        </is>
      </c>
      <c r="M7" s="10" t="n">
        <v>0.4166666666666667</v>
      </c>
      <c r="N7" s="12" t="inlineStr">
        <is>
          <t>10:00-11:30</t>
        </is>
      </c>
    </row>
    <row r="8">
      <c r="A8" s="12" t="inlineStr">
        <is>
          <t>OTHER</t>
        </is>
      </c>
      <c r="D8" s="12" t="inlineStr">
        <is>
          <t>Short Straddle</t>
        </is>
      </c>
      <c r="E8" s="12" t="inlineStr">
        <is>
          <t>Panic</t>
        </is>
      </c>
      <c r="F8" s="12" t="inlineStr">
        <is>
          <t>R3 Moved / ignored SL</t>
        </is>
      </c>
      <c r="G8" s="12" t="inlineStr">
        <is>
          <t>Anxious</t>
        </is>
      </c>
      <c r="J8" s="12" t="inlineStr">
        <is>
          <t>Mildly Bearish</t>
        </is>
      </c>
      <c r="K8" s="12" t="n">
        <v>4</v>
      </c>
      <c r="L8" s="12" t="inlineStr">
        <is>
          <t>Thu</t>
        </is>
      </c>
      <c r="M8" s="10" t="n">
        <v>0.4791666666666667</v>
      </c>
      <c r="N8" s="12" t="inlineStr">
        <is>
          <t>11:30-13:30</t>
        </is>
      </c>
    </row>
    <row r="9">
      <c r="D9" s="12" t="inlineStr">
        <is>
          <t>Bear Call Spread</t>
        </is>
      </c>
      <c r="E9" s="12" t="inlineStr">
        <is>
          <t>Revenge</t>
        </is>
      </c>
      <c r="F9" s="12" t="inlineStr">
        <is>
          <t>R4 Held short past expiry cutoff</t>
        </is>
      </c>
      <c r="G9" s="12" t="inlineStr">
        <is>
          <t>Fearful</t>
        </is>
      </c>
      <c r="J9" s="12" t="inlineStr">
        <is>
          <t>Bearish</t>
        </is>
      </c>
      <c r="K9" s="12" t="n">
        <v>5</v>
      </c>
      <c r="L9" s="12" t="inlineStr">
        <is>
          <t>Fri</t>
        </is>
      </c>
      <c r="M9" s="10" t="n">
        <v>0.5625</v>
      </c>
      <c r="N9" s="12" t="inlineStr">
        <is>
          <t>13:30-14:45</t>
        </is>
      </c>
    </row>
    <row r="10">
      <c r="D10" s="12" t="inlineStr">
        <is>
          <t>Bull Put Spread</t>
        </is>
      </c>
      <c r="E10" s="12" t="inlineStr">
        <is>
          <t>Rule break</t>
        </is>
      </c>
      <c r="F10" s="12" t="inlineStr">
        <is>
          <t>R5 Revenge trade</t>
        </is>
      </c>
      <c r="G10" s="12" t="inlineStr">
        <is>
          <t>Greedy</t>
        </is>
      </c>
      <c r="J10" s="12" t="inlineStr">
        <is>
          <t>No view</t>
        </is>
      </c>
      <c r="M10" s="10" t="n">
        <v>0.6145833333333334</v>
      </c>
      <c r="N10" s="12" t="inlineStr">
        <is>
          <t>14:45-15:30 (last 45m)</t>
        </is>
      </c>
    </row>
    <row r="11">
      <c r="D11" s="12" t="inlineStr">
        <is>
          <t>Iron Condor</t>
        </is>
      </c>
      <c r="E11" s="12" t="inlineStr">
        <is>
          <t>EOD</t>
        </is>
      </c>
      <c r="F11" s="12" t="inlineStr">
        <is>
          <t>R6 Exceeded max trades</t>
        </is>
      </c>
      <c r="G11" s="12" t="inlineStr">
        <is>
          <t>FOMO</t>
        </is>
      </c>
    </row>
    <row r="12">
      <c r="D12" s="12" t="inlineStr">
        <is>
          <t>Iron Fly</t>
        </is>
      </c>
      <c r="F12" s="12" t="inlineStr">
        <is>
          <t>R7 Traded after daily limit</t>
        </is>
      </c>
      <c r="G12" s="12" t="inlineStr">
        <is>
          <t>Frustrated</t>
        </is>
      </c>
    </row>
    <row r="13">
      <c r="D13" s="12" t="inlineStr">
        <is>
          <t>Hedge / Long Option</t>
        </is>
      </c>
      <c r="F13" s="12" t="inlineStr">
        <is>
          <t>R8 Gave back profit (no trail)</t>
        </is>
      </c>
      <c r="G13" s="12" t="inlineStr">
        <is>
          <t>Angry / Revenge</t>
        </is>
      </c>
    </row>
    <row r="14">
      <c r="D14" s="12" t="inlineStr">
        <is>
          <t>Other</t>
        </is>
      </c>
      <c r="F14" s="12" t="inlineStr">
        <is>
          <t>R9 Unplanned / FOMO entry</t>
        </is>
      </c>
      <c r="G14" s="12" t="inlineStr">
        <is>
          <t>Bored</t>
        </is>
      </c>
    </row>
    <row r="15">
      <c r="F15" s="12" t="inlineStr">
        <is>
          <t>R10 Traded in poor state</t>
        </is>
      </c>
      <c r="G15" s="12" t="inlineStr">
        <is>
          <t>Euphoric</t>
        </is>
      </c>
    </row>
    <row r="16">
      <c r="G16" s="12" t="inlineStr">
        <is>
          <t>Tired</t>
        </is>
      </c>
    </row>
  </sheetData>
  <pageMargins left="0.75" right="0.75" top="1" bottom="1" header="0.5" footer="0.5"/>
  <tableParts count="1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2026-10-06T12:59:22Z</dcterms:created>
  <dcterms:modified xmlns:dcterms="http://purl.org/dc/terms/" xmlns:xsi="http://www.w3.org/2001/XMLSchema-instance" xsi:type="dcterms:W3CDTF">2026-10-06T12:59:22Z</dcterms:modified>
</cp:coreProperties>
</file>